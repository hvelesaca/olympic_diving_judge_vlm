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nry\VLMs\"/>
    </mc:Choice>
  </mc:AlternateContent>
  <xr:revisionPtr revIDLastSave="0" documentId="13_ncr:1_{996E0B40-77DA-48D9-9707-D567E95D42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valuaciones_todos_videos_all" sheetId="1" r:id="rId1"/>
  </sheets>
  <definedNames>
    <definedName name="_xlnm._FilterDatabase" localSheetId="0" hidden="1">evaluaciones_todos_videos_all!$A$1:$GL$371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3" i="1" l="1"/>
  <c r="AE4" i="1"/>
  <c r="AE136" i="1"/>
  <c r="AE6" i="1"/>
  <c r="AE120" i="1"/>
  <c r="AE8" i="1"/>
  <c r="AE9" i="1"/>
  <c r="AE10" i="1"/>
  <c r="AE11" i="1"/>
  <c r="AE12" i="1"/>
  <c r="AE13" i="1"/>
  <c r="AE14" i="1"/>
  <c r="AE15" i="1"/>
  <c r="AE16" i="1"/>
  <c r="AE17" i="1"/>
  <c r="AE108" i="1"/>
  <c r="AE19" i="1"/>
  <c r="AE20" i="1"/>
  <c r="AE21" i="1"/>
  <c r="AE104" i="1"/>
  <c r="AE141" i="1"/>
  <c r="AE24" i="1"/>
  <c r="AE25" i="1"/>
  <c r="AE26" i="1"/>
  <c r="AE185" i="1"/>
  <c r="AE28" i="1"/>
  <c r="AE29" i="1"/>
  <c r="AE30" i="1"/>
  <c r="AE31" i="1"/>
  <c r="AE32" i="1"/>
  <c r="AE33" i="1"/>
  <c r="AE78" i="1"/>
  <c r="AE35" i="1"/>
  <c r="AE36" i="1"/>
  <c r="AE37" i="1"/>
  <c r="AE38" i="1"/>
  <c r="AE168" i="1"/>
  <c r="AE40" i="1"/>
  <c r="AE41" i="1"/>
  <c r="AE42" i="1"/>
  <c r="AE43" i="1"/>
  <c r="AE44" i="1"/>
  <c r="AE45" i="1"/>
  <c r="AE46" i="1"/>
  <c r="AE135" i="1"/>
  <c r="AE48" i="1"/>
  <c r="AE49" i="1"/>
  <c r="AE50" i="1"/>
  <c r="AE51" i="1"/>
  <c r="AE52" i="1"/>
  <c r="AE53" i="1"/>
  <c r="AE54" i="1"/>
  <c r="AE55" i="1"/>
  <c r="AE56" i="1"/>
  <c r="AE19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18" i="1"/>
  <c r="AE74" i="1"/>
  <c r="AE75" i="1"/>
  <c r="AE76" i="1"/>
  <c r="AE77" i="1"/>
  <c r="AE175" i="1"/>
  <c r="AE278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361" i="1"/>
  <c r="AE95" i="1"/>
  <c r="AE96" i="1"/>
  <c r="AE97" i="1"/>
  <c r="AE98" i="1"/>
  <c r="AE99" i="1"/>
  <c r="AE100" i="1"/>
  <c r="AE101" i="1"/>
  <c r="AE102" i="1"/>
  <c r="AE207" i="1"/>
  <c r="AE57" i="1"/>
  <c r="AE105" i="1"/>
  <c r="AE106" i="1"/>
  <c r="AE107" i="1"/>
  <c r="AE94" i="1"/>
  <c r="AE109" i="1"/>
  <c r="AE110" i="1"/>
  <c r="AE111" i="1"/>
  <c r="AE112" i="1"/>
  <c r="AE240" i="1"/>
  <c r="AE114" i="1"/>
  <c r="AE115" i="1"/>
  <c r="AE116" i="1"/>
  <c r="AE117" i="1"/>
  <c r="AE118" i="1"/>
  <c r="AE119" i="1"/>
  <c r="AE209" i="1"/>
  <c r="AE121" i="1"/>
  <c r="AE122" i="1"/>
  <c r="AE123" i="1"/>
  <c r="AE124" i="1"/>
  <c r="AE125" i="1"/>
  <c r="AE22" i="1"/>
  <c r="AE127" i="1"/>
  <c r="AE128" i="1"/>
  <c r="AE129" i="1"/>
  <c r="AE130" i="1"/>
  <c r="AE131" i="1"/>
  <c r="AE132" i="1"/>
  <c r="AE133" i="1"/>
  <c r="AE5" i="1"/>
  <c r="AE221" i="1"/>
  <c r="AE134" i="1"/>
  <c r="AE7" i="1"/>
  <c r="AE138" i="1"/>
  <c r="AE139" i="1"/>
  <c r="AE140" i="1"/>
  <c r="AE266" i="1"/>
  <c r="AE142" i="1"/>
  <c r="AE216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233" i="1"/>
  <c r="AE294" i="1"/>
  <c r="AE162" i="1"/>
  <c r="AE163" i="1"/>
  <c r="AE164" i="1"/>
  <c r="AE165" i="1"/>
  <c r="AE166" i="1"/>
  <c r="AE27" i="1"/>
  <c r="AE215" i="1"/>
  <c r="AE169" i="1"/>
  <c r="AE170" i="1"/>
  <c r="AE73" i="1"/>
  <c r="AE172" i="1"/>
  <c r="AE173" i="1"/>
  <c r="AE113" i="1"/>
  <c r="AE299" i="1"/>
  <c r="AE338" i="1"/>
  <c r="AE177" i="1"/>
  <c r="AE178" i="1"/>
  <c r="AE179" i="1"/>
  <c r="AE47" i="1"/>
  <c r="AE181" i="1"/>
  <c r="AE182" i="1"/>
  <c r="AE183" i="1"/>
  <c r="AE184" i="1"/>
  <c r="AE242" i="1"/>
  <c r="AE186" i="1"/>
  <c r="AE187" i="1"/>
  <c r="AE188" i="1"/>
  <c r="AE325" i="1"/>
  <c r="AE190" i="1"/>
  <c r="AE191" i="1"/>
  <c r="AE192" i="1"/>
  <c r="AE193" i="1"/>
  <c r="AE194" i="1"/>
  <c r="AE195" i="1"/>
  <c r="AE196" i="1"/>
  <c r="AE79" i="1"/>
  <c r="AE198" i="1"/>
  <c r="AE199" i="1"/>
  <c r="AE200" i="1"/>
  <c r="AE201" i="1"/>
  <c r="AE202" i="1"/>
  <c r="AE203" i="1"/>
  <c r="AE204" i="1"/>
  <c r="AE161" i="1"/>
  <c r="AE206" i="1"/>
  <c r="AE39" i="1"/>
  <c r="AE208" i="1"/>
  <c r="AE176" i="1"/>
  <c r="AE210" i="1"/>
  <c r="AE344" i="1"/>
  <c r="AE212" i="1"/>
  <c r="AE174" i="1"/>
  <c r="AE214" i="1"/>
  <c r="AE256" i="1"/>
  <c r="AE222" i="1"/>
  <c r="AE217" i="1"/>
  <c r="AE218" i="1"/>
  <c r="AE219" i="1"/>
  <c r="AE220" i="1"/>
  <c r="AE205" i="1"/>
  <c r="AE103" i="1"/>
  <c r="AE223" i="1"/>
  <c r="AE224" i="1"/>
  <c r="AE225" i="1"/>
  <c r="AE226" i="1"/>
  <c r="AE227" i="1"/>
  <c r="AE228" i="1"/>
  <c r="AE229" i="1"/>
  <c r="AE230" i="1"/>
  <c r="AE231" i="1"/>
  <c r="AE232" i="1"/>
  <c r="AE292" i="1"/>
  <c r="AE234" i="1"/>
  <c r="AE235" i="1"/>
  <c r="AE371" i="1"/>
  <c r="AE237" i="1"/>
  <c r="AE238" i="1"/>
  <c r="AE2" i="1"/>
  <c r="AE189" i="1"/>
  <c r="AE241" i="1"/>
  <c r="AE160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13" i="1"/>
  <c r="AE257" i="1"/>
  <c r="AE258" i="1"/>
  <c r="AE259" i="1"/>
  <c r="AE260" i="1"/>
  <c r="AE261" i="1"/>
  <c r="AE262" i="1"/>
  <c r="AE263" i="1"/>
  <c r="AE264" i="1"/>
  <c r="AE265" i="1"/>
  <c r="AE34" i="1"/>
  <c r="AE267" i="1"/>
  <c r="AE268" i="1"/>
  <c r="AE269" i="1"/>
  <c r="AE270" i="1"/>
  <c r="AE271" i="1"/>
  <c r="AE272" i="1"/>
  <c r="AE273" i="1"/>
  <c r="AE274" i="1"/>
  <c r="AE275" i="1"/>
  <c r="AE276" i="1"/>
  <c r="AE277" i="1"/>
  <c r="AE171" i="1"/>
  <c r="AE279" i="1"/>
  <c r="AE280" i="1"/>
  <c r="AE281" i="1"/>
  <c r="AE126" i="1"/>
  <c r="AE283" i="1"/>
  <c r="AE284" i="1"/>
  <c r="AE285" i="1"/>
  <c r="AE286" i="1"/>
  <c r="AE287" i="1"/>
  <c r="AE288" i="1"/>
  <c r="AE289" i="1"/>
  <c r="AE290" i="1"/>
  <c r="AE291" i="1"/>
  <c r="AE354" i="1"/>
  <c r="AE293" i="1"/>
  <c r="AE180" i="1"/>
  <c r="AE295" i="1"/>
  <c r="AE296" i="1"/>
  <c r="AE297" i="1"/>
  <c r="AE298" i="1"/>
  <c r="AE167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67" i="1"/>
  <c r="AE349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211" i="1"/>
  <c r="AE339" i="1"/>
  <c r="AE340" i="1"/>
  <c r="AE341" i="1"/>
  <c r="AE342" i="1"/>
  <c r="AE343" i="1"/>
  <c r="AE346" i="1"/>
  <c r="AE345" i="1"/>
  <c r="AE282" i="1"/>
  <c r="AE347" i="1"/>
  <c r="AE348" i="1"/>
  <c r="AE239" i="1"/>
  <c r="AE350" i="1"/>
  <c r="AE351" i="1"/>
  <c r="AE352" i="1"/>
  <c r="AE353" i="1"/>
  <c r="AE137" i="1"/>
  <c r="AE355" i="1"/>
  <c r="AE356" i="1"/>
  <c r="AE357" i="1"/>
  <c r="AE358" i="1"/>
  <c r="AE359" i="1"/>
  <c r="AE360" i="1"/>
  <c r="AE143" i="1"/>
  <c r="AE362" i="1"/>
  <c r="AE363" i="1"/>
  <c r="AE364" i="1"/>
  <c r="AE365" i="1"/>
  <c r="AE366" i="1"/>
  <c r="AE324" i="1"/>
  <c r="AE368" i="1"/>
  <c r="AE369" i="1"/>
  <c r="AE370" i="1"/>
  <c r="AE236" i="1"/>
  <c r="AE23" i="1"/>
  <c r="I3" i="1"/>
  <c r="I4" i="1"/>
  <c r="I136" i="1"/>
  <c r="I6" i="1"/>
  <c r="I120" i="1"/>
  <c r="I8" i="1"/>
  <c r="I9" i="1"/>
  <c r="I10" i="1"/>
  <c r="I11" i="1"/>
  <c r="I12" i="1"/>
  <c r="I13" i="1"/>
  <c r="I14" i="1"/>
  <c r="I15" i="1"/>
  <c r="I16" i="1"/>
  <c r="I17" i="1"/>
  <c r="I108" i="1"/>
  <c r="I19" i="1"/>
  <c r="I20" i="1"/>
  <c r="I21" i="1"/>
  <c r="I104" i="1"/>
  <c r="I141" i="1"/>
  <c r="I24" i="1"/>
  <c r="I25" i="1"/>
  <c r="I26" i="1"/>
  <c r="I185" i="1"/>
  <c r="I28" i="1"/>
  <c r="I29" i="1"/>
  <c r="I30" i="1"/>
  <c r="I31" i="1"/>
  <c r="I32" i="1"/>
  <c r="I33" i="1"/>
  <c r="I78" i="1"/>
  <c r="I35" i="1"/>
  <c r="I36" i="1"/>
  <c r="I37" i="1"/>
  <c r="I38" i="1"/>
  <c r="I168" i="1"/>
  <c r="I40" i="1"/>
  <c r="I41" i="1"/>
  <c r="I42" i="1"/>
  <c r="I43" i="1"/>
  <c r="I44" i="1"/>
  <c r="I45" i="1"/>
  <c r="I46" i="1"/>
  <c r="I135" i="1"/>
  <c r="I48" i="1"/>
  <c r="I49" i="1"/>
  <c r="I50" i="1"/>
  <c r="I51" i="1"/>
  <c r="I52" i="1"/>
  <c r="I53" i="1"/>
  <c r="I54" i="1"/>
  <c r="I55" i="1"/>
  <c r="I56" i="1"/>
  <c r="I19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18" i="1"/>
  <c r="I74" i="1"/>
  <c r="I75" i="1"/>
  <c r="I76" i="1"/>
  <c r="I77" i="1"/>
  <c r="I175" i="1"/>
  <c r="I278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361" i="1"/>
  <c r="I95" i="1"/>
  <c r="I96" i="1"/>
  <c r="I97" i="1"/>
  <c r="I98" i="1"/>
  <c r="I99" i="1"/>
  <c r="I100" i="1"/>
  <c r="I101" i="1"/>
  <c r="I102" i="1"/>
  <c r="I207" i="1"/>
  <c r="I57" i="1"/>
  <c r="I105" i="1"/>
  <c r="I106" i="1"/>
  <c r="I107" i="1"/>
  <c r="I94" i="1"/>
  <c r="I109" i="1"/>
  <c r="I110" i="1"/>
  <c r="I111" i="1"/>
  <c r="I112" i="1"/>
  <c r="I240" i="1"/>
  <c r="I114" i="1"/>
  <c r="I115" i="1"/>
  <c r="I116" i="1"/>
  <c r="I117" i="1"/>
  <c r="I118" i="1"/>
  <c r="I119" i="1"/>
  <c r="I209" i="1"/>
  <c r="I121" i="1"/>
  <c r="I122" i="1"/>
  <c r="I123" i="1"/>
  <c r="I124" i="1"/>
  <c r="I125" i="1"/>
  <c r="I22" i="1"/>
  <c r="I127" i="1"/>
  <c r="I128" i="1"/>
  <c r="I129" i="1"/>
  <c r="I130" i="1"/>
  <c r="I131" i="1"/>
  <c r="I132" i="1"/>
  <c r="I133" i="1"/>
  <c r="I5" i="1"/>
  <c r="I221" i="1"/>
  <c r="I134" i="1"/>
  <c r="I7" i="1"/>
  <c r="I138" i="1"/>
  <c r="I139" i="1"/>
  <c r="I140" i="1"/>
  <c r="I266" i="1"/>
  <c r="I142" i="1"/>
  <c r="I216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233" i="1"/>
  <c r="I294" i="1"/>
  <c r="I162" i="1"/>
  <c r="I163" i="1"/>
  <c r="I164" i="1"/>
  <c r="I165" i="1"/>
  <c r="I166" i="1"/>
  <c r="I27" i="1"/>
  <c r="I215" i="1"/>
  <c r="I169" i="1"/>
  <c r="I170" i="1"/>
  <c r="I73" i="1"/>
  <c r="I172" i="1"/>
  <c r="I173" i="1"/>
  <c r="I113" i="1"/>
  <c r="I299" i="1"/>
  <c r="I338" i="1"/>
  <c r="I177" i="1"/>
  <c r="I178" i="1"/>
  <c r="I179" i="1"/>
  <c r="I47" i="1"/>
  <c r="I181" i="1"/>
  <c r="I182" i="1"/>
  <c r="I183" i="1"/>
  <c r="I184" i="1"/>
  <c r="I242" i="1"/>
  <c r="I186" i="1"/>
  <c r="I187" i="1"/>
  <c r="I188" i="1"/>
  <c r="I325" i="1"/>
  <c r="I190" i="1"/>
  <c r="I191" i="1"/>
  <c r="I192" i="1"/>
  <c r="I193" i="1"/>
  <c r="I194" i="1"/>
  <c r="I195" i="1"/>
  <c r="I196" i="1"/>
  <c r="I79" i="1"/>
  <c r="I198" i="1"/>
  <c r="I199" i="1"/>
  <c r="I200" i="1"/>
  <c r="I201" i="1"/>
  <c r="I202" i="1"/>
  <c r="I203" i="1"/>
  <c r="I204" i="1"/>
  <c r="I161" i="1"/>
  <c r="I206" i="1"/>
  <c r="I39" i="1"/>
  <c r="I208" i="1"/>
  <c r="I176" i="1"/>
  <c r="I210" i="1"/>
  <c r="I344" i="1"/>
  <c r="I212" i="1"/>
  <c r="I174" i="1"/>
  <c r="I214" i="1"/>
  <c r="I256" i="1"/>
  <c r="I222" i="1"/>
  <c r="I217" i="1"/>
  <c r="I218" i="1"/>
  <c r="I219" i="1"/>
  <c r="I220" i="1"/>
  <c r="I205" i="1"/>
  <c r="I103" i="1"/>
  <c r="I223" i="1"/>
  <c r="I224" i="1"/>
  <c r="I225" i="1"/>
  <c r="I226" i="1"/>
  <c r="I227" i="1"/>
  <c r="I228" i="1"/>
  <c r="I229" i="1"/>
  <c r="I230" i="1"/>
  <c r="I231" i="1"/>
  <c r="I232" i="1"/>
  <c r="I292" i="1"/>
  <c r="I234" i="1"/>
  <c r="I235" i="1"/>
  <c r="I371" i="1"/>
  <c r="I237" i="1"/>
  <c r="I238" i="1"/>
  <c r="I2" i="1"/>
  <c r="I189" i="1"/>
  <c r="I241" i="1"/>
  <c r="I160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13" i="1"/>
  <c r="I257" i="1"/>
  <c r="I258" i="1"/>
  <c r="I259" i="1"/>
  <c r="I260" i="1"/>
  <c r="I261" i="1"/>
  <c r="I262" i="1"/>
  <c r="I263" i="1"/>
  <c r="I264" i="1"/>
  <c r="I265" i="1"/>
  <c r="I34" i="1"/>
  <c r="I267" i="1"/>
  <c r="I268" i="1"/>
  <c r="I269" i="1"/>
  <c r="I270" i="1"/>
  <c r="I271" i="1"/>
  <c r="I272" i="1"/>
  <c r="I273" i="1"/>
  <c r="I274" i="1"/>
  <c r="I275" i="1"/>
  <c r="I276" i="1"/>
  <c r="I277" i="1"/>
  <c r="I171" i="1"/>
  <c r="I279" i="1"/>
  <c r="I280" i="1"/>
  <c r="I281" i="1"/>
  <c r="I126" i="1"/>
  <c r="I283" i="1"/>
  <c r="I284" i="1"/>
  <c r="I285" i="1"/>
  <c r="I286" i="1"/>
  <c r="I287" i="1"/>
  <c r="I288" i="1"/>
  <c r="I289" i="1"/>
  <c r="I290" i="1"/>
  <c r="I291" i="1"/>
  <c r="I354" i="1"/>
  <c r="I293" i="1"/>
  <c r="I180" i="1"/>
  <c r="I295" i="1"/>
  <c r="I296" i="1"/>
  <c r="I297" i="1"/>
  <c r="I298" i="1"/>
  <c r="I167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67" i="1"/>
  <c r="I349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211" i="1"/>
  <c r="I339" i="1"/>
  <c r="I340" i="1"/>
  <c r="I341" i="1"/>
  <c r="I342" i="1"/>
  <c r="I343" i="1"/>
  <c r="I346" i="1"/>
  <c r="I345" i="1"/>
  <c r="I282" i="1"/>
  <c r="I347" i="1"/>
  <c r="I348" i="1"/>
  <c r="I239" i="1"/>
  <c r="I350" i="1"/>
  <c r="I351" i="1"/>
  <c r="I352" i="1"/>
  <c r="I353" i="1"/>
  <c r="I137" i="1"/>
  <c r="I355" i="1"/>
  <c r="I356" i="1"/>
  <c r="I357" i="1"/>
  <c r="I358" i="1"/>
  <c r="I359" i="1"/>
  <c r="I360" i="1"/>
  <c r="I143" i="1"/>
  <c r="I362" i="1"/>
  <c r="I363" i="1"/>
  <c r="I364" i="1"/>
  <c r="I365" i="1"/>
  <c r="I366" i="1"/>
  <c r="I324" i="1"/>
  <c r="I368" i="1"/>
  <c r="I369" i="1"/>
  <c r="I370" i="1"/>
  <c r="I236" i="1"/>
  <c r="I23" i="1"/>
  <c r="AA3" i="1"/>
  <c r="AA4" i="1"/>
  <c r="AA136" i="1"/>
  <c r="AA6" i="1"/>
  <c r="AA120" i="1"/>
  <c r="AA8" i="1"/>
  <c r="AA9" i="1"/>
  <c r="AA10" i="1"/>
  <c r="AA11" i="1"/>
  <c r="AA12" i="1"/>
  <c r="AA13" i="1"/>
  <c r="AA14" i="1"/>
  <c r="AA15" i="1"/>
  <c r="AA16" i="1"/>
  <c r="AA17" i="1"/>
  <c r="AA108" i="1"/>
  <c r="AA19" i="1"/>
  <c r="AA20" i="1"/>
  <c r="AA21" i="1"/>
  <c r="AA104" i="1"/>
  <c r="AA141" i="1"/>
  <c r="AA24" i="1"/>
  <c r="AA25" i="1"/>
  <c r="AA26" i="1"/>
  <c r="AA185" i="1"/>
  <c r="AA28" i="1"/>
  <c r="AA29" i="1"/>
  <c r="AA30" i="1"/>
  <c r="AA31" i="1"/>
  <c r="AA32" i="1"/>
  <c r="AA33" i="1"/>
  <c r="AA78" i="1"/>
  <c r="AA35" i="1"/>
  <c r="AA36" i="1"/>
  <c r="AA37" i="1"/>
  <c r="AA38" i="1"/>
  <c r="AA168" i="1"/>
  <c r="AA40" i="1"/>
  <c r="AA41" i="1"/>
  <c r="AA42" i="1"/>
  <c r="AA43" i="1"/>
  <c r="AA44" i="1"/>
  <c r="AA45" i="1"/>
  <c r="AA46" i="1"/>
  <c r="AA135" i="1"/>
  <c r="AA48" i="1"/>
  <c r="AA49" i="1"/>
  <c r="AA50" i="1"/>
  <c r="AA51" i="1"/>
  <c r="AA52" i="1"/>
  <c r="AA53" i="1"/>
  <c r="AA54" i="1"/>
  <c r="AA55" i="1"/>
  <c r="AA56" i="1"/>
  <c r="AA19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18" i="1"/>
  <c r="AA74" i="1"/>
  <c r="AA75" i="1"/>
  <c r="AA76" i="1"/>
  <c r="AA77" i="1"/>
  <c r="AA175" i="1"/>
  <c r="AA278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361" i="1"/>
  <c r="AA95" i="1"/>
  <c r="AA96" i="1"/>
  <c r="AA97" i="1"/>
  <c r="AA98" i="1"/>
  <c r="AA99" i="1"/>
  <c r="AA100" i="1"/>
  <c r="AA101" i="1"/>
  <c r="AA102" i="1"/>
  <c r="AA207" i="1"/>
  <c r="AA57" i="1"/>
  <c r="AA105" i="1"/>
  <c r="AA106" i="1"/>
  <c r="AA107" i="1"/>
  <c r="AA94" i="1"/>
  <c r="AA109" i="1"/>
  <c r="AA110" i="1"/>
  <c r="AA111" i="1"/>
  <c r="AA112" i="1"/>
  <c r="AA240" i="1"/>
  <c r="AA114" i="1"/>
  <c r="AA115" i="1"/>
  <c r="AA116" i="1"/>
  <c r="AA117" i="1"/>
  <c r="AA118" i="1"/>
  <c r="AA119" i="1"/>
  <c r="AA209" i="1"/>
  <c r="AA121" i="1"/>
  <c r="AA122" i="1"/>
  <c r="AA123" i="1"/>
  <c r="AA124" i="1"/>
  <c r="AA125" i="1"/>
  <c r="AA22" i="1"/>
  <c r="AA127" i="1"/>
  <c r="AA128" i="1"/>
  <c r="AA129" i="1"/>
  <c r="AA130" i="1"/>
  <c r="AA131" i="1"/>
  <c r="AA132" i="1"/>
  <c r="AA133" i="1"/>
  <c r="AA5" i="1"/>
  <c r="AA221" i="1"/>
  <c r="AA134" i="1"/>
  <c r="AA7" i="1"/>
  <c r="AA138" i="1"/>
  <c r="AA139" i="1"/>
  <c r="AA140" i="1"/>
  <c r="AA266" i="1"/>
  <c r="AA142" i="1"/>
  <c r="AA216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233" i="1"/>
  <c r="AA294" i="1"/>
  <c r="AA162" i="1"/>
  <c r="AA163" i="1"/>
  <c r="AA164" i="1"/>
  <c r="AA165" i="1"/>
  <c r="AA166" i="1"/>
  <c r="AA27" i="1"/>
  <c r="AA215" i="1"/>
  <c r="AA169" i="1"/>
  <c r="AA170" i="1"/>
  <c r="AA73" i="1"/>
  <c r="AA172" i="1"/>
  <c r="AA173" i="1"/>
  <c r="AA113" i="1"/>
  <c r="AA299" i="1"/>
  <c r="AA338" i="1"/>
  <c r="AA177" i="1"/>
  <c r="AA178" i="1"/>
  <c r="AA179" i="1"/>
  <c r="AA47" i="1"/>
  <c r="AA181" i="1"/>
  <c r="AA182" i="1"/>
  <c r="AA183" i="1"/>
  <c r="AA184" i="1"/>
  <c r="AA242" i="1"/>
  <c r="AA186" i="1"/>
  <c r="AA187" i="1"/>
  <c r="AA188" i="1"/>
  <c r="AA325" i="1"/>
  <c r="AA190" i="1"/>
  <c r="AA191" i="1"/>
  <c r="AA192" i="1"/>
  <c r="AA193" i="1"/>
  <c r="AA194" i="1"/>
  <c r="AA195" i="1"/>
  <c r="AA196" i="1"/>
  <c r="AA79" i="1"/>
  <c r="AA198" i="1"/>
  <c r="AA199" i="1"/>
  <c r="AA200" i="1"/>
  <c r="AA201" i="1"/>
  <c r="AA202" i="1"/>
  <c r="AA203" i="1"/>
  <c r="AA204" i="1"/>
  <c r="AA161" i="1"/>
  <c r="AA206" i="1"/>
  <c r="AA39" i="1"/>
  <c r="AA208" i="1"/>
  <c r="AA176" i="1"/>
  <c r="AA210" i="1"/>
  <c r="AA344" i="1"/>
  <c r="AA212" i="1"/>
  <c r="AA174" i="1"/>
  <c r="AA214" i="1"/>
  <c r="AA256" i="1"/>
  <c r="AA222" i="1"/>
  <c r="AA217" i="1"/>
  <c r="AA218" i="1"/>
  <c r="AA219" i="1"/>
  <c r="AA220" i="1"/>
  <c r="AA205" i="1"/>
  <c r="AA103" i="1"/>
  <c r="AA223" i="1"/>
  <c r="AA224" i="1"/>
  <c r="AA225" i="1"/>
  <c r="AA226" i="1"/>
  <c r="AA227" i="1"/>
  <c r="AA228" i="1"/>
  <c r="AA229" i="1"/>
  <c r="AA230" i="1"/>
  <c r="AA231" i="1"/>
  <c r="AA232" i="1"/>
  <c r="AA292" i="1"/>
  <c r="AA234" i="1"/>
  <c r="AA235" i="1"/>
  <c r="AA371" i="1"/>
  <c r="AA237" i="1"/>
  <c r="AA238" i="1"/>
  <c r="AA2" i="1"/>
  <c r="AA189" i="1"/>
  <c r="AA241" i="1"/>
  <c r="AA160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13" i="1"/>
  <c r="AA257" i="1"/>
  <c r="AA258" i="1"/>
  <c r="AA259" i="1"/>
  <c r="AA260" i="1"/>
  <c r="AA261" i="1"/>
  <c r="AA262" i="1"/>
  <c r="AA263" i="1"/>
  <c r="AA264" i="1"/>
  <c r="AA265" i="1"/>
  <c r="AA34" i="1"/>
  <c r="AA267" i="1"/>
  <c r="AA268" i="1"/>
  <c r="AA269" i="1"/>
  <c r="AA270" i="1"/>
  <c r="AA271" i="1"/>
  <c r="AA272" i="1"/>
  <c r="AA273" i="1"/>
  <c r="AA274" i="1"/>
  <c r="AA275" i="1"/>
  <c r="AA276" i="1"/>
  <c r="AA277" i="1"/>
  <c r="AA171" i="1"/>
  <c r="AA279" i="1"/>
  <c r="AA280" i="1"/>
  <c r="AA281" i="1"/>
  <c r="AA126" i="1"/>
  <c r="AA283" i="1"/>
  <c r="AA284" i="1"/>
  <c r="AA285" i="1"/>
  <c r="AA286" i="1"/>
  <c r="AA287" i="1"/>
  <c r="AA288" i="1"/>
  <c r="AA289" i="1"/>
  <c r="AA290" i="1"/>
  <c r="AA291" i="1"/>
  <c r="AA354" i="1"/>
  <c r="AA293" i="1"/>
  <c r="AA180" i="1"/>
  <c r="AA295" i="1"/>
  <c r="AA296" i="1"/>
  <c r="AA297" i="1"/>
  <c r="AA298" i="1"/>
  <c r="AA167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67" i="1"/>
  <c r="AA349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211" i="1"/>
  <c r="AA339" i="1"/>
  <c r="AA340" i="1"/>
  <c r="AA341" i="1"/>
  <c r="AA342" i="1"/>
  <c r="AA343" i="1"/>
  <c r="AA346" i="1"/>
  <c r="AA345" i="1"/>
  <c r="AA282" i="1"/>
  <c r="AA347" i="1"/>
  <c r="AA348" i="1"/>
  <c r="AA239" i="1"/>
  <c r="AA350" i="1"/>
  <c r="AA351" i="1"/>
  <c r="AA352" i="1"/>
  <c r="AA353" i="1"/>
  <c r="AA137" i="1"/>
  <c r="AA355" i="1"/>
  <c r="AA356" i="1"/>
  <c r="AA357" i="1"/>
  <c r="AA358" i="1"/>
  <c r="AA359" i="1"/>
  <c r="AA360" i="1"/>
  <c r="AA143" i="1"/>
  <c r="AA362" i="1"/>
  <c r="AA363" i="1"/>
  <c r="AA364" i="1"/>
  <c r="AA365" i="1"/>
  <c r="AA366" i="1"/>
  <c r="AA324" i="1"/>
  <c r="AA368" i="1"/>
  <c r="AA369" i="1"/>
  <c r="AA370" i="1"/>
  <c r="AA236" i="1"/>
  <c r="AA23" i="1"/>
  <c r="BM23" i="1"/>
  <c r="BN23" i="1" s="1"/>
  <c r="BM3" i="1"/>
  <c r="BN3" i="1" s="1"/>
  <c r="BM4" i="1"/>
  <c r="BN4" i="1" s="1"/>
  <c r="BM136" i="1"/>
  <c r="BN136" i="1" s="1"/>
  <c r="BM6" i="1"/>
  <c r="BN6" i="1" s="1"/>
  <c r="BM120" i="1"/>
  <c r="BN120" i="1" s="1"/>
  <c r="BM8" i="1"/>
  <c r="BN8" i="1" s="1"/>
  <c r="BM9" i="1"/>
  <c r="BN9" i="1" s="1"/>
  <c r="BM10" i="1"/>
  <c r="BN10" i="1" s="1"/>
  <c r="BM11" i="1"/>
  <c r="BN11" i="1" s="1"/>
  <c r="BM12" i="1"/>
  <c r="BN12" i="1" s="1"/>
  <c r="BM13" i="1"/>
  <c r="BN13" i="1" s="1"/>
  <c r="BM14" i="1"/>
  <c r="BN14" i="1" s="1"/>
  <c r="BM15" i="1"/>
  <c r="BN15" i="1" s="1"/>
  <c r="BM16" i="1"/>
  <c r="BN16" i="1" s="1"/>
  <c r="BM17" i="1"/>
  <c r="BN17" i="1" s="1"/>
  <c r="BM108" i="1"/>
  <c r="BN108" i="1" s="1"/>
  <c r="BM19" i="1"/>
  <c r="BN19" i="1" s="1"/>
  <c r="BM20" i="1"/>
  <c r="BN20" i="1" s="1"/>
  <c r="BM21" i="1"/>
  <c r="BN21" i="1" s="1"/>
  <c r="BM104" i="1"/>
  <c r="BN104" i="1" s="1"/>
  <c r="BM141" i="1"/>
  <c r="BN141" i="1" s="1"/>
  <c r="BM24" i="1"/>
  <c r="BN24" i="1" s="1"/>
  <c r="BM25" i="1"/>
  <c r="BN25" i="1" s="1"/>
  <c r="BM26" i="1"/>
  <c r="BN26" i="1" s="1"/>
  <c r="BM185" i="1"/>
  <c r="BN185" i="1" s="1"/>
  <c r="BM28" i="1"/>
  <c r="BN28" i="1" s="1"/>
  <c r="BM29" i="1"/>
  <c r="BN29" i="1" s="1"/>
  <c r="BM30" i="1"/>
  <c r="BN30" i="1" s="1"/>
  <c r="BM31" i="1"/>
  <c r="BN31" i="1" s="1"/>
  <c r="BM32" i="1"/>
  <c r="BN32" i="1" s="1"/>
  <c r="BM33" i="1"/>
  <c r="BN33" i="1" s="1"/>
  <c r="BM78" i="1"/>
  <c r="BN78" i="1" s="1"/>
  <c r="BM35" i="1"/>
  <c r="BN35" i="1" s="1"/>
  <c r="BM36" i="1"/>
  <c r="BN36" i="1" s="1"/>
  <c r="BM37" i="1"/>
  <c r="BN37" i="1" s="1"/>
  <c r="BM38" i="1"/>
  <c r="BN38" i="1" s="1"/>
  <c r="BM168" i="1"/>
  <c r="BN168" i="1" s="1"/>
  <c r="BM40" i="1"/>
  <c r="BN40" i="1" s="1"/>
  <c r="BM41" i="1"/>
  <c r="BN41" i="1" s="1"/>
  <c r="BM42" i="1"/>
  <c r="BN42" i="1" s="1"/>
  <c r="BM43" i="1"/>
  <c r="BN43" i="1" s="1"/>
  <c r="BM44" i="1"/>
  <c r="BN44" i="1" s="1"/>
  <c r="BM45" i="1"/>
  <c r="BN45" i="1" s="1"/>
  <c r="BM46" i="1"/>
  <c r="BN46" i="1" s="1"/>
  <c r="BM135" i="1"/>
  <c r="BN135" i="1" s="1"/>
  <c r="BM48" i="1"/>
  <c r="BN48" i="1" s="1"/>
  <c r="BM49" i="1"/>
  <c r="BN49" i="1" s="1"/>
  <c r="BM50" i="1"/>
  <c r="BN50" i="1" s="1"/>
  <c r="BM51" i="1"/>
  <c r="BN51" i="1" s="1"/>
  <c r="BM52" i="1"/>
  <c r="BN52" i="1" s="1"/>
  <c r="BM53" i="1"/>
  <c r="BN53" i="1" s="1"/>
  <c r="BM54" i="1"/>
  <c r="BN54" i="1" s="1"/>
  <c r="BM55" i="1"/>
  <c r="BN55" i="1" s="1"/>
  <c r="BM56" i="1"/>
  <c r="BN56" i="1" s="1"/>
  <c r="BM197" i="1"/>
  <c r="BN197" i="1" s="1"/>
  <c r="BM58" i="1"/>
  <c r="BN58" i="1" s="1"/>
  <c r="BM59" i="1"/>
  <c r="BN59" i="1" s="1"/>
  <c r="BM60" i="1"/>
  <c r="BN60" i="1" s="1"/>
  <c r="BM61" i="1"/>
  <c r="BN61" i="1" s="1"/>
  <c r="BM62" i="1"/>
  <c r="BN62" i="1" s="1"/>
  <c r="BM63" i="1"/>
  <c r="BN63" i="1" s="1"/>
  <c r="BM64" i="1"/>
  <c r="BN64" i="1" s="1"/>
  <c r="BM65" i="1"/>
  <c r="BN65" i="1" s="1"/>
  <c r="BM66" i="1"/>
  <c r="BN66" i="1" s="1"/>
  <c r="BM67" i="1"/>
  <c r="BN67" i="1" s="1"/>
  <c r="BM68" i="1"/>
  <c r="BN68" i="1" s="1"/>
  <c r="BM69" i="1"/>
  <c r="BN69" i="1" s="1"/>
  <c r="BM70" i="1"/>
  <c r="BN70" i="1" s="1"/>
  <c r="BM71" i="1"/>
  <c r="BN71" i="1" s="1"/>
  <c r="BM72" i="1"/>
  <c r="BN72" i="1" s="1"/>
  <c r="BM18" i="1"/>
  <c r="BN18" i="1" s="1"/>
  <c r="BM74" i="1"/>
  <c r="BN74" i="1" s="1"/>
  <c r="BM75" i="1"/>
  <c r="BN75" i="1" s="1"/>
  <c r="BM76" i="1"/>
  <c r="BN76" i="1" s="1"/>
  <c r="BM77" i="1"/>
  <c r="BN77" i="1" s="1"/>
  <c r="BM175" i="1"/>
  <c r="BN175" i="1" s="1"/>
  <c r="BM278" i="1"/>
  <c r="BN278" i="1" s="1"/>
  <c r="BM80" i="1"/>
  <c r="BN80" i="1" s="1"/>
  <c r="BM81" i="1"/>
  <c r="BN81" i="1" s="1"/>
  <c r="BM82" i="1"/>
  <c r="BN82" i="1" s="1"/>
  <c r="BM83" i="1"/>
  <c r="BN83" i="1" s="1"/>
  <c r="BM84" i="1"/>
  <c r="BN84" i="1" s="1"/>
  <c r="BM85" i="1"/>
  <c r="BN85" i="1" s="1"/>
  <c r="BM86" i="1"/>
  <c r="BN86" i="1" s="1"/>
  <c r="BM87" i="1"/>
  <c r="BN87" i="1" s="1"/>
  <c r="BM88" i="1"/>
  <c r="BN88" i="1" s="1"/>
  <c r="BM89" i="1"/>
  <c r="BN89" i="1" s="1"/>
  <c r="BM90" i="1"/>
  <c r="BN90" i="1" s="1"/>
  <c r="BM91" i="1"/>
  <c r="BN91" i="1" s="1"/>
  <c r="BM92" i="1"/>
  <c r="BN92" i="1" s="1"/>
  <c r="BM93" i="1"/>
  <c r="BN93" i="1" s="1"/>
  <c r="BM361" i="1"/>
  <c r="BN361" i="1" s="1"/>
  <c r="BM95" i="1"/>
  <c r="BN95" i="1" s="1"/>
  <c r="BM96" i="1"/>
  <c r="BN96" i="1" s="1"/>
  <c r="BM97" i="1"/>
  <c r="BN97" i="1" s="1"/>
  <c r="BM98" i="1"/>
  <c r="BN98" i="1" s="1"/>
  <c r="BM99" i="1"/>
  <c r="BN99" i="1" s="1"/>
  <c r="BM100" i="1"/>
  <c r="BN100" i="1" s="1"/>
  <c r="BM101" i="1"/>
  <c r="BN101" i="1" s="1"/>
  <c r="BM102" i="1"/>
  <c r="BN102" i="1" s="1"/>
  <c r="BM207" i="1"/>
  <c r="BN207" i="1" s="1"/>
  <c r="BM57" i="1"/>
  <c r="BN57" i="1" s="1"/>
  <c r="BM105" i="1"/>
  <c r="BN105" i="1" s="1"/>
  <c r="BM106" i="1"/>
  <c r="BN106" i="1" s="1"/>
  <c r="BM107" i="1"/>
  <c r="BN107" i="1" s="1"/>
  <c r="BM94" i="1"/>
  <c r="BN94" i="1" s="1"/>
  <c r="BM109" i="1"/>
  <c r="BN109" i="1" s="1"/>
  <c r="BM110" i="1"/>
  <c r="BN110" i="1" s="1"/>
  <c r="BM111" i="1"/>
  <c r="BN111" i="1" s="1"/>
  <c r="BM112" i="1"/>
  <c r="BN112" i="1" s="1"/>
  <c r="BM240" i="1"/>
  <c r="BN240" i="1" s="1"/>
  <c r="BM114" i="1"/>
  <c r="BN114" i="1" s="1"/>
  <c r="BM115" i="1"/>
  <c r="BN115" i="1" s="1"/>
  <c r="BM116" i="1"/>
  <c r="BN116" i="1" s="1"/>
  <c r="BM117" i="1"/>
  <c r="BN117" i="1" s="1"/>
  <c r="BM118" i="1"/>
  <c r="BN118" i="1" s="1"/>
  <c r="BM119" i="1"/>
  <c r="BN119" i="1" s="1"/>
  <c r="BM209" i="1"/>
  <c r="BN209" i="1" s="1"/>
  <c r="BM121" i="1"/>
  <c r="BN121" i="1" s="1"/>
  <c r="BM122" i="1"/>
  <c r="BN122" i="1" s="1"/>
  <c r="BM123" i="1"/>
  <c r="BN123" i="1" s="1"/>
  <c r="BM124" i="1"/>
  <c r="BN124" i="1" s="1"/>
  <c r="BM125" i="1"/>
  <c r="BN125" i="1" s="1"/>
  <c r="BM22" i="1"/>
  <c r="BN22" i="1" s="1"/>
  <c r="BM127" i="1"/>
  <c r="BN127" i="1" s="1"/>
  <c r="BM128" i="1"/>
  <c r="BN128" i="1" s="1"/>
  <c r="BM129" i="1"/>
  <c r="BN129" i="1" s="1"/>
  <c r="BM130" i="1"/>
  <c r="BN130" i="1" s="1"/>
  <c r="BM131" i="1"/>
  <c r="BN131" i="1" s="1"/>
  <c r="BM132" i="1"/>
  <c r="BN132" i="1" s="1"/>
  <c r="BM133" i="1"/>
  <c r="BN133" i="1" s="1"/>
  <c r="BM5" i="1"/>
  <c r="BN5" i="1" s="1"/>
  <c r="BM221" i="1"/>
  <c r="BN221" i="1" s="1"/>
  <c r="BM134" i="1"/>
  <c r="BN134" i="1" s="1"/>
  <c r="BM7" i="1"/>
  <c r="BN7" i="1" s="1"/>
  <c r="BM138" i="1"/>
  <c r="BN138" i="1" s="1"/>
  <c r="BM139" i="1"/>
  <c r="BN139" i="1" s="1"/>
  <c r="BM140" i="1"/>
  <c r="BN140" i="1" s="1"/>
  <c r="BM266" i="1"/>
  <c r="BN266" i="1" s="1"/>
  <c r="BM142" i="1"/>
  <c r="BN142" i="1" s="1"/>
  <c r="BM216" i="1"/>
  <c r="BN216" i="1" s="1"/>
  <c r="BM144" i="1"/>
  <c r="BN144" i="1" s="1"/>
  <c r="BM145" i="1"/>
  <c r="BN145" i="1" s="1"/>
  <c r="BM146" i="1"/>
  <c r="BN146" i="1" s="1"/>
  <c r="BM147" i="1"/>
  <c r="BN147" i="1" s="1"/>
  <c r="BM148" i="1"/>
  <c r="BN148" i="1" s="1"/>
  <c r="BM149" i="1"/>
  <c r="BN149" i="1" s="1"/>
  <c r="BM150" i="1"/>
  <c r="BN150" i="1" s="1"/>
  <c r="BM151" i="1"/>
  <c r="BN151" i="1" s="1"/>
  <c r="BM152" i="1"/>
  <c r="BN152" i="1" s="1"/>
  <c r="BM153" i="1"/>
  <c r="BN153" i="1" s="1"/>
  <c r="BM154" i="1"/>
  <c r="BN154" i="1" s="1"/>
  <c r="BM155" i="1"/>
  <c r="BN155" i="1" s="1"/>
  <c r="BM156" i="1"/>
  <c r="BN156" i="1" s="1"/>
  <c r="BM157" i="1"/>
  <c r="BN157" i="1" s="1"/>
  <c r="BM158" i="1"/>
  <c r="BN158" i="1" s="1"/>
  <c r="BM159" i="1"/>
  <c r="BN159" i="1" s="1"/>
  <c r="BM233" i="1"/>
  <c r="BN233" i="1" s="1"/>
  <c r="BM294" i="1"/>
  <c r="BN294" i="1" s="1"/>
  <c r="BM162" i="1"/>
  <c r="BN162" i="1" s="1"/>
  <c r="BM163" i="1"/>
  <c r="BN163" i="1" s="1"/>
  <c r="BM164" i="1"/>
  <c r="BN164" i="1" s="1"/>
  <c r="BM165" i="1"/>
  <c r="BN165" i="1" s="1"/>
  <c r="BM166" i="1"/>
  <c r="BN166" i="1" s="1"/>
  <c r="BM27" i="1"/>
  <c r="BN27" i="1" s="1"/>
  <c r="BM215" i="1"/>
  <c r="BN215" i="1" s="1"/>
  <c r="BM169" i="1"/>
  <c r="BN169" i="1" s="1"/>
  <c r="BM170" i="1"/>
  <c r="BN170" i="1" s="1"/>
  <c r="BM73" i="1"/>
  <c r="BN73" i="1" s="1"/>
  <c r="BM172" i="1"/>
  <c r="BN172" i="1" s="1"/>
  <c r="BM173" i="1"/>
  <c r="BN173" i="1" s="1"/>
  <c r="BM113" i="1"/>
  <c r="BN113" i="1" s="1"/>
  <c r="BM299" i="1"/>
  <c r="BN299" i="1" s="1"/>
  <c r="BM338" i="1"/>
  <c r="BN338" i="1" s="1"/>
  <c r="BM177" i="1"/>
  <c r="BN177" i="1" s="1"/>
  <c r="BM178" i="1"/>
  <c r="BN178" i="1" s="1"/>
  <c r="BM179" i="1"/>
  <c r="BN179" i="1" s="1"/>
  <c r="BM47" i="1"/>
  <c r="BN47" i="1" s="1"/>
  <c r="BM181" i="1"/>
  <c r="BN181" i="1" s="1"/>
  <c r="BM182" i="1"/>
  <c r="BN182" i="1" s="1"/>
  <c r="BM183" i="1"/>
  <c r="BN183" i="1" s="1"/>
  <c r="BM184" i="1"/>
  <c r="BN184" i="1" s="1"/>
  <c r="BM242" i="1"/>
  <c r="BN242" i="1" s="1"/>
  <c r="BM186" i="1"/>
  <c r="BN186" i="1" s="1"/>
  <c r="BM187" i="1"/>
  <c r="BN187" i="1" s="1"/>
  <c r="BM188" i="1"/>
  <c r="BN188" i="1" s="1"/>
  <c r="BM325" i="1"/>
  <c r="BN325" i="1" s="1"/>
  <c r="BM190" i="1"/>
  <c r="BN190" i="1" s="1"/>
  <c r="BM191" i="1"/>
  <c r="BN191" i="1" s="1"/>
  <c r="BM192" i="1"/>
  <c r="BN192" i="1" s="1"/>
  <c r="BM193" i="1"/>
  <c r="BN193" i="1" s="1"/>
  <c r="BM194" i="1"/>
  <c r="BN194" i="1" s="1"/>
  <c r="BM195" i="1"/>
  <c r="BN195" i="1" s="1"/>
  <c r="BM196" i="1"/>
  <c r="BN196" i="1" s="1"/>
  <c r="BM79" i="1"/>
  <c r="BN79" i="1" s="1"/>
  <c r="BM198" i="1"/>
  <c r="BN198" i="1" s="1"/>
  <c r="BM199" i="1"/>
  <c r="BN199" i="1" s="1"/>
  <c r="BM200" i="1"/>
  <c r="BN200" i="1" s="1"/>
  <c r="BM201" i="1"/>
  <c r="BN201" i="1" s="1"/>
  <c r="BM202" i="1"/>
  <c r="BN202" i="1" s="1"/>
  <c r="BM203" i="1"/>
  <c r="BN203" i="1" s="1"/>
  <c r="BM204" i="1"/>
  <c r="BN204" i="1" s="1"/>
  <c r="BM161" i="1"/>
  <c r="BN161" i="1" s="1"/>
  <c r="BM206" i="1"/>
  <c r="BN206" i="1" s="1"/>
  <c r="BM39" i="1"/>
  <c r="BN39" i="1" s="1"/>
  <c r="BM208" i="1"/>
  <c r="BN208" i="1" s="1"/>
  <c r="BM176" i="1"/>
  <c r="BN176" i="1" s="1"/>
  <c r="BM210" i="1"/>
  <c r="BN210" i="1" s="1"/>
  <c r="BM344" i="1"/>
  <c r="BN344" i="1" s="1"/>
  <c r="BM212" i="1"/>
  <c r="BN212" i="1" s="1"/>
  <c r="BM174" i="1"/>
  <c r="BN174" i="1" s="1"/>
  <c r="BM214" i="1"/>
  <c r="BN214" i="1" s="1"/>
  <c r="BM256" i="1"/>
  <c r="BN256" i="1" s="1"/>
  <c r="BM222" i="1"/>
  <c r="BN222" i="1" s="1"/>
  <c r="BM217" i="1"/>
  <c r="BN217" i="1" s="1"/>
  <c r="BM218" i="1"/>
  <c r="BN218" i="1" s="1"/>
  <c r="BM219" i="1"/>
  <c r="BN219" i="1" s="1"/>
  <c r="BM220" i="1"/>
  <c r="BN220" i="1" s="1"/>
  <c r="BM205" i="1"/>
  <c r="BN205" i="1" s="1"/>
  <c r="BM103" i="1"/>
  <c r="BN103" i="1" s="1"/>
  <c r="BM223" i="1"/>
  <c r="BN223" i="1" s="1"/>
  <c r="BM224" i="1"/>
  <c r="BN224" i="1" s="1"/>
  <c r="BM225" i="1"/>
  <c r="BN225" i="1" s="1"/>
  <c r="BM226" i="1"/>
  <c r="BN226" i="1" s="1"/>
  <c r="BM227" i="1"/>
  <c r="BN227" i="1" s="1"/>
  <c r="BM228" i="1"/>
  <c r="BN228" i="1" s="1"/>
  <c r="BM229" i="1"/>
  <c r="BN229" i="1" s="1"/>
  <c r="BM230" i="1"/>
  <c r="BN230" i="1" s="1"/>
  <c r="BM231" i="1"/>
  <c r="BN231" i="1" s="1"/>
  <c r="BM232" i="1"/>
  <c r="BN232" i="1" s="1"/>
  <c r="BM292" i="1"/>
  <c r="BN292" i="1" s="1"/>
  <c r="BM234" i="1"/>
  <c r="BN234" i="1" s="1"/>
  <c r="BM235" i="1"/>
  <c r="BN235" i="1" s="1"/>
  <c r="BM371" i="1"/>
  <c r="BN371" i="1" s="1"/>
  <c r="BM237" i="1"/>
  <c r="BN237" i="1" s="1"/>
  <c r="BM238" i="1"/>
  <c r="BN238" i="1" s="1"/>
  <c r="BM2" i="1"/>
  <c r="BN2" i="1" s="1"/>
  <c r="BM189" i="1"/>
  <c r="BN189" i="1" s="1"/>
  <c r="BM241" i="1"/>
  <c r="BN241" i="1" s="1"/>
  <c r="BM160" i="1"/>
  <c r="BN160" i="1" s="1"/>
  <c r="BM243" i="1"/>
  <c r="BN243" i="1" s="1"/>
  <c r="BM244" i="1"/>
  <c r="BN244" i="1" s="1"/>
  <c r="BM245" i="1"/>
  <c r="BN245" i="1" s="1"/>
  <c r="BM246" i="1"/>
  <c r="BN246" i="1" s="1"/>
  <c r="BM247" i="1"/>
  <c r="BN247" i="1" s="1"/>
  <c r="BM248" i="1"/>
  <c r="BN248" i="1" s="1"/>
  <c r="BM249" i="1"/>
  <c r="BN249" i="1" s="1"/>
  <c r="BM250" i="1"/>
  <c r="BN250" i="1" s="1"/>
  <c r="BM251" i="1"/>
  <c r="BN251" i="1" s="1"/>
  <c r="BM252" i="1"/>
  <c r="BN252" i="1" s="1"/>
  <c r="BM253" i="1"/>
  <c r="BN253" i="1" s="1"/>
  <c r="BM254" i="1"/>
  <c r="BN254" i="1" s="1"/>
  <c r="BM255" i="1"/>
  <c r="BN255" i="1" s="1"/>
  <c r="BM213" i="1"/>
  <c r="BN213" i="1" s="1"/>
  <c r="BM257" i="1"/>
  <c r="BN257" i="1" s="1"/>
  <c r="BM258" i="1"/>
  <c r="BN258" i="1" s="1"/>
  <c r="BM259" i="1"/>
  <c r="BN259" i="1" s="1"/>
  <c r="BM260" i="1"/>
  <c r="BN260" i="1" s="1"/>
  <c r="BM261" i="1"/>
  <c r="BN261" i="1" s="1"/>
  <c r="BM262" i="1"/>
  <c r="BN262" i="1" s="1"/>
  <c r="BM263" i="1"/>
  <c r="BN263" i="1" s="1"/>
  <c r="BM264" i="1"/>
  <c r="BN264" i="1" s="1"/>
  <c r="BM265" i="1"/>
  <c r="BN265" i="1" s="1"/>
  <c r="BM34" i="1"/>
  <c r="BN34" i="1" s="1"/>
  <c r="BM267" i="1"/>
  <c r="BN267" i="1" s="1"/>
  <c r="BM268" i="1"/>
  <c r="BN268" i="1" s="1"/>
  <c r="BM269" i="1"/>
  <c r="BN269" i="1" s="1"/>
  <c r="BM270" i="1"/>
  <c r="BN270" i="1" s="1"/>
  <c r="BM271" i="1"/>
  <c r="BN271" i="1" s="1"/>
  <c r="BM272" i="1"/>
  <c r="BN272" i="1" s="1"/>
  <c r="BM273" i="1"/>
  <c r="BN273" i="1" s="1"/>
  <c r="BM274" i="1"/>
  <c r="BN274" i="1" s="1"/>
  <c r="BM275" i="1"/>
  <c r="BN275" i="1" s="1"/>
  <c r="BM276" i="1"/>
  <c r="BN276" i="1" s="1"/>
  <c r="BM277" i="1"/>
  <c r="BN277" i="1" s="1"/>
  <c r="BM171" i="1"/>
  <c r="BN171" i="1" s="1"/>
  <c r="BM279" i="1"/>
  <c r="BN279" i="1" s="1"/>
  <c r="BM280" i="1"/>
  <c r="BN280" i="1" s="1"/>
  <c r="BM281" i="1"/>
  <c r="BN281" i="1" s="1"/>
  <c r="BM126" i="1"/>
  <c r="BN126" i="1" s="1"/>
  <c r="BM283" i="1"/>
  <c r="BN283" i="1" s="1"/>
  <c r="BM284" i="1"/>
  <c r="BN284" i="1" s="1"/>
  <c r="BM285" i="1"/>
  <c r="BN285" i="1" s="1"/>
  <c r="BM286" i="1"/>
  <c r="BN286" i="1" s="1"/>
  <c r="BM287" i="1"/>
  <c r="BN287" i="1" s="1"/>
  <c r="BM288" i="1"/>
  <c r="BN288" i="1" s="1"/>
  <c r="BM289" i="1"/>
  <c r="BN289" i="1" s="1"/>
  <c r="BM290" i="1"/>
  <c r="BN290" i="1" s="1"/>
  <c r="BM291" i="1"/>
  <c r="BN291" i="1" s="1"/>
  <c r="BM354" i="1"/>
  <c r="BN354" i="1" s="1"/>
  <c r="BM293" i="1"/>
  <c r="BN293" i="1" s="1"/>
  <c r="BM180" i="1"/>
  <c r="BN180" i="1" s="1"/>
  <c r="BM295" i="1"/>
  <c r="BN295" i="1" s="1"/>
  <c r="BM296" i="1"/>
  <c r="BN296" i="1" s="1"/>
  <c r="BM297" i="1"/>
  <c r="BN297" i="1" s="1"/>
  <c r="BM298" i="1"/>
  <c r="BN298" i="1" s="1"/>
  <c r="BM167" i="1"/>
  <c r="BN167" i="1" s="1"/>
  <c r="BM300" i="1"/>
  <c r="BN300" i="1" s="1"/>
  <c r="BM301" i="1"/>
  <c r="BN301" i="1" s="1"/>
  <c r="BM302" i="1"/>
  <c r="BN302" i="1" s="1"/>
  <c r="BM303" i="1"/>
  <c r="BN303" i="1" s="1"/>
  <c r="BM304" i="1"/>
  <c r="BN304" i="1" s="1"/>
  <c r="BM305" i="1"/>
  <c r="BN305" i="1" s="1"/>
  <c r="BM306" i="1"/>
  <c r="BN306" i="1" s="1"/>
  <c r="BM307" i="1"/>
  <c r="BN307" i="1" s="1"/>
  <c r="BM308" i="1"/>
  <c r="BN308" i="1" s="1"/>
  <c r="BM309" i="1"/>
  <c r="BN309" i="1" s="1"/>
  <c r="BM310" i="1"/>
  <c r="BN310" i="1" s="1"/>
  <c r="BM311" i="1"/>
  <c r="BN311" i="1" s="1"/>
  <c r="BM312" i="1"/>
  <c r="BN312" i="1" s="1"/>
  <c r="BM313" i="1"/>
  <c r="BN313" i="1" s="1"/>
  <c r="BM314" i="1"/>
  <c r="BN314" i="1" s="1"/>
  <c r="BM315" i="1"/>
  <c r="BN315" i="1" s="1"/>
  <c r="BM316" i="1"/>
  <c r="BN316" i="1" s="1"/>
  <c r="BM317" i="1"/>
  <c r="BN317" i="1" s="1"/>
  <c r="BM318" i="1"/>
  <c r="BN318" i="1" s="1"/>
  <c r="BM319" i="1"/>
  <c r="BN319" i="1" s="1"/>
  <c r="BM320" i="1"/>
  <c r="BN320" i="1" s="1"/>
  <c r="BM321" i="1"/>
  <c r="BN321" i="1" s="1"/>
  <c r="BM322" i="1"/>
  <c r="BN322" i="1" s="1"/>
  <c r="BM323" i="1"/>
  <c r="BN323" i="1" s="1"/>
  <c r="BM367" i="1"/>
  <c r="BN367" i="1" s="1"/>
  <c r="BM349" i="1"/>
  <c r="BN349" i="1" s="1"/>
  <c r="BM326" i="1"/>
  <c r="BN326" i="1" s="1"/>
  <c r="BM327" i="1"/>
  <c r="BN327" i="1" s="1"/>
  <c r="BM328" i="1"/>
  <c r="BN328" i="1" s="1"/>
  <c r="BM329" i="1"/>
  <c r="BN329" i="1" s="1"/>
  <c r="BM330" i="1"/>
  <c r="BN330" i="1" s="1"/>
  <c r="BM331" i="1"/>
  <c r="BN331" i="1" s="1"/>
  <c r="BM332" i="1"/>
  <c r="BN332" i="1" s="1"/>
  <c r="BM333" i="1"/>
  <c r="BN333" i="1" s="1"/>
  <c r="BM334" i="1"/>
  <c r="BN334" i="1" s="1"/>
  <c r="BM335" i="1"/>
  <c r="BN335" i="1" s="1"/>
  <c r="BM336" i="1"/>
  <c r="BN336" i="1" s="1"/>
  <c r="BM337" i="1"/>
  <c r="BN337" i="1" s="1"/>
  <c r="BM211" i="1"/>
  <c r="BN211" i="1" s="1"/>
  <c r="BM339" i="1"/>
  <c r="BN339" i="1" s="1"/>
  <c r="BM340" i="1"/>
  <c r="BN340" i="1" s="1"/>
  <c r="BM341" i="1"/>
  <c r="BN341" i="1" s="1"/>
  <c r="BM342" i="1"/>
  <c r="BN342" i="1" s="1"/>
  <c r="BM343" i="1"/>
  <c r="BN343" i="1" s="1"/>
  <c r="BM346" i="1"/>
  <c r="BN346" i="1" s="1"/>
  <c r="BM345" i="1"/>
  <c r="BN345" i="1" s="1"/>
  <c r="BM282" i="1"/>
  <c r="BN282" i="1" s="1"/>
  <c r="BM347" i="1"/>
  <c r="BN347" i="1" s="1"/>
  <c r="BM348" i="1"/>
  <c r="BN348" i="1" s="1"/>
  <c r="BM239" i="1"/>
  <c r="BN239" i="1" s="1"/>
  <c r="BM350" i="1"/>
  <c r="BN350" i="1" s="1"/>
  <c r="BM351" i="1"/>
  <c r="BN351" i="1" s="1"/>
  <c r="BM352" i="1"/>
  <c r="BN352" i="1" s="1"/>
  <c r="BM353" i="1"/>
  <c r="BN353" i="1" s="1"/>
  <c r="BM137" i="1"/>
  <c r="BN137" i="1" s="1"/>
  <c r="BM355" i="1"/>
  <c r="BN355" i="1" s="1"/>
  <c r="BM356" i="1"/>
  <c r="BN356" i="1" s="1"/>
  <c r="BM357" i="1"/>
  <c r="BN357" i="1" s="1"/>
  <c r="BM358" i="1"/>
  <c r="BN358" i="1" s="1"/>
  <c r="BM359" i="1"/>
  <c r="BN359" i="1" s="1"/>
  <c r="BM360" i="1"/>
  <c r="BN360" i="1" s="1"/>
  <c r="BM143" i="1"/>
  <c r="BN143" i="1" s="1"/>
  <c r="BM362" i="1"/>
  <c r="BN362" i="1" s="1"/>
  <c r="BM363" i="1"/>
  <c r="BN363" i="1" s="1"/>
  <c r="BM364" i="1"/>
  <c r="BN364" i="1" s="1"/>
  <c r="BM365" i="1"/>
  <c r="BN365" i="1" s="1"/>
  <c r="BM366" i="1"/>
  <c r="BN366" i="1" s="1"/>
  <c r="BM324" i="1"/>
  <c r="BN324" i="1" s="1"/>
  <c r="BM368" i="1"/>
  <c r="BN368" i="1" s="1"/>
  <c r="BM369" i="1"/>
  <c r="BN369" i="1" s="1"/>
  <c r="BM370" i="1"/>
  <c r="BN370" i="1" s="1"/>
  <c r="BM236" i="1"/>
  <c r="BN236" i="1" s="1"/>
  <c r="BE3" i="1"/>
  <c r="BE4" i="1"/>
  <c r="BE136" i="1"/>
  <c r="BE6" i="1"/>
  <c r="BE120" i="1"/>
  <c r="BE8" i="1"/>
  <c r="BE9" i="1"/>
  <c r="BE10" i="1"/>
  <c r="BE11" i="1"/>
  <c r="BE12" i="1"/>
  <c r="BE13" i="1"/>
  <c r="BE14" i="1"/>
  <c r="BE15" i="1"/>
  <c r="BE16" i="1"/>
  <c r="BE17" i="1"/>
  <c r="BE108" i="1"/>
  <c r="BE19" i="1"/>
  <c r="BE20" i="1"/>
  <c r="BE21" i="1"/>
  <c r="BE104" i="1"/>
  <c r="BE141" i="1"/>
  <c r="BE24" i="1"/>
  <c r="BE25" i="1"/>
  <c r="BE26" i="1"/>
  <c r="BE185" i="1"/>
  <c r="BE28" i="1"/>
  <c r="BE29" i="1"/>
  <c r="BE30" i="1"/>
  <c r="BE31" i="1"/>
  <c r="BE32" i="1"/>
  <c r="BE33" i="1"/>
  <c r="BE78" i="1"/>
  <c r="BE35" i="1"/>
  <c r="BE36" i="1"/>
  <c r="BE37" i="1"/>
  <c r="BE38" i="1"/>
  <c r="BE168" i="1"/>
  <c r="BE40" i="1"/>
  <c r="BE41" i="1"/>
  <c r="BE42" i="1"/>
  <c r="BE43" i="1"/>
  <c r="BE44" i="1"/>
  <c r="BE45" i="1"/>
  <c r="BE46" i="1"/>
  <c r="BE135" i="1"/>
  <c r="BE48" i="1"/>
  <c r="BE49" i="1"/>
  <c r="BE50" i="1"/>
  <c r="BE51" i="1"/>
  <c r="BE52" i="1"/>
  <c r="BE53" i="1"/>
  <c r="BE54" i="1"/>
  <c r="BE55" i="1"/>
  <c r="BE56" i="1"/>
  <c r="BE19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18" i="1"/>
  <c r="BE74" i="1"/>
  <c r="BE75" i="1"/>
  <c r="BE76" i="1"/>
  <c r="BE77" i="1"/>
  <c r="BE175" i="1"/>
  <c r="BE278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361" i="1"/>
  <c r="BE95" i="1"/>
  <c r="BE96" i="1"/>
  <c r="BE97" i="1"/>
  <c r="BE98" i="1"/>
  <c r="BE99" i="1"/>
  <c r="BE100" i="1"/>
  <c r="BE101" i="1"/>
  <c r="BE102" i="1"/>
  <c r="BE207" i="1"/>
  <c r="BE57" i="1"/>
  <c r="BE105" i="1"/>
  <c r="BE106" i="1"/>
  <c r="BE107" i="1"/>
  <c r="BE94" i="1"/>
  <c r="BE109" i="1"/>
  <c r="BE110" i="1"/>
  <c r="BE111" i="1"/>
  <c r="BE112" i="1"/>
  <c r="BE240" i="1"/>
  <c r="BE114" i="1"/>
  <c r="BE115" i="1"/>
  <c r="BE116" i="1"/>
  <c r="BE117" i="1"/>
  <c r="BE118" i="1"/>
  <c r="BE119" i="1"/>
  <c r="BE209" i="1"/>
  <c r="BE121" i="1"/>
  <c r="BE122" i="1"/>
  <c r="BE123" i="1"/>
  <c r="BE124" i="1"/>
  <c r="BE125" i="1"/>
  <c r="BE22" i="1"/>
  <c r="BE127" i="1"/>
  <c r="BE128" i="1"/>
  <c r="BE129" i="1"/>
  <c r="BE130" i="1"/>
  <c r="BE131" i="1"/>
  <c r="BE132" i="1"/>
  <c r="BE133" i="1"/>
  <c r="BE5" i="1"/>
  <c r="BE221" i="1"/>
  <c r="BE134" i="1"/>
  <c r="BE7" i="1"/>
  <c r="BE138" i="1"/>
  <c r="BE139" i="1"/>
  <c r="BE140" i="1"/>
  <c r="BE266" i="1"/>
  <c r="BE142" i="1"/>
  <c r="BE216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233" i="1"/>
  <c r="BE294" i="1"/>
  <c r="BE162" i="1"/>
  <c r="BE163" i="1"/>
  <c r="BE164" i="1"/>
  <c r="BE165" i="1"/>
  <c r="BE166" i="1"/>
  <c r="BE27" i="1"/>
  <c r="BE215" i="1"/>
  <c r="BE169" i="1"/>
  <c r="BE170" i="1"/>
  <c r="BE73" i="1"/>
  <c r="BE172" i="1"/>
  <c r="BE173" i="1"/>
  <c r="BE113" i="1"/>
  <c r="BE299" i="1"/>
  <c r="BE338" i="1"/>
  <c r="BE177" i="1"/>
  <c r="BE178" i="1"/>
  <c r="BE179" i="1"/>
  <c r="BE47" i="1"/>
  <c r="BE181" i="1"/>
  <c r="BE182" i="1"/>
  <c r="BE183" i="1"/>
  <c r="BE184" i="1"/>
  <c r="BE242" i="1"/>
  <c r="BE186" i="1"/>
  <c r="BE187" i="1"/>
  <c r="BE188" i="1"/>
  <c r="BE325" i="1"/>
  <c r="BE190" i="1"/>
  <c r="BE191" i="1"/>
  <c r="BE192" i="1"/>
  <c r="BE193" i="1"/>
  <c r="BE194" i="1"/>
  <c r="BE195" i="1"/>
  <c r="BE196" i="1"/>
  <c r="BE79" i="1"/>
  <c r="BE198" i="1"/>
  <c r="BE199" i="1"/>
  <c r="BE200" i="1"/>
  <c r="BE201" i="1"/>
  <c r="BE202" i="1"/>
  <c r="BE203" i="1"/>
  <c r="BE204" i="1"/>
  <c r="BE161" i="1"/>
  <c r="BE206" i="1"/>
  <c r="BE39" i="1"/>
  <c r="BE208" i="1"/>
  <c r="BE176" i="1"/>
  <c r="BE210" i="1"/>
  <c r="BE344" i="1"/>
  <c r="BE212" i="1"/>
  <c r="BE174" i="1"/>
  <c r="BE214" i="1"/>
  <c r="BE256" i="1"/>
  <c r="BE222" i="1"/>
  <c r="BE217" i="1"/>
  <c r="BE218" i="1"/>
  <c r="BE219" i="1"/>
  <c r="BE220" i="1"/>
  <c r="BE205" i="1"/>
  <c r="BE103" i="1"/>
  <c r="BE223" i="1"/>
  <c r="BE224" i="1"/>
  <c r="BE225" i="1"/>
  <c r="BE226" i="1"/>
  <c r="BE227" i="1"/>
  <c r="BE228" i="1"/>
  <c r="BE229" i="1"/>
  <c r="BE230" i="1"/>
  <c r="BE231" i="1"/>
  <c r="BE232" i="1"/>
  <c r="BE292" i="1"/>
  <c r="BE234" i="1"/>
  <c r="BE235" i="1"/>
  <c r="BE371" i="1"/>
  <c r="BE237" i="1"/>
  <c r="BE238" i="1"/>
  <c r="BE2" i="1"/>
  <c r="BE189" i="1"/>
  <c r="BE241" i="1"/>
  <c r="BE160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13" i="1"/>
  <c r="BE257" i="1"/>
  <c r="BE258" i="1"/>
  <c r="BE259" i="1"/>
  <c r="BE260" i="1"/>
  <c r="BE261" i="1"/>
  <c r="BE262" i="1"/>
  <c r="BE263" i="1"/>
  <c r="BE264" i="1"/>
  <c r="BE265" i="1"/>
  <c r="BE34" i="1"/>
  <c r="BE267" i="1"/>
  <c r="BE268" i="1"/>
  <c r="BE269" i="1"/>
  <c r="BE270" i="1"/>
  <c r="BE271" i="1"/>
  <c r="BE272" i="1"/>
  <c r="BE273" i="1"/>
  <c r="BE274" i="1"/>
  <c r="BE275" i="1"/>
  <c r="BE276" i="1"/>
  <c r="BE277" i="1"/>
  <c r="BE171" i="1"/>
  <c r="BE279" i="1"/>
  <c r="BE280" i="1"/>
  <c r="BE281" i="1"/>
  <c r="BE126" i="1"/>
  <c r="BE283" i="1"/>
  <c r="BE284" i="1"/>
  <c r="BE285" i="1"/>
  <c r="BE286" i="1"/>
  <c r="BE287" i="1"/>
  <c r="BE288" i="1"/>
  <c r="BE289" i="1"/>
  <c r="BE290" i="1"/>
  <c r="BE291" i="1"/>
  <c r="BE354" i="1"/>
  <c r="BE293" i="1"/>
  <c r="BE180" i="1"/>
  <c r="BE295" i="1"/>
  <c r="BE296" i="1"/>
  <c r="BE297" i="1"/>
  <c r="BE298" i="1"/>
  <c r="BE167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67" i="1"/>
  <c r="BE349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211" i="1"/>
  <c r="BE339" i="1"/>
  <c r="BE340" i="1"/>
  <c r="BE341" i="1"/>
  <c r="BE342" i="1"/>
  <c r="BE343" i="1"/>
  <c r="BE346" i="1"/>
  <c r="BE345" i="1"/>
  <c r="BE282" i="1"/>
  <c r="BE347" i="1"/>
  <c r="BE348" i="1"/>
  <c r="BE239" i="1"/>
  <c r="BE350" i="1"/>
  <c r="BE351" i="1"/>
  <c r="BE352" i="1"/>
  <c r="BE353" i="1"/>
  <c r="BE137" i="1"/>
  <c r="BE355" i="1"/>
  <c r="BE356" i="1"/>
  <c r="BE357" i="1"/>
  <c r="BE358" i="1"/>
  <c r="BE359" i="1"/>
  <c r="BE360" i="1"/>
  <c r="BE143" i="1"/>
  <c r="BE362" i="1"/>
  <c r="BE363" i="1"/>
  <c r="BE364" i="1"/>
  <c r="BE365" i="1"/>
  <c r="BE366" i="1"/>
  <c r="BE324" i="1"/>
  <c r="BE368" i="1"/>
  <c r="BE369" i="1"/>
  <c r="BE370" i="1"/>
  <c r="BE236" i="1"/>
  <c r="BE23" i="1"/>
  <c r="BB3" i="1"/>
  <c r="BB4" i="1"/>
  <c r="BB136" i="1"/>
  <c r="BB6" i="1"/>
  <c r="BB120" i="1"/>
  <c r="BB8" i="1"/>
  <c r="BB9" i="1"/>
  <c r="BB10" i="1"/>
  <c r="BB11" i="1"/>
  <c r="BB12" i="1"/>
  <c r="BB13" i="1"/>
  <c r="BB14" i="1"/>
  <c r="BB15" i="1"/>
  <c r="BB16" i="1"/>
  <c r="BB17" i="1"/>
  <c r="BB108" i="1"/>
  <c r="BB19" i="1"/>
  <c r="BB20" i="1"/>
  <c r="BB21" i="1"/>
  <c r="BB104" i="1"/>
  <c r="BB141" i="1"/>
  <c r="BB24" i="1"/>
  <c r="BB25" i="1"/>
  <c r="BB26" i="1"/>
  <c r="BB185" i="1"/>
  <c r="BB28" i="1"/>
  <c r="BB29" i="1"/>
  <c r="BB30" i="1"/>
  <c r="BB31" i="1"/>
  <c r="BB32" i="1"/>
  <c r="BB33" i="1"/>
  <c r="BB78" i="1"/>
  <c r="BB35" i="1"/>
  <c r="BB36" i="1"/>
  <c r="BB37" i="1"/>
  <c r="BB38" i="1"/>
  <c r="BB168" i="1"/>
  <c r="BB40" i="1"/>
  <c r="BB41" i="1"/>
  <c r="BB42" i="1"/>
  <c r="BB43" i="1"/>
  <c r="BB44" i="1"/>
  <c r="BB45" i="1"/>
  <c r="BB46" i="1"/>
  <c r="BB135" i="1"/>
  <c r="BB48" i="1"/>
  <c r="BB49" i="1"/>
  <c r="BB50" i="1"/>
  <c r="BB51" i="1"/>
  <c r="BB52" i="1"/>
  <c r="BB53" i="1"/>
  <c r="BB54" i="1"/>
  <c r="BB55" i="1"/>
  <c r="BB56" i="1"/>
  <c r="BB19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18" i="1"/>
  <c r="BB74" i="1"/>
  <c r="BB75" i="1"/>
  <c r="BB76" i="1"/>
  <c r="BB77" i="1"/>
  <c r="BB175" i="1"/>
  <c r="BB278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361" i="1"/>
  <c r="BB95" i="1"/>
  <c r="BB96" i="1"/>
  <c r="BB97" i="1"/>
  <c r="BB98" i="1"/>
  <c r="BB99" i="1"/>
  <c r="BB100" i="1"/>
  <c r="BB101" i="1"/>
  <c r="BB102" i="1"/>
  <c r="BB207" i="1"/>
  <c r="BB57" i="1"/>
  <c r="BB105" i="1"/>
  <c r="BB106" i="1"/>
  <c r="BB107" i="1"/>
  <c r="BB94" i="1"/>
  <c r="BB109" i="1"/>
  <c r="BB110" i="1"/>
  <c r="BB111" i="1"/>
  <c r="BB112" i="1"/>
  <c r="BB240" i="1"/>
  <c r="BB114" i="1"/>
  <c r="BB115" i="1"/>
  <c r="BB116" i="1"/>
  <c r="BB117" i="1"/>
  <c r="BB118" i="1"/>
  <c r="BB119" i="1"/>
  <c r="BB209" i="1"/>
  <c r="BB121" i="1"/>
  <c r="BB122" i="1"/>
  <c r="BB123" i="1"/>
  <c r="BB124" i="1"/>
  <c r="BB125" i="1"/>
  <c r="BB22" i="1"/>
  <c r="BB127" i="1"/>
  <c r="BB128" i="1"/>
  <c r="BB129" i="1"/>
  <c r="BB130" i="1"/>
  <c r="BB131" i="1"/>
  <c r="BB132" i="1"/>
  <c r="BB133" i="1"/>
  <c r="BB5" i="1"/>
  <c r="BB221" i="1"/>
  <c r="BB134" i="1"/>
  <c r="BB7" i="1"/>
  <c r="BB138" i="1"/>
  <c r="BB139" i="1"/>
  <c r="BB140" i="1"/>
  <c r="BB266" i="1"/>
  <c r="BB142" i="1"/>
  <c r="BB216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233" i="1"/>
  <c r="BB294" i="1"/>
  <c r="BB162" i="1"/>
  <c r="BB163" i="1"/>
  <c r="BB164" i="1"/>
  <c r="BB165" i="1"/>
  <c r="BB166" i="1"/>
  <c r="BB27" i="1"/>
  <c r="BB215" i="1"/>
  <c r="BB169" i="1"/>
  <c r="BB170" i="1"/>
  <c r="BB73" i="1"/>
  <c r="BB172" i="1"/>
  <c r="BB173" i="1"/>
  <c r="BB113" i="1"/>
  <c r="BB299" i="1"/>
  <c r="BB338" i="1"/>
  <c r="BB177" i="1"/>
  <c r="BB178" i="1"/>
  <c r="BB179" i="1"/>
  <c r="BB47" i="1"/>
  <c r="BB181" i="1"/>
  <c r="BB182" i="1"/>
  <c r="BB183" i="1"/>
  <c r="BB184" i="1"/>
  <c r="BB242" i="1"/>
  <c r="BB186" i="1"/>
  <c r="BB187" i="1"/>
  <c r="BB188" i="1"/>
  <c r="BB325" i="1"/>
  <c r="BB190" i="1"/>
  <c r="BB191" i="1"/>
  <c r="BB192" i="1"/>
  <c r="BB193" i="1"/>
  <c r="BB194" i="1"/>
  <c r="BB195" i="1"/>
  <c r="BB196" i="1"/>
  <c r="BB79" i="1"/>
  <c r="BB198" i="1"/>
  <c r="BB199" i="1"/>
  <c r="BB200" i="1"/>
  <c r="BB201" i="1"/>
  <c r="BB202" i="1"/>
  <c r="BB203" i="1"/>
  <c r="BB204" i="1"/>
  <c r="BB161" i="1"/>
  <c r="BB206" i="1"/>
  <c r="BB39" i="1"/>
  <c r="BB208" i="1"/>
  <c r="BB176" i="1"/>
  <c r="BB210" i="1"/>
  <c r="BB344" i="1"/>
  <c r="BB212" i="1"/>
  <c r="BB174" i="1"/>
  <c r="BB214" i="1"/>
  <c r="BB256" i="1"/>
  <c r="BB222" i="1"/>
  <c r="BB217" i="1"/>
  <c r="BB218" i="1"/>
  <c r="BB219" i="1"/>
  <c r="BB220" i="1"/>
  <c r="BB205" i="1"/>
  <c r="BB103" i="1"/>
  <c r="BB223" i="1"/>
  <c r="BB224" i="1"/>
  <c r="BB225" i="1"/>
  <c r="BB226" i="1"/>
  <c r="BB227" i="1"/>
  <c r="BB228" i="1"/>
  <c r="BB229" i="1"/>
  <c r="BB230" i="1"/>
  <c r="BB231" i="1"/>
  <c r="BB232" i="1"/>
  <c r="BB292" i="1"/>
  <c r="BB234" i="1"/>
  <c r="BB235" i="1"/>
  <c r="BB371" i="1"/>
  <c r="BB237" i="1"/>
  <c r="BB238" i="1"/>
  <c r="BB2" i="1"/>
  <c r="BB189" i="1"/>
  <c r="BB241" i="1"/>
  <c r="BB160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13" i="1"/>
  <c r="BB257" i="1"/>
  <c r="BB258" i="1"/>
  <c r="BB259" i="1"/>
  <c r="BB260" i="1"/>
  <c r="BB261" i="1"/>
  <c r="BB262" i="1"/>
  <c r="BB263" i="1"/>
  <c r="BB264" i="1"/>
  <c r="BB265" i="1"/>
  <c r="BB34" i="1"/>
  <c r="BB267" i="1"/>
  <c r="BB268" i="1"/>
  <c r="BB269" i="1"/>
  <c r="BB270" i="1"/>
  <c r="BB271" i="1"/>
  <c r="BB272" i="1"/>
  <c r="BB273" i="1"/>
  <c r="BB274" i="1"/>
  <c r="BB275" i="1"/>
  <c r="BB276" i="1"/>
  <c r="BB277" i="1"/>
  <c r="BB171" i="1"/>
  <c r="BB279" i="1"/>
  <c r="BB280" i="1"/>
  <c r="BB281" i="1"/>
  <c r="BB126" i="1"/>
  <c r="BB283" i="1"/>
  <c r="BB284" i="1"/>
  <c r="BB285" i="1"/>
  <c r="BB286" i="1"/>
  <c r="BB287" i="1"/>
  <c r="BB288" i="1"/>
  <c r="BB289" i="1"/>
  <c r="BB290" i="1"/>
  <c r="BB291" i="1"/>
  <c r="BB354" i="1"/>
  <c r="BB293" i="1"/>
  <c r="BB180" i="1"/>
  <c r="BB295" i="1"/>
  <c r="BB296" i="1"/>
  <c r="BB297" i="1"/>
  <c r="BB298" i="1"/>
  <c r="BB167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67" i="1"/>
  <c r="BB349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211" i="1"/>
  <c r="BB339" i="1"/>
  <c r="BB340" i="1"/>
  <c r="BB341" i="1"/>
  <c r="BB342" i="1"/>
  <c r="BB343" i="1"/>
  <c r="BB346" i="1"/>
  <c r="BB345" i="1"/>
  <c r="BB282" i="1"/>
  <c r="BB347" i="1"/>
  <c r="BB348" i="1"/>
  <c r="BB239" i="1"/>
  <c r="BB350" i="1"/>
  <c r="BB351" i="1"/>
  <c r="BB352" i="1"/>
  <c r="BB353" i="1"/>
  <c r="BB137" i="1"/>
  <c r="BB355" i="1"/>
  <c r="BB356" i="1"/>
  <c r="BB357" i="1"/>
  <c r="BB358" i="1"/>
  <c r="BB359" i="1"/>
  <c r="BB360" i="1"/>
  <c r="BB143" i="1"/>
  <c r="BB362" i="1"/>
  <c r="BB363" i="1"/>
  <c r="BB364" i="1"/>
  <c r="BB365" i="1"/>
  <c r="BB366" i="1"/>
  <c r="BB324" i="1"/>
  <c r="BB368" i="1"/>
  <c r="BB369" i="1"/>
  <c r="BB370" i="1"/>
  <c r="BB236" i="1"/>
  <c r="BB23" i="1"/>
  <c r="AY3" i="1"/>
  <c r="AY4" i="1"/>
  <c r="AY136" i="1"/>
  <c r="AY6" i="1"/>
  <c r="AY120" i="1"/>
  <c r="AY8" i="1"/>
  <c r="AY9" i="1"/>
  <c r="AY10" i="1"/>
  <c r="AY11" i="1"/>
  <c r="AY12" i="1"/>
  <c r="AY13" i="1"/>
  <c r="AY14" i="1"/>
  <c r="AY15" i="1"/>
  <c r="AY16" i="1"/>
  <c r="AY17" i="1"/>
  <c r="AY108" i="1"/>
  <c r="AY19" i="1"/>
  <c r="AY20" i="1"/>
  <c r="AY21" i="1"/>
  <c r="AY104" i="1"/>
  <c r="AY141" i="1"/>
  <c r="AY24" i="1"/>
  <c r="AY25" i="1"/>
  <c r="AY26" i="1"/>
  <c r="AY185" i="1"/>
  <c r="AY28" i="1"/>
  <c r="AY29" i="1"/>
  <c r="AY30" i="1"/>
  <c r="AY31" i="1"/>
  <c r="AY32" i="1"/>
  <c r="AY33" i="1"/>
  <c r="AY78" i="1"/>
  <c r="AY35" i="1"/>
  <c r="AY36" i="1"/>
  <c r="AY37" i="1"/>
  <c r="AY38" i="1"/>
  <c r="AY168" i="1"/>
  <c r="AY40" i="1"/>
  <c r="AY41" i="1"/>
  <c r="AY42" i="1"/>
  <c r="AY43" i="1"/>
  <c r="AY44" i="1"/>
  <c r="AY45" i="1"/>
  <c r="AY46" i="1"/>
  <c r="AY135" i="1"/>
  <c r="AY48" i="1"/>
  <c r="AY49" i="1"/>
  <c r="AY50" i="1"/>
  <c r="AY51" i="1"/>
  <c r="AY52" i="1"/>
  <c r="AY53" i="1"/>
  <c r="AY54" i="1"/>
  <c r="AY55" i="1"/>
  <c r="AY56" i="1"/>
  <c r="AY19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18" i="1"/>
  <c r="AY74" i="1"/>
  <c r="AY75" i="1"/>
  <c r="AY76" i="1"/>
  <c r="AY77" i="1"/>
  <c r="AY175" i="1"/>
  <c r="AY278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361" i="1"/>
  <c r="AY95" i="1"/>
  <c r="AY96" i="1"/>
  <c r="AY97" i="1"/>
  <c r="AY98" i="1"/>
  <c r="AY99" i="1"/>
  <c r="AY100" i="1"/>
  <c r="AY101" i="1"/>
  <c r="AY102" i="1"/>
  <c r="AY207" i="1"/>
  <c r="AY57" i="1"/>
  <c r="AY105" i="1"/>
  <c r="AY106" i="1"/>
  <c r="AY107" i="1"/>
  <c r="AY94" i="1"/>
  <c r="AY109" i="1"/>
  <c r="AY110" i="1"/>
  <c r="AY111" i="1"/>
  <c r="AY112" i="1"/>
  <c r="AY240" i="1"/>
  <c r="AY114" i="1"/>
  <c r="AY115" i="1"/>
  <c r="AY116" i="1"/>
  <c r="AY117" i="1"/>
  <c r="AY118" i="1"/>
  <c r="AY119" i="1"/>
  <c r="AY209" i="1"/>
  <c r="AY121" i="1"/>
  <c r="AY122" i="1"/>
  <c r="AY123" i="1"/>
  <c r="AY124" i="1"/>
  <c r="AY125" i="1"/>
  <c r="AY22" i="1"/>
  <c r="AY127" i="1"/>
  <c r="AY128" i="1"/>
  <c r="AY129" i="1"/>
  <c r="AY130" i="1"/>
  <c r="AY131" i="1"/>
  <c r="AY132" i="1"/>
  <c r="AY133" i="1"/>
  <c r="AY5" i="1"/>
  <c r="AY221" i="1"/>
  <c r="AY134" i="1"/>
  <c r="AY7" i="1"/>
  <c r="AY138" i="1"/>
  <c r="AY139" i="1"/>
  <c r="AY140" i="1"/>
  <c r="AY266" i="1"/>
  <c r="AY142" i="1"/>
  <c r="AY216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233" i="1"/>
  <c r="AY294" i="1"/>
  <c r="AY162" i="1"/>
  <c r="AY163" i="1"/>
  <c r="AY164" i="1"/>
  <c r="AY165" i="1"/>
  <c r="AY166" i="1"/>
  <c r="AY27" i="1"/>
  <c r="AY215" i="1"/>
  <c r="AY169" i="1"/>
  <c r="AY170" i="1"/>
  <c r="AY73" i="1"/>
  <c r="AY172" i="1"/>
  <c r="AY173" i="1"/>
  <c r="AY113" i="1"/>
  <c r="AY299" i="1"/>
  <c r="AY338" i="1"/>
  <c r="AY177" i="1"/>
  <c r="AY178" i="1"/>
  <c r="AY179" i="1"/>
  <c r="AY47" i="1"/>
  <c r="AY181" i="1"/>
  <c r="AY182" i="1"/>
  <c r="AY183" i="1"/>
  <c r="AY184" i="1"/>
  <c r="AY242" i="1"/>
  <c r="AY186" i="1"/>
  <c r="AY187" i="1"/>
  <c r="AY188" i="1"/>
  <c r="AY325" i="1"/>
  <c r="AY190" i="1"/>
  <c r="AY191" i="1"/>
  <c r="AY192" i="1"/>
  <c r="AY193" i="1"/>
  <c r="AY194" i="1"/>
  <c r="AY195" i="1"/>
  <c r="AY196" i="1"/>
  <c r="AY79" i="1"/>
  <c r="AY198" i="1"/>
  <c r="AY199" i="1"/>
  <c r="AY200" i="1"/>
  <c r="AY201" i="1"/>
  <c r="AY202" i="1"/>
  <c r="AY203" i="1"/>
  <c r="AY204" i="1"/>
  <c r="AY161" i="1"/>
  <c r="AY206" i="1"/>
  <c r="AY39" i="1"/>
  <c r="AY208" i="1"/>
  <c r="AY176" i="1"/>
  <c r="AY210" i="1"/>
  <c r="AY344" i="1"/>
  <c r="AY212" i="1"/>
  <c r="AY174" i="1"/>
  <c r="AY214" i="1"/>
  <c r="AY256" i="1"/>
  <c r="AY222" i="1"/>
  <c r="AY217" i="1"/>
  <c r="AY218" i="1"/>
  <c r="AY219" i="1"/>
  <c r="AY220" i="1"/>
  <c r="AY205" i="1"/>
  <c r="AY103" i="1"/>
  <c r="AY223" i="1"/>
  <c r="AY224" i="1"/>
  <c r="AY225" i="1"/>
  <c r="AY226" i="1"/>
  <c r="AY227" i="1"/>
  <c r="AY228" i="1"/>
  <c r="AY229" i="1"/>
  <c r="AY230" i="1"/>
  <c r="AY231" i="1"/>
  <c r="AY232" i="1"/>
  <c r="AY292" i="1"/>
  <c r="AY234" i="1"/>
  <c r="AY235" i="1"/>
  <c r="AY371" i="1"/>
  <c r="AY237" i="1"/>
  <c r="AY238" i="1"/>
  <c r="AY2" i="1"/>
  <c r="AY189" i="1"/>
  <c r="AY241" i="1"/>
  <c r="AY160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13" i="1"/>
  <c r="AY257" i="1"/>
  <c r="AY258" i="1"/>
  <c r="AY259" i="1"/>
  <c r="AY260" i="1"/>
  <c r="AY261" i="1"/>
  <c r="AY262" i="1"/>
  <c r="AY263" i="1"/>
  <c r="AY264" i="1"/>
  <c r="AY265" i="1"/>
  <c r="AY34" i="1"/>
  <c r="AY267" i="1"/>
  <c r="AY268" i="1"/>
  <c r="AY269" i="1"/>
  <c r="AY270" i="1"/>
  <c r="AY271" i="1"/>
  <c r="AY272" i="1"/>
  <c r="AY273" i="1"/>
  <c r="AY274" i="1"/>
  <c r="AY275" i="1"/>
  <c r="AY276" i="1"/>
  <c r="AY277" i="1"/>
  <c r="AY171" i="1"/>
  <c r="AY279" i="1"/>
  <c r="AY280" i="1"/>
  <c r="AY281" i="1"/>
  <c r="AY126" i="1"/>
  <c r="AY283" i="1"/>
  <c r="AY284" i="1"/>
  <c r="AY285" i="1"/>
  <c r="AY286" i="1"/>
  <c r="AY287" i="1"/>
  <c r="AY288" i="1"/>
  <c r="AY289" i="1"/>
  <c r="AY290" i="1"/>
  <c r="AY291" i="1"/>
  <c r="AY354" i="1"/>
  <c r="AY293" i="1"/>
  <c r="AY180" i="1"/>
  <c r="AY295" i="1"/>
  <c r="AY296" i="1"/>
  <c r="AY297" i="1"/>
  <c r="AY298" i="1"/>
  <c r="AY167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67" i="1"/>
  <c r="AY349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211" i="1"/>
  <c r="AY339" i="1"/>
  <c r="AY340" i="1"/>
  <c r="AY341" i="1"/>
  <c r="AY342" i="1"/>
  <c r="AY343" i="1"/>
  <c r="AY346" i="1"/>
  <c r="AY345" i="1"/>
  <c r="AY282" i="1"/>
  <c r="AY347" i="1"/>
  <c r="AY348" i="1"/>
  <c r="AY239" i="1"/>
  <c r="AY350" i="1"/>
  <c r="AY351" i="1"/>
  <c r="AY352" i="1"/>
  <c r="AY353" i="1"/>
  <c r="AY137" i="1"/>
  <c r="AY355" i="1"/>
  <c r="AY356" i="1"/>
  <c r="AY357" i="1"/>
  <c r="AY358" i="1"/>
  <c r="AY359" i="1"/>
  <c r="AY360" i="1"/>
  <c r="AY143" i="1"/>
  <c r="AY362" i="1"/>
  <c r="AY363" i="1"/>
  <c r="AY364" i="1"/>
  <c r="AY365" i="1"/>
  <c r="AY366" i="1"/>
  <c r="AY324" i="1"/>
  <c r="AY368" i="1"/>
  <c r="AY369" i="1"/>
  <c r="AY370" i="1"/>
  <c r="AY236" i="1"/>
  <c r="AY23" i="1"/>
  <c r="AU3" i="1"/>
  <c r="AU4" i="1"/>
  <c r="AU136" i="1"/>
  <c r="AU6" i="1"/>
  <c r="AU120" i="1"/>
  <c r="AU8" i="1"/>
  <c r="AU9" i="1"/>
  <c r="AU10" i="1"/>
  <c r="AU11" i="1"/>
  <c r="AU12" i="1"/>
  <c r="AU13" i="1"/>
  <c r="AU14" i="1"/>
  <c r="AU15" i="1"/>
  <c r="AU16" i="1"/>
  <c r="AU17" i="1"/>
  <c r="AU108" i="1"/>
  <c r="AU19" i="1"/>
  <c r="AU20" i="1"/>
  <c r="AU21" i="1"/>
  <c r="AU104" i="1"/>
  <c r="AU141" i="1"/>
  <c r="AU24" i="1"/>
  <c r="AU25" i="1"/>
  <c r="AU26" i="1"/>
  <c r="AU185" i="1"/>
  <c r="AU28" i="1"/>
  <c r="AU29" i="1"/>
  <c r="AU30" i="1"/>
  <c r="AU31" i="1"/>
  <c r="AU32" i="1"/>
  <c r="AU33" i="1"/>
  <c r="AU78" i="1"/>
  <c r="AU35" i="1"/>
  <c r="AU36" i="1"/>
  <c r="AU37" i="1"/>
  <c r="AU38" i="1"/>
  <c r="AU168" i="1"/>
  <c r="AU40" i="1"/>
  <c r="AU41" i="1"/>
  <c r="AU42" i="1"/>
  <c r="AU43" i="1"/>
  <c r="AU44" i="1"/>
  <c r="AU45" i="1"/>
  <c r="AU46" i="1"/>
  <c r="AU135" i="1"/>
  <c r="AU48" i="1"/>
  <c r="AU49" i="1"/>
  <c r="AU50" i="1"/>
  <c r="AU51" i="1"/>
  <c r="AU52" i="1"/>
  <c r="AU53" i="1"/>
  <c r="AU54" i="1"/>
  <c r="AU55" i="1"/>
  <c r="AU56" i="1"/>
  <c r="AU19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18" i="1"/>
  <c r="AU74" i="1"/>
  <c r="AU75" i="1"/>
  <c r="AU76" i="1"/>
  <c r="AU77" i="1"/>
  <c r="AU175" i="1"/>
  <c r="AU278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361" i="1"/>
  <c r="AU95" i="1"/>
  <c r="AU96" i="1"/>
  <c r="AU97" i="1"/>
  <c r="AU98" i="1"/>
  <c r="AU99" i="1"/>
  <c r="AU100" i="1"/>
  <c r="AU101" i="1"/>
  <c r="AU102" i="1"/>
  <c r="AU207" i="1"/>
  <c r="AU57" i="1"/>
  <c r="AU105" i="1"/>
  <c r="AU106" i="1"/>
  <c r="AU107" i="1"/>
  <c r="AU94" i="1"/>
  <c r="AU109" i="1"/>
  <c r="AU110" i="1"/>
  <c r="AU111" i="1"/>
  <c r="AU112" i="1"/>
  <c r="AU240" i="1"/>
  <c r="AU114" i="1"/>
  <c r="AU115" i="1"/>
  <c r="AU116" i="1"/>
  <c r="AU117" i="1"/>
  <c r="AU118" i="1"/>
  <c r="AU119" i="1"/>
  <c r="AU209" i="1"/>
  <c r="AU121" i="1"/>
  <c r="AU122" i="1"/>
  <c r="AU123" i="1"/>
  <c r="AU124" i="1"/>
  <c r="AU125" i="1"/>
  <c r="AU22" i="1"/>
  <c r="AU127" i="1"/>
  <c r="AU128" i="1"/>
  <c r="AU129" i="1"/>
  <c r="AU130" i="1"/>
  <c r="AU131" i="1"/>
  <c r="AU132" i="1"/>
  <c r="AU133" i="1"/>
  <c r="AU5" i="1"/>
  <c r="AU221" i="1"/>
  <c r="AU134" i="1"/>
  <c r="AU7" i="1"/>
  <c r="AU138" i="1"/>
  <c r="AU139" i="1"/>
  <c r="AU140" i="1"/>
  <c r="AU266" i="1"/>
  <c r="AU142" i="1"/>
  <c r="AU216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233" i="1"/>
  <c r="AU294" i="1"/>
  <c r="AU162" i="1"/>
  <c r="AU163" i="1"/>
  <c r="AU164" i="1"/>
  <c r="AU165" i="1"/>
  <c r="AU166" i="1"/>
  <c r="AU27" i="1"/>
  <c r="AU215" i="1"/>
  <c r="AU169" i="1"/>
  <c r="AU170" i="1"/>
  <c r="AU73" i="1"/>
  <c r="AU172" i="1"/>
  <c r="AU173" i="1"/>
  <c r="AU113" i="1"/>
  <c r="AU299" i="1"/>
  <c r="AU338" i="1"/>
  <c r="AU177" i="1"/>
  <c r="AU178" i="1"/>
  <c r="AU179" i="1"/>
  <c r="AU47" i="1"/>
  <c r="AU181" i="1"/>
  <c r="AU182" i="1"/>
  <c r="AU183" i="1"/>
  <c r="AU184" i="1"/>
  <c r="AU242" i="1"/>
  <c r="AU186" i="1"/>
  <c r="AU187" i="1"/>
  <c r="AU188" i="1"/>
  <c r="AU325" i="1"/>
  <c r="AU190" i="1"/>
  <c r="AU191" i="1"/>
  <c r="AU192" i="1"/>
  <c r="AU193" i="1"/>
  <c r="AU194" i="1"/>
  <c r="AU195" i="1"/>
  <c r="AU196" i="1"/>
  <c r="AU79" i="1"/>
  <c r="AU198" i="1"/>
  <c r="AU199" i="1"/>
  <c r="AU200" i="1"/>
  <c r="AU201" i="1"/>
  <c r="AU202" i="1"/>
  <c r="AU203" i="1"/>
  <c r="AU204" i="1"/>
  <c r="AU161" i="1"/>
  <c r="AU206" i="1"/>
  <c r="AU39" i="1"/>
  <c r="AU208" i="1"/>
  <c r="AU176" i="1"/>
  <c r="AU210" i="1"/>
  <c r="AU344" i="1"/>
  <c r="AU212" i="1"/>
  <c r="AU174" i="1"/>
  <c r="AU214" i="1"/>
  <c r="AU256" i="1"/>
  <c r="AU222" i="1"/>
  <c r="AU217" i="1"/>
  <c r="AU218" i="1"/>
  <c r="AU219" i="1"/>
  <c r="AU220" i="1"/>
  <c r="AU205" i="1"/>
  <c r="AU103" i="1"/>
  <c r="AU223" i="1"/>
  <c r="AU224" i="1"/>
  <c r="AU225" i="1"/>
  <c r="AU226" i="1"/>
  <c r="AU227" i="1"/>
  <c r="AU228" i="1"/>
  <c r="AU229" i="1"/>
  <c r="AU230" i="1"/>
  <c r="AU231" i="1"/>
  <c r="AU232" i="1"/>
  <c r="AU292" i="1"/>
  <c r="AU234" i="1"/>
  <c r="AU235" i="1"/>
  <c r="AU371" i="1"/>
  <c r="AU237" i="1"/>
  <c r="AU238" i="1"/>
  <c r="AU2" i="1"/>
  <c r="AU189" i="1"/>
  <c r="AU241" i="1"/>
  <c r="AU160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13" i="1"/>
  <c r="AU257" i="1"/>
  <c r="AU258" i="1"/>
  <c r="AU259" i="1"/>
  <c r="AU260" i="1"/>
  <c r="AU261" i="1"/>
  <c r="AU262" i="1"/>
  <c r="AU263" i="1"/>
  <c r="AU264" i="1"/>
  <c r="AU265" i="1"/>
  <c r="AU34" i="1"/>
  <c r="AU267" i="1"/>
  <c r="AU268" i="1"/>
  <c r="AU269" i="1"/>
  <c r="AU270" i="1"/>
  <c r="AU271" i="1"/>
  <c r="AU272" i="1"/>
  <c r="AU273" i="1"/>
  <c r="AU274" i="1"/>
  <c r="AU275" i="1"/>
  <c r="AU276" i="1"/>
  <c r="AU277" i="1"/>
  <c r="AU171" i="1"/>
  <c r="AU279" i="1"/>
  <c r="AU280" i="1"/>
  <c r="AU281" i="1"/>
  <c r="AU126" i="1"/>
  <c r="AU283" i="1"/>
  <c r="AU284" i="1"/>
  <c r="AU285" i="1"/>
  <c r="AU286" i="1"/>
  <c r="AU287" i="1"/>
  <c r="AU288" i="1"/>
  <c r="AU289" i="1"/>
  <c r="AU290" i="1"/>
  <c r="AU291" i="1"/>
  <c r="AU354" i="1"/>
  <c r="AU293" i="1"/>
  <c r="AU180" i="1"/>
  <c r="AU295" i="1"/>
  <c r="AU296" i="1"/>
  <c r="AU297" i="1"/>
  <c r="AU298" i="1"/>
  <c r="AU167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67" i="1"/>
  <c r="AU349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211" i="1"/>
  <c r="AU339" i="1"/>
  <c r="AU340" i="1"/>
  <c r="AU341" i="1"/>
  <c r="AU342" i="1"/>
  <c r="AU343" i="1"/>
  <c r="AU346" i="1"/>
  <c r="AU345" i="1"/>
  <c r="AU282" i="1"/>
  <c r="AU347" i="1"/>
  <c r="AU348" i="1"/>
  <c r="AU239" i="1"/>
  <c r="AU350" i="1"/>
  <c r="AU351" i="1"/>
  <c r="AU352" i="1"/>
  <c r="AU353" i="1"/>
  <c r="AU137" i="1"/>
  <c r="AU355" i="1"/>
  <c r="AU356" i="1"/>
  <c r="AU357" i="1"/>
  <c r="AU358" i="1"/>
  <c r="AU359" i="1"/>
  <c r="AU360" i="1"/>
  <c r="AU143" i="1"/>
  <c r="AU362" i="1"/>
  <c r="AU363" i="1"/>
  <c r="AU364" i="1"/>
  <c r="AU365" i="1"/>
  <c r="AU366" i="1"/>
  <c r="AU324" i="1"/>
  <c r="AU368" i="1"/>
  <c r="AU369" i="1"/>
  <c r="AU370" i="1"/>
  <c r="AU236" i="1"/>
  <c r="AU23" i="1"/>
  <c r="AR3" i="1"/>
  <c r="AR4" i="1"/>
  <c r="AR136" i="1"/>
  <c r="AR6" i="1"/>
  <c r="AR120" i="1"/>
  <c r="AR8" i="1"/>
  <c r="AR9" i="1"/>
  <c r="AR10" i="1"/>
  <c r="AR11" i="1"/>
  <c r="AR12" i="1"/>
  <c r="AR13" i="1"/>
  <c r="AR14" i="1"/>
  <c r="AR15" i="1"/>
  <c r="AR16" i="1"/>
  <c r="AR17" i="1"/>
  <c r="AR108" i="1"/>
  <c r="AR19" i="1"/>
  <c r="AR20" i="1"/>
  <c r="AR21" i="1"/>
  <c r="AR104" i="1"/>
  <c r="AR141" i="1"/>
  <c r="AR24" i="1"/>
  <c r="AR25" i="1"/>
  <c r="AR26" i="1"/>
  <c r="AR185" i="1"/>
  <c r="AR28" i="1"/>
  <c r="AR29" i="1"/>
  <c r="AR30" i="1"/>
  <c r="AR31" i="1"/>
  <c r="AR32" i="1"/>
  <c r="AR33" i="1"/>
  <c r="AR78" i="1"/>
  <c r="AR35" i="1"/>
  <c r="AR36" i="1"/>
  <c r="AR37" i="1"/>
  <c r="AR38" i="1"/>
  <c r="AR168" i="1"/>
  <c r="AR40" i="1"/>
  <c r="AR41" i="1"/>
  <c r="AR42" i="1"/>
  <c r="AR43" i="1"/>
  <c r="AR44" i="1"/>
  <c r="AR45" i="1"/>
  <c r="AR46" i="1"/>
  <c r="AR135" i="1"/>
  <c r="AR48" i="1"/>
  <c r="AR49" i="1"/>
  <c r="AR50" i="1"/>
  <c r="AR51" i="1"/>
  <c r="AR52" i="1"/>
  <c r="AR53" i="1"/>
  <c r="AR54" i="1"/>
  <c r="AR55" i="1"/>
  <c r="AR56" i="1"/>
  <c r="AR19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18" i="1"/>
  <c r="AR74" i="1"/>
  <c r="AR75" i="1"/>
  <c r="AR76" i="1"/>
  <c r="AR77" i="1"/>
  <c r="AR175" i="1"/>
  <c r="AR278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361" i="1"/>
  <c r="AR95" i="1"/>
  <c r="AR96" i="1"/>
  <c r="AR97" i="1"/>
  <c r="AR98" i="1"/>
  <c r="AR99" i="1"/>
  <c r="AR100" i="1"/>
  <c r="AR101" i="1"/>
  <c r="AR102" i="1"/>
  <c r="AR207" i="1"/>
  <c r="AR57" i="1"/>
  <c r="AR105" i="1"/>
  <c r="AR106" i="1"/>
  <c r="AR107" i="1"/>
  <c r="AR94" i="1"/>
  <c r="AR109" i="1"/>
  <c r="AR110" i="1"/>
  <c r="AR111" i="1"/>
  <c r="AR112" i="1"/>
  <c r="AR240" i="1"/>
  <c r="AR114" i="1"/>
  <c r="AR115" i="1"/>
  <c r="AR116" i="1"/>
  <c r="AR117" i="1"/>
  <c r="AR118" i="1"/>
  <c r="AR119" i="1"/>
  <c r="AR209" i="1"/>
  <c r="AR121" i="1"/>
  <c r="AR122" i="1"/>
  <c r="AR123" i="1"/>
  <c r="AR124" i="1"/>
  <c r="AR125" i="1"/>
  <c r="AR22" i="1"/>
  <c r="AR127" i="1"/>
  <c r="AR128" i="1"/>
  <c r="AR129" i="1"/>
  <c r="AR130" i="1"/>
  <c r="AR131" i="1"/>
  <c r="AR132" i="1"/>
  <c r="AR133" i="1"/>
  <c r="AR5" i="1"/>
  <c r="AR221" i="1"/>
  <c r="AR134" i="1"/>
  <c r="AR7" i="1"/>
  <c r="AR138" i="1"/>
  <c r="AR139" i="1"/>
  <c r="AR140" i="1"/>
  <c r="AR266" i="1"/>
  <c r="AR142" i="1"/>
  <c r="AR216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233" i="1"/>
  <c r="AR294" i="1"/>
  <c r="AR162" i="1"/>
  <c r="AR163" i="1"/>
  <c r="AR164" i="1"/>
  <c r="AR165" i="1"/>
  <c r="AR166" i="1"/>
  <c r="AR27" i="1"/>
  <c r="AR215" i="1"/>
  <c r="AR169" i="1"/>
  <c r="AR170" i="1"/>
  <c r="AR73" i="1"/>
  <c r="AR172" i="1"/>
  <c r="AR173" i="1"/>
  <c r="AR113" i="1"/>
  <c r="AR299" i="1"/>
  <c r="AR338" i="1"/>
  <c r="AR177" i="1"/>
  <c r="AR178" i="1"/>
  <c r="AR179" i="1"/>
  <c r="AR47" i="1"/>
  <c r="AR181" i="1"/>
  <c r="AR182" i="1"/>
  <c r="AR183" i="1"/>
  <c r="AR184" i="1"/>
  <c r="AR242" i="1"/>
  <c r="AR186" i="1"/>
  <c r="AR187" i="1"/>
  <c r="AR188" i="1"/>
  <c r="AR325" i="1"/>
  <c r="AR190" i="1"/>
  <c r="AR191" i="1"/>
  <c r="AR192" i="1"/>
  <c r="AR193" i="1"/>
  <c r="AR194" i="1"/>
  <c r="AR195" i="1"/>
  <c r="AR196" i="1"/>
  <c r="AR79" i="1"/>
  <c r="AR198" i="1"/>
  <c r="AR199" i="1"/>
  <c r="AR200" i="1"/>
  <c r="AR201" i="1"/>
  <c r="AR202" i="1"/>
  <c r="AR203" i="1"/>
  <c r="AR204" i="1"/>
  <c r="AR161" i="1"/>
  <c r="AR206" i="1"/>
  <c r="AR39" i="1"/>
  <c r="AR208" i="1"/>
  <c r="AR176" i="1"/>
  <c r="AR210" i="1"/>
  <c r="AR344" i="1"/>
  <c r="AR212" i="1"/>
  <c r="AR174" i="1"/>
  <c r="AR214" i="1"/>
  <c r="AR256" i="1"/>
  <c r="AR222" i="1"/>
  <c r="AR217" i="1"/>
  <c r="AR218" i="1"/>
  <c r="AR219" i="1"/>
  <c r="AR220" i="1"/>
  <c r="AR205" i="1"/>
  <c r="AR103" i="1"/>
  <c r="AR223" i="1"/>
  <c r="AR224" i="1"/>
  <c r="AR225" i="1"/>
  <c r="AR226" i="1"/>
  <c r="AR227" i="1"/>
  <c r="AR228" i="1"/>
  <c r="AR229" i="1"/>
  <c r="AR230" i="1"/>
  <c r="AR231" i="1"/>
  <c r="AR232" i="1"/>
  <c r="AR292" i="1"/>
  <c r="AR234" i="1"/>
  <c r="AR235" i="1"/>
  <c r="AR371" i="1"/>
  <c r="AR237" i="1"/>
  <c r="AR238" i="1"/>
  <c r="AR2" i="1"/>
  <c r="AR189" i="1"/>
  <c r="AR241" i="1"/>
  <c r="AR160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13" i="1"/>
  <c r="AR257" i="1"/>
  <c r="AR258" i="1"/>
  <c r="AR259" i="1"/>
  <c r="AR260" i="1"/>
  <c r="AR261" i="1"/>
  <c r="AR262" i="1"/>
  <c r="AR263" i="1"/>
  <c r="AR264" i="1"/>
  <c r="AR265" i="1"/>
  <c r="AR34" i="1"/>
  <c r="AR267" i="1"/>
  <c r="AR268" i="1"/>
  <c r="AR269" i="1"/>
  <c r="AR270" i="1"/>
  <c r="AR271" i="1"/>
  <c r="AR272" i="1"/>
  <c r="AR273" i="1"/>
  <c r="AR274" i="1"/>
  <c r="AR275" i="1"/>
  <c r="AR276" i="1"/>
  <c r="AR277" i="1"/>
  <c r="AR171" i="1"/>
  <c r="AR279" i="1"/>
  <c r="AR280" i="1"/>
  <c r="AR281" i="1"/>
  <c r="AR126" i="1"/>
  <c r="AR283" i="1"/>
  <c r="AR284" i="1"/>
  <c r="AR285" i="1"/>
  <c r="AR286" i="1"/>
  <c r="AR287" i="1"/>
  <c r="AR288" i="1"/>
  <c r="AR289" i="1"/>
  <c r="AR290" i="1"/>
  <c r="AR291" i="1"/>
  <c r="AR354" i="1"/>
  <c r="AR293" i="1"/>
  <c r="AR180" i="1"/>
  <c r="AR295" i="1"/>
  <c r="AR296" i="1"/>
  <c r="AR297" i="1"/>
  <c r="AR298" i="1"/>
  <c r="AR167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67" i="1"/>
  <c r="AR349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211" i="1"/>
  <c r="AR339" i="1"/>
  <c r="AR340" i="1"/>
  <c r="AR341" i="1"/>
  <c r="AR342" i="1"/>
  <c r="AR343" i="1"/>
  <c r="AR346" i="1"/>
  <c r="AR345" i="1"/>
  <c r="AR282" i="1"/>
  <c r="AR347" i="1"/>
  <c r="AR348" i="1"/>
  <c r="AR239" i="1"/>
  <c r="AR350" i="1"/>
  <c r="AR351" i="1"/>
  <c r="AR352" i="1"/>
  <c r="AR353" i="1"/>
  <c r="AR137" i="1"/>
  <c r="AR355" i="1"/>
  <c r="AR356" i="1"/>
  <c r="AR357" i="1"/>
  <c r="AR358" i="1"/>
  <c r="AR359" i="1"/>
  <c r="AR360" i="1"/>
  <c r="AR143" i="1"/>
  <c r="AR362" i="1"/>
  <c r="AR363" i="1"/>
  <c r="AR364" i="1"/>
  <c r="AR365" i="1"/>
  <c r="AR366" i="1"/>
  <c r="AR324" i="1"/>
  <c r="AR368" i="1"/>
  <c r="AR369" i="1"/>
  <c r="AR370" i="1"/>
  <c r="AR236" i="1"/>
  <c r="AR23" i="1"/>
  <c r="AO3" i="1"/>
  <c r="AO4" i="1"/>
  <c r="AO136" i="1"/>
  <c r="AO6" i="1"/>
  <c r="AO120" i="1"/>
  <c r="AO8" i="1"/>
  <c r="AO9" i="1"/>
  <c r="AO10" i="1"/>
  <c r="AO11" i="1"/>
  <c r="AO12" i="1"/>
  <c r="AO13" i="1"/>
  <c r="AO14" i="1"/>
  <c r="AO15" i="1"/>
  <c r="AO16" i="1"/>
  <c r="AO17" i="1"/>
  <c r="AO108" i="1"/>
  <c r="AO19" i="1"/>
  <c r="AO20" i="1"/>
  <c r="AO21" i="1"/>
  <c r="AO104" i="1"/>
  <c r="AO141" i="1"/>
  <c r="AO24" i="1"/>
  <c r="AO25" i="1"/>
  <c r="AO26" i="1"/>
  <c r="AO185" i="1"/>
  <c r="AO28" i="1"/>
  <c r="AO29" i="1"/>
  <c r="AO30" i="1"/>
  <c r="AO31" i="1"/>
  <c r="AO32" i="1"/>
  <c r="AO33" i="1"/>
  <c r="AO78" i="1"/>
  <c r="AO35" i="1"/>
  <c r="AO36" i="1"/>
  <c r="AO37" i="1"/>
  <c r="AO38" i="1"/>
  <c r="AO168" i="1"/>
  <c r="AO40" i="1"/>
  <c r="AO41" i="1"/>
  <c r="AO42" i="1"/>
  <c r="AO43" i="1"/>
  <c r="AO44" i="1"/>
  <c r="AO45" i="1"/>
  <c r="AO46" i="1"/>
  <c r="AO135" i="1"/>
  <c r="AO48" i="1"/>
  <c r="AO49" i="1"/>
  <c r="AO50" i="1"/>
  <c r="AO51" i="1"/>
  <c r="AO52" i="1"/>
  <c r="AO53" i="1"/>
  <c r="AO54" i="1"/>
  <c r="AO55" i="1"/>
  <c r="AO56" i="1"/>
  <c r="AO19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18" i="1"/>
  <c r="AO74" i="1"/>
  <c r="AO75" i="1"/>
  <c r="AO76" i="1"/>
  <c r="AO77" i="1"/>
  <c r="AO175" i="1"/>
  <c r="AO278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361" i="1"/>
  <c r="AO95" i="1"/>
  <c r="AO96" i="1"/>
  <c r="AO97" i="1"/>
  <c r="AO98" i="1"/>
  <c r="AO99" i="1"/>
  <c r="AO100" i="1"/>
  <c r="AO101" i="1"/>
  <c r="AO102" i="1"/>
  <c r="AO207" i="1"/>
  <c r="AO57" i="1"/>
  <c r="AO105" i="1"/>
  <c r="AO106" i="1"/>
  <c r="AO107" i="1"/>
  <c r="AO94" i="1"/>
  <c r="AO109" i="1"/>
  <c r="AO110" i="1"/>
  <c r="AO111" i="1"/>
  <c r="AO112" i="1"/>
  <c r="AO240" i="1"/>
  <c r="AO114" i="1"/>
  <c r="AO115" i="1"/>
  <c r="AO116" i="1"/>
  <c r="AO117" i="1"/>
  <c r="AO118" i="1"/>
  <c r="AO119" i="1"/>
  <c r="AO209" i="1"/>
  <c r="AO121" i="1"/>
  <c r="AO122" i="1"/>
  <c r="AO123" i="1"/>
  <c r="AO124" i="1"/>
  <c r="AO125" i="1"/>
  <c r="AO22" i="1"/>
  <c r="AO127" i="1"/>
  <c r="AO128" i="1"/>
  <c r="AO129" i="1"/>
  <c r="AO130" i="1"/>
  <c r="AO131" i="1"/>
  <c r="AO132" i="1"/>
  <c r="AO133" i="1"/>
  <c r="AO5" i="1"/>
  <c r="AO221" i="1"/>
  <c r="AO134" i="1"/>
  <c r="AO7" i="1"/>
  <c r="AO138" i="1"/>
  <c r="AO139" i="1"/>
  <c r="AO140" i="1"/>
  <c r="AO266" i="1"/>
  <c r="AO142" i="1"/>
  <c r="AO216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233" i="1"/>
  <c r="AO294" i="1"/>
  <c r="AO162" i="1"/>
  <c r="AO163" i="1"/>
  <c r="AO164" i="1"/>
  <c r="AO165" i="1"/>
  <c r="AO166" i="1"/>
  <c r="AO27" i="1"/>
  <c r="AO215" i="1"/>
  <c r="AO169" i="1"/>
  <c r="AO170" i="1"/>
  <c r="AO73" i="1"/>
  <c r="AO172" i="1"/>
  <c r="AO173" i="1"/>
  <c r="AO113" i="1"/>
  <c r="AO299" i="1"/>
  <c r="AO338" i="1"/>
  <c r="AO177" i="1"/>
  <c r="AO178" i="1"/>
  <c r="AO179" i="1"/>
  <c r="AO47" i="1"/>
  <c r="AO181" i="1"/>
  <c r="AO182" i="1"/>
  <c r="AO183" i="1"/>
  <c r="AO184" i="1"/>
  <c r="AO242" i="1"/>
  <c r="AO186" i="1"/>
  <c r="AO187" i="1"/>
  <c r="AO188" i="1"/>
  <c r="AO325" i="1"/>
  <c r="AO190" i="1"/>
  <c r="AO191" i="1"/>
  <c r="AO192" i="1"/>
  <c r="AO193" i="1"/>
  <c r="AO194" i="1"/>
  <c r="AO195" i="1"/>
  <c r="AO196" i="1"/>
  <c r="AO79" i="1"/>
  <c r="AO198" i="1"/>
  <c r="AO199" i="1"/>
  <c r="AO200" i="1"/>
  <c r="AO201" i="1"/>
  <c r="AO202" i="1"/>
  <c r="AO203" i="1"/>
  <c r="AO204" i="1"/>
  <c r="AO161" i="1"/>
  <c r="AO206" i="1"/>
  <c r="AO39" i="1"/>
  <c r="AO208" i="1"/>
  <c r="AO176" i="1"/>
  <c r="AO210" i="1"/>
  <c r="AO344" i="1"/>
  <c r="AO212" i="1"/>
  <c r="AO174" i="1"/>
  <c r="AO214" i="1"/>
  <c r="AO256" i="1"/>
  <c r="AO222" i="1"/>
  <c r="AO217" i="1"/>
  <c r="AO218" i="1"/>
  <c r="AO219" i="1"/>
  <c r="AO220" i="1"/>
  <c r="AO205" i="1"/>
  <c r="AO103" i="1"/>
  <c r="AO223" i="1"/>
  <c r="AO224" i="1"/>
  <c r="AO225" i="1"/>
  <c r="AO226" i="1"/>
  <c r="AO227" i="1"/>
  <c r="AO228" i="1"/>
  <c r="AO229" i="1"/>
  <c r="AO230" i="1"/>
  <c r="AO231" i="1"/>
  <c r="AO232" i="1"/>
  <c r="AO292" i="1"/>
  <c r="AO234" i="1"/>
  <c r="AO235" i="1"/>
  <c r="AO371" i="1"/>
  <c r="AO237" i="1"/>
  <c r="AO238" i="1"/>
  <c r="AO2" i="1"/>
  <c r="AO189" i="1"/>
  <c r="AO241" i="1"/>
  <c r="AO160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13" i="1"/>
  <c r="AO257" i="1"/>
  <c r="AO258" i="1"/>
  <c r="AO259" i="1"/>
  <c r="AO260" i="1"/>
  <c r="AO261" i="1"/>
  <c r="AO262" i="1"/>
  <c r="AO263" i="1"/>
  <c r="AO264" i="1"/>
  <c r="AO265" i="1"/>
  <c r="AO34" i="1"/>
  <c r="AO267" i="1"/>
  <c r="AO268" i="1"/>
  <c r="AO269" i="1"/>
  <c r="AO270" i="1"/>
  <c r="AO271" i="1"/>
  <c r="AO272" i="1"/>
  <c r="AO273" i="1"/>
  <c r="AO274" i="1"/>
  <c r="AO275" i="1"/>
  <c r="AO276" i="1"/>
  <c r="AO277" i="1"/>
  <c r="AO171" i="1"/>
  <c r="AO279" i="1"/>
  <c r="AO280" i="1"/>
  <c r="AO281" i="1"/>
  <c r="AO126" i="1"/>
  <c r="AO283" i="1"/>
  <c r="AO284" i="1"/>
  <c r="AO285" i="1"/>
  <c r="AO286" i="1"/>
  <c r="AO287" i="1"/>
  <c r="AO288" i="1"/>
  <c r="AO289" i="1"/>
  <c r="AO290" i="1"/>
  <c r="AO291" i="1"/>
  <c r="AO354" i="1"/>
  <c r="AO293" i="1"/>
  <c r="AO180" i="1"/>
  <c r="AO295" i="1"/>
  <c r="AO296" i="1"/>
  <c r="AO297" i="1"/>
  <c r="AO298" i="1"/>
  <c r="AO167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67" i="1"/>
  <c r="AO349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211" i="1"/>
  <c r="AO339" i="1"/>
  <c r="AO340" i="1"/>
  <c r="AO341" i="1"/>
  <c r="AO342" i="1"/>
  <c r="AO343" i="1"/>
  <c r="AO346" i="1"/>
  <c r="AO345" i="1"/>
  <c r="AO282" i="1"/>
  <c r="AO347" i="1"/>
  <c r="AO348" i="1"/>
  <c r="AO239" i="1"/>
  <c r="AO350" i="1"/>
  <c r="AO351" i="1"/>
  <c r="AO352" i="1"/>
  <c r="AO353" i="1"/>
  <c r="AO137" i="1"/>
  <c r="AO355" i="1"/>
  <c r="AO356" i="1"/>
  <c r="AO357" i="1"/>
  <c r="AO358" i="1"/>
  <c r="AO359" i="1"/>
  <c r="AO360" i="1"/>
  <c r="AO143" i="1"/>
  <c r="AO362" i="1"/>
  <c r="AO363" i="1"/>
  <c r="AO364" i="1"/>
  <c r="AO365" i="1"/>
  <c r="AO366" i="1"/>
  <c r="AO324" i="1"/>
  <c r="AO368" i="1"/>
  <c r="AO369" i="1"/>
  <c r="AO370" i="1"/>
  <c r="AO236" i="1"/>
  <c r="AO23" i="1"/>
  <c r="AK8" i="1"/>
  <c r="AK3" i="1"/>
  <c r="AK4" i="1"/>
  <c r="AK136" i="1"/>
  <c r="AK6" i="1"/>
  <c r="AK120" i="1"/>
  <c r="AK9" i="1"/>
  <c r="AK10" i="1"/>
  <c r="AK11" i="1"/>
  <c r="AK12" i="1"/>
  <c r="AK13" i="1"/>
  <c r="AK14" i="1"/>
  <c r="AK15" i="1"/>
  <c r="AK16" i="1"/>
  <c r="AK17" i="1"/>
  <c r="AK108" i="1"/>
  <c r="AK19" i="1"/>
  <c r="AK20" i="1"/>
  <c r="AK21" i="1"/>
  <c r="AK104" i="1"/>
  <c r="AK141" i="1"/>
  <c r="AK24" i="1"/>
  <c r="AK25" i="1"/>
  <c r="AK26" i="1"/>
  <c r="AK185" i="1"/>
  <c r="AK28" i="1"/>
  <c r="AK29" i="1"/>
  <c r="AK30" i="1"/>
  <c r="AK31" i="1"/>
  <c r="AK32" i="1"/>
  <c r="AK33" i="1"/>
  <c r="AK78" i="1"/>
  <c r="AK35" i="1"/>
  <c r="AK36" i="1"/>
  <c r="AK37" i="1"/>
  <c r="AK38" i="1"/>
  <c r="AK168" i="1"/>
  <c r="AK40" i="1"/>
  <c r="AK41" i="1"/>
  <c r="AK42" i="1"/>
  <c r="AK43" i="1"/>
  <c r="AK44" i="1"/>
  <c r="AK45" i="1"/>
  <c r="AK46" i="1"/>
  <c r="AK135" i="1"/>
  <c r="AK48" i="1"/>
  <c r="AK49" i="1"/>
  <c r="AK50" i="1"/>
  <c r="AK51" i="1"/>
  <c r="AK52" i="1"/>
  <c r="AK53" i="1"/>
  <c r="AK54" i="1"/>
  <c r="AK55" i="1"/>
  <c r="AK56" i="1"/>
  <c r="AK19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18" i="1"/>
  <c r="AK74" i="1"/>
  <c r="AK75" i="1"/>
  <c r="AK76" i="1"/>
  <c r="AK77" i="1"/>
  <c r="AK175" i="1"/>
  <c r="AK278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361" i="1"/>
  <c r="AK95" i="1"/>
  <c r="AK96" i="1"/>
  <c r="AK97" i="1"/>
  <c r="AK98" i="1"/>
  <c r="AK99" i="1"/>
  <c r="AK100" i="1"/>
  <c r="AK101" i="1"/>
  <c r="AK102" i="1"/>
  <c r="AK207" i="1"/>
  <c r="AK57" i="1"/>
  <c r="AK105" i="1"/>
  <c r="AK106" i="1"/>
  <c r="AK107" i="1"/>
  <c r="AK94" i="1"/>
  <c r="AK109" i="1"/>
  <c r="AK110" i="1"/>
  <c r="AK111" i="1"/>
  <c r="AK112" i="1"/>
  <c r="AK240" i="1"/>
  <c r="AK114" i="1"/>
  <c r="AK115" i="1"/>
  <c r="AK116" i="1"/>
  <c r="AK117" i="1"/>
  <c r="AK118" i="1"/>
  <c r="AK119" i="1"/>
  <c r="AK209" i="1"/>
  <c r="AK121" i="1"/>
  <c r="AK122" i="1"/>
  <c r="AK123" i="1"/>
  <c r="AK124" i="1"/>
  <c r="AK125" i="1"/>
  <c r="AK22" i="1"/>
  <c r="AK127" i="1"/>
  <c r="AK128" i="1"/>
  <c r="AK129" i="1"/>
  <c r="AK130" i="1"/>
  <c r="AK131" i="1"/>
  <c r="AK132" i="1"/>
  <c r="AK133" i="1"/>
  <c r="AK5" i="1"/>
  <c r="AK221" i="1"/>
  <c r="AK134" i="1"/>
  <c r="AK7" i="1"/>
  <c r="AK138" i="1"/>
  <c r="AK139" i="1"/>
  <c r="AK140" i="1"/>
  <c r="AK266" i="1"/>
  <c r="AK142" i="1"/>
  <c r="AK216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233" i="1"/>
  <c r="AK294" i="1"/>
  <c r="AK162" i="1"/>
  <c r="AK163" i="1"/>
  <c r="AK164" i="1"/>
  <c r="AK165" i="1"/>
  <c r="AK166" i="1"/>
  <c r="AK27" i="1"/>
  <c r="AK215" i="1"/>
  <c r="AK169" i="1"/>
  <c r="AK170" i="1"/>
  <c r="AK73" i="1"/>
  <c r="AK172" i="1"/>
  <c r="AK173" i="1"/>
  <c r="AK113" i="1"/>
  <c r="AK299" i="1"/>
  <c r="AK338" i="1"/>
  <c r="AK177" i="1"/>
  <c r="AK178" i="1"/>
  <c r="AK179" i="1"/>
  <c r="AK47" i="1"/>
  <c r="AK181" i="1"/>
  <c r="AK182" i="1"/>
  <c r="AK183" i="1"/>
  <c r="AK184" i="1"/>
  <c r="AK242" i="1"/>
  <c r="AK186" i="1"/>
  <c r="AK187" i="1"/>
  <c r="AK188" i="1"/>
  <c r="AK325" i="1"/>
  <c r="AK190" i="1"/>
  <c r="AK191" i="1"/>
  <c r="AK192" i="1"/>
  <c r="AK193" i="1"/>
  <c r="AK194" i="1"/>
  <c r="AK195" i="1"/>
  <c r="AK196" i="1"/>
  <c r="AK79" i="1"/>
  <c r="AK198" i="1"/>
  <c r="AK199" i="1"/>
  <c r="AK200" i="1"/>
  <c r="AK201" i="1"/>
  <c r="AK202" i="1"/>
  <c r="AK203" i="1"/>
  <c r="AK204" i="1"/>
  <c r="AK161" i="1"/>
  <c r="AK206" i="1"/>
  <c r="AK39" i="1"/>
  <c r="AK208" i="1"/>
  <c r="AK176" i="1"/>
  <c r="AK210" i="1"/>
  <c r="AK344" i="1"/>
  <c r="AK212" i="1"/>
  <c r="AK174" i="1"/>
  <c r="AK214" i="1"/>
  <c r="AK256" i="1"/>
  <c r="AK222" i="1"/>
  <c r="AK217" i="1"/>
  <c r="AK218" i="1"/>
  <c r="AK219" i="1"/>
  <c r="AK220" i="1"/>
  <c r="AK205" i="1"/>
  <c r="AK103" i="1"/>
  <c r="AK223" i="1"/>
  <c r="AK224" i="1"/>
  <c r="AK225" i="1"/>
  <c r="AK226" i="1"/>
  <c r="AK227" i="1"/>
  <c r="AK228" i="1"/>
  <c r="AK229" i="1"/>
  <c r="AK230" i="1"/>
  <c r="AK231" i="1"/>
  <c r="AK232" i="1"/>
  <c r="AK292" i="1"/>
  <c r="AK234" i="1"/>
  <c r="AK235" i="1"/>
  <c r="AK371" i="1"/>
  <c r="AK237" i="1"/>
  <c r="AK238" i="1"/>
  <c r="AK2" i="1"/>
  <c r="AK189" i="1"/>
  <c r="AK241" i="1"/>
  <c r="AK160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13" i="1"/>
  <c r="AK257" i="1"/>
  <c r="AK258" i="1"/>
  <c r="AK259" i="1"/>
  <c r="AK260" i="1"/>
  <c r="AK261" i="1"/>
  <c r="AK262" i="1"/>
  <c r="AK263" i="1"/>
  <c r="AK264" i="1"/>
  <c r="AK265" i="1"/>
  <c r="AK34" i="1"/>
  <c r="AK267" i="1"/>
  <c r="AK268" i="1"/>
  <c r="AK269" i="1"/>
  <c r="AK270" i="1"/>
  <c r="AK271" i="1"/>
  <c r="AK272" i="1"/>
  <c r="AK273" i="1"/>
  <c r="AK274" i="1"/>
  <c r="AK275" i="1"/>
  <c r="AK276" i="1"/>
  <c r="AK277" i="1"/>
  <c r="AK171" i="1"/>
  <c r="AK279" i="1"/>
  <c r="AK280" i="1"/>
  <c r="AK281" i="1"/>
  <c r="AK126" i="1"/>
  <c r="AK283" i="1"/>
  <c r="AK284" i="1"/>
  <c r="AK285" i="1"/>
  <c r="AK286" i="1"/>
  <c r="AK287" i="1"/>
  <c r="AK288" i="1"/>
  <c r="AK289" i="1"/>
  <c r="AK290" i="1"/>
  <c r="AK291" i="1"/>
  <c r="AK354" i="1"/>
  <c r="AK293" i="1"/>
  <c r="AK180" i="1"/>
  <c r="AK295" i="1"/>
  <c r="AK296" i="1"/>
  <c r="AK297" i="1"/>
  <c r="AK298" i="1"/>
  <c r="AK167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67" i="1"/>
  <c r="AK349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211" i="1"/>
  <c r="AK339" i="1"/>
  <c r="AK340" i="1"/>
  <c r="AK341" i="1"/>
  <c r="AK342" i="1"/>
  <c r="AK343" i="1"/>
  <c r="AK346" i="1"/>
  <c r="AK345" i="1"/>
  <c r="AK282" i="1"/>
  <c r="AK347" i="1"/>
  <c r="AK348" i="1"/>
  <c r="AK239" i="1"/>
  <c r="AK350" i="1"/>
  <c r="AK351" i="1"/>
  <c r="AK352" i="1"/>
  <c r="AK353" i="1"/>
  <c r="AK137" i="1"/>
  <c r="AK355" i="1"/>
  <c r="AK356" i="1"/>
  <c r="AK357" i="1"/>
  <c r="AK358" i="1"/>
  <c r="AK359" i="1"/>
  <c r="AK360" i="1"/>
  <c r="AK143" i="1"/>
  <c r="AK362" i="1"/>
  <c r="AK363" i="1"/>
  <c r="AK364" i="1"/>
  <c r="AK365" i="1"/>
  <c r="AK366" i="1"/>
  <c r="AK324" i="1"/>
  <c r="AK368" i="1"/>
  <c r="AK369" i="1"/>
  <c r="AK370" i="1"/>
  <c r="AK236" i="1"/>
  <c r="AK23" i="1"/>
  <c r="AH3" i="1"/>
  <c r="AH4" i="1"/>
  <c r="AH136" i="1"/>
  <c r="AH6" i="1"/>
  <c r="AH120" i="1"/>
  <c r="AH8" i="1"/>
  <c r="AH9" i="1"/>
  <c r="AH10" i="1"/>
  <c r="AH11" i="1"/>
  <c r="AH12" i="1"/>
  <c r="AH13" i="1"/>
  <c r="AH14" i="1"/>
  <c r="AH15" i="1"/>
  <c r="AH16" i="1"/>
  <c r="AH17" i="1"/>
  <c r="AH108" i="1"/>
  <c r="AH19" i="1"/>
  <c r="AH20" i="1"/>
  <c r="AH21" i="1"/>
  <c r="AH104" i="1"/>
  <c r="AH141" i="1"/>
  <c r="AH24" i="1"/>
  <c r="AH25" i="1"/>
  <c r="AH26" i="1"/>
  <c r="AH185" i="1"/>
  <c r="AH28" i="1"/>
  <c r="AH29" i="1"/>
  <c r="AH30" i="1"/>
  <c r="AH31" i="1"/>
  <c r="AH32" i="1"/>
  <c r="AH33" i="1"/>
  <c r="AH78" i="1"/>
  <c r="AH35" i="1"/>
  <c r="AH36" i="1"/>
  <c r="AH37" i="1"/>
  <c r="AH38" i="1"/>
  <c r="AH168" i="1"/>
  <c r="AH40" i="1"/>
  <c r="AH41" i="1"/>
  <c r="AH42" i="1"/>
  <c r="AH43" i="1"/>
  <c r="AH44" i="1"/>
  <c r="AH45" i="1"/>
  <c r="AH46" i="1"/>
  <c r="AH135" i="1"/>
  <c r="AH48" i="1"/>
  <c r="AH49" i="1"/>
  <c r="AH50" i="1"/>
  <c r="AH51" i="1"/>
  <c r="AH52" i="1"/>
  <c r="AH53" i="1"/>
  <c r="AH54" i="1"/>
  <c r="AH55" i="1"/>
  <c r="AH56" i="1"/>
  <c r="AH19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18" i="1"/>
  <c r="AH74" i="1"/>
  <c r="AH75" i="1"/>
  <c r="AH76" i="1"/>
  <c r="AH77" i="1"/>
  <c r="AH175" i="1"/>
  <c r="AH278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361" i="1"/>
  <c r="AH95" i="1"/>
  <c r="AH96" i="1"/>
  <c r="AH97" i="1"/>
  <c r="AH98" i="1"/>
  <c r="AH99" i="1"/>
  <c r="AH100" i="1"/>
  <c r="AH101" i="1"/>
  <c r="AH102" i="1"/>
  <c r="AH207" i="1"/>
  <c r="AH57" i="1"/>
  <c r="AH105" i="1"/>
  <c r="AH106" i="1"/>
  <c r="AH107" i="1"/>
  <c r="AH94" i="1"/>
  <c r="AH109" i="1"/>
  <c r="AH110" i="1"/>
  <c r="AH111" i="1"/>
  <c r="AH112" i="1"/>
  <c r="AH240" i="1"/>
  <c r="AH114" i="1"/>
  <c r="AH115" i="1"/>
  <c r="AH116" i="1"/>
  <c r="AH117" i="1"/>
  <c r="AH118" i="1"/>
  <c r="AH119" i="1"/>
  <c r="AH209" i="1"/>
  <c r="AH121" i="1"/>
  <c r="AH122" i="1"/>
  <c r="AH123" i="1"/>
  <c r="AH124" i="1"/>
  <c r="AH125" i="1"/>
  <c r="AH22" i="1"/>
  <c r="AH127" i="1"/>
  <c r="AH128" i="1"/>
  <c r="AH129" i="1"/>
  <c r="AH130" i="1"/>
  <c r="AH131" i="1"/>
  <c r="AH132" i="1"/>
  <c r="AH133" i="1"/>
  <c r="AH5" i="1"/>
  <c r="AH221" i="1"/>
  <c r="AH134" i="1"/>
  <c r="AH7" i="1"/>
  <c r="AH138" i="1"/>
  <c r="AH139" i="1"/>
  <c r="AH140" i="1"/>
  <c r="AH266" i="1"/>
  <c r="AH142" i="1"/>
  <c r="AH216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233" i="1"/>
  <c r="AH294" i="1"/>
  <c r="AH162" i="1"/>
  <c r="AH163" i="1"/>
  <c r="AH164" i="1"/>
  <c r="AH165" i="1"/>
  <c r="AH166" i="1"/>
  <c r="AH27" i="1"/>
  <c r="AH215" i="1"/>
  <c r="AH169" i="1"/>
  <c r="AH170" i="1"/>
  <c r="AH73" i="1"/>
  <c r="AH172" i="1"/>
  <c r="AH173" i="1"/>
  <c r="AH113" i="1"/>
  <c r="AH299" i="1"/>
  <c r="AH338" i="1"/>
  <c r="AH177" i="1"/>
  <c r="AH178" i="1"/>
  <c r="AH179" i="1"/>
  <c r="AH47" i="1"/>
  <c r="AH181" i="1"/>
  <c r="AH182" i="1"/>
  <c r="AH183" i="1"/>
  <c r="AH184" i="1"/>
  <c r="AH242" i="1"/>
  <c r="AH186" i="1"/>
  <c r="AH187" i="1"/>
  <c r="AH188" i="1"/>
  <c r="AH325" i="1"/>
  <c r="AH190" i="1"/>
  <c r="AH191" i="1"/>
  <c r="AH192" i="1"/>
  <c r="AH193" i="1"/>
  <c r="AH194" i="1"/>
  <c r="AH195" i="1"/>
  <c r="AH196" i="1"/>
  <c r="AH79" i="1"/>
  <c r="AH198" i="1"/>
  <c r="AH199" i="1"/>
  <c r="AH200" i="1"/>
  <c r="AH201" i="1"/>
  <c r="AH202" i="1"/>
  <c r="AH203" i="1"/>
  <c r="AH204" i="1"/>
  <c r="AH161" i="1"/>
  <c r="AH206" i="1"/>
  <c r="AH39" i="1"/>
  <c r="AH208" i="1"/>
  <c r="AH176" i="1"/>
  <c r="AH210" i="1"/>
  <c r="AH344" i="1"/>
  <c r="AH212" i="1"/>
  <c r="AH174" i="1"/>
  <c r="AH214" i="1"/>
  <c r="AH256" i="1"/>
  <c r="AH222" i="1"/>
  <c r="AH217" i="1"/>
  <c r="AH218" i="1"/>
  <c r="AH219" i="1"/>
  <c r="AH220" i="1"/>
  <c r="AH205" i="1"/>
  <c r="AH103" i="1"/>
  <c r="AH223" i="1"/>
  <c r="AH224" i="1"/>
  <c r="AH225" i="1"/>
  <c r="AH226" i="1"/>
  <c r="AH227" i="1"/>
  <c r="AH228" i="1"/>
  <c r="AH229" i="1"/>
  <c r="AH230" i="1"/>
  <c r="AH231" i="1"/>
  <c r="AH232" i="1"/>
  <c r="AH292" i="1"/>
  <c r="AH234" i="1"/>
  <c r="AH235" i="1"/>
  <c r="AH371" i="1"/>
  <c r="AH237" i="1"/>
  <c r="AH238" i="1"/>
  <c r="AH2" i="1"/>
  <c r="AH189" i="1"/>
  <c r="AH241" i="1"/>
  <c r="AH160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13" i="1"/>
  <c r="AH257" i="1"/>
  <c r="AH258" i="1"/>
  <c r="AH259" i="1"/>
  <c r="AH260" i="1"/>
  <c r="AH261" i="1"/>
  <c r="AH262" i="1"/>
  <c r="AH263" i="1"/>
  <c r="AH264" i="1"/>
  <c r="AH265" i="1"/>
  <c r="AH34" i="1"/>
  <c r="AH267" i="1"/>
  <c r="AH268" i="1"/>
  <c r="AH269" i="1"/>
  <c r="AH270" i="1"/>
  <c r="AH271" i="1"/>
  <c r="AH272" i="1"/>
  <c r="AH273" i="1"/>
  <c r="AH274" i="1"/>
  <c r="AH275" i="1"/>
  <c r="AH276" i="1"/>
  <c r="AH277" i="1"/>
  <c r="AH171" i="1"/>
  <c r="AH279" i="1"/>
  <c r="AH280" i="1"/>
  <c r="AH281" i="1"/>
  <c r="AH126" i="1"/>
  <c r="AH283" i="1"/>
  <c r="AH284" i="1"/>
  <c r="AH285" i="1"/>
  <c r="AH286" i="1"/>
  <c r="AH287" i="1"/>
  <c r="AH288" i="1"/>
  <c r="AH289" i="1"/>
  <c r="AH290" i="1"/>
  <c r="AH291" i="1"/>
  <c r="AH354" i="1"/>
  <c r="AH293" i="1"/>
  <c r="AH180" i="1"/>
  <c r="AH295" i="1"/>
  <c r="AH296" i="1"/>
  <c r="AH297" i="1"/>
  <c r="AH298" i="1"/>
  <c r="AH167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67" i="1"/>
  <c r="AH349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211" i="1"/>
  <c r="AH339" i="1"/>
  <c r="AH340" i="1"/>
  <c r="AH341" i="1"/>
  <c r="AH342" i="1"/>
  <c r="AH343" i="1"/>
  <c r="AH346" i="1"/>
  <c r="AH345" i="1"/>
  <c r="AH282" i="1"/>
  <c r="AH347" i="1"/>
  <c r="AH348" i="1"/>
  <c r="AH239" i="1"/>
  <c r="AH350" i="1"/>
  <c r="AH351" i="1"/>
  <c r="AH352" i="1"/>
  <c r="AH353" i="1"/>
  <c r="AH137" i="1"/>
  <c r="AH355" i="1"/>
  <c r="AH356" i="1"/>
  <c r="AH357" i="1"/>
  <c r="AH358" i="1"/>
  <c r="AH359" i="1"/>
  <c r="AH360" i="1"/>
  <c r="AH143" i="1"/>
  <c r="AH362" i="1"/>
  <c r="AH363" i="1"/>
  <c r="AH364" i="1"/>
  <c r="AH365" i="1"/>
  <c r="AH366" i="1"/>
  <c r="AH324" i="1"/>
  <c r="AH368" i="1"/>
  <c r="AH369" i="1"/>
  <c r="AH370" i="1"/>
  <c r="AH236" i="1"/>
  <c r="AH23" i="1"/>
  <c r="X3" i="1"/>
  <c r="X4" i="1"/>
  <c r="X136" i="1"/>
  <c r="X6" i="1"/>
  <c r="X120" i="1"/>
  <c r="X8" i="1"/>
  <c r="X9" i="1"/>
  <c r="X10" i="1"/>
  <c r="X11" i="1"/>
  <c r="X12" i="1"/>
  <c r="X13" i="1"/>
  <c r="X14" i="1"/>
  <c r="X15" i="1"/>
  <c r="X16" i="1"/>
  <c r="X17" i="1"/>
  <c r="X108" i="1"/>
  <c r="X19" i="1"/>
  <c r="X20" i="1"/>
  <c r="X21" i="1"/>
  <c r="X104" i="1"/>
  <c r="X141" i="1"/>
  <c r="X24" i="1"/>
  <c r="X25" i="1"/>
  <c r="X26" i="1"/>
  <c r="X185" i="1"/>
  <c r="X28" i="1"/>
  <c r="X29" i="1"/>
  <c r="X30" i="1"/>
  <c r="X31" i="1"/>
  <c r="X32" i="1"/>
  <c r="X33" i="1"/>
  <c r="X78" i="1"/>
  <c r="X35" i="1"/>
  <c r="X36" i="1"/>
  <c r="X37" i="1"/>
  <c r="X38" i="1"/>
  <c r="X168" i="1"/>
  <c r="X40" i="1"/>
  <c r="X41" i="1"/>
  <c r="X42" i="1"/>
  <c r="X43" i="1"/>
  <c r="X44" i="1"/>
  <c r="X45" i="1"/>
  <c r="X46" i="1"/>
  <c r="X135" i="1"/>
  <c r="X48" i="1"/>
  <c r="X49" i="1"/>
  <c r="X50" i="1"/>
  <c r="X51" i="1"/>
  <c r="X52" i="1"/>
  <c r="X53" i="1"/>
  <c r="X54" i="1"/>
  <c r="X55" i="1"/>
  <c r="X56" i="1"/>
  <c r="X19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18" i="1"/>
  <c r="X74" i="1"/>
  <c r="X75" i="1"/>
  <c r="X76" i="1"/>
  <c r="X77" i="1"/>
  <c r="X175" i="1"/>
  <c r="X278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361" i="1"/>
  <c r="X95" i="1"/>
  <c r="X96" i="1"/>
  <c r="X97" i="1"/>
  <c r="X98" i="1"/>
  <c r="X99" i="1"/>
  <c r="X100" i="1"/>
  <c r="X101" i="1"/>
  <c r="X102" i="1"/>
  <c r="X207" i="1"/>
  <c r="X57" i="1"/>
  <c r="X105" i="1"/>
  <c r="X106" i="1"/>
  <c r="X107" i="1"/>
  <c r="X94" i="1"/>
  <c r="X109" i="1"/>
  <c r="X110" i="1"/>
  <c r="X111" i="1"/>
  <c r="X112" i="1"/>
  <c r="X240" i="1"/>
  <c r="X114" i="1"/>
  <c r="X115" i="1"/>
  <c r="X116" i="1"/>
  <c r="X117" i="1"/>
  <c r="X118" i="1"/>
  <c r="X119" i="1"/>
  <c r="X209" i="1"/>
  <c r="X121" i="1"/>
  <c r="X122" i="1"/>
  <c r="X123" i="1"/>
  <c r="X124" i="1"/>
  <c r="X125" i="1"/>
  <c r="X22" i="1"/>
  <c r="X127" i="1"/>
  <c r="X128" i="1"/>
  <c r="X129" i="1"/>
  <c r="X130" i="1"/>
  <c r="X131" i="1"/>
  <c r="X132" i="1"/>
  <c r="X133" i="1"/>
  <c r="X5" i="1"/>
  <c r="X221" i="1"/>
  <c r="X134" i="1"/>
  <c r="X7" i="1"/>
  <c r="X138" i="1"/>
  <c r="X139" i="1"/>
  <c r="X140" i="1"/>
  <c r="X266" i="1"/>
  <c r="X142" i="1"/>
  <c r="X216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233" i="1"/>
  <c r="X294" i="1"/>
  <c r="X162" i="1"/>
  <c r="X163" i="1"/>
  <c r="X164" i="1"/>
  <c r="X165" i="1"/>
  <c r="X166" i="1"/>
  <c r="X27" i="1"/>
  <c r="X215" i="1"/>
  <c r="X169" i="1"/>
  <c r="X170" i="1"/>
  <c r="X73" i="1"/>
  <c r="X172" i="1"/>
  <c r="X173" i="1"/>
  <c r="X113" i="1"/>
  <c r="X299" i="1"/>
  <c r="X338" i="1"/>
  <c r="X177" i="1"/>
  <c r="X178" i="1"/>
  <c r="X179" i="1"/>
  <c r="X47" i="1"/>
  <c r="X181" i="1"/>
  <c r="X182" i="1"/>
  <c r="X183" i="1"/>
  <c r="X184" i="1"/>
  <c r="X242" i="1"/>
  <c r="X186" i="1"/>
  <c r="X187" i="1"/>
  <c r="X188" i="1"/>
  <c r="X325" i="1"/>
  <c r="X190" i="1"/>
  <c r="X191" i="1"/>
  <c r="X192" i="1"/>
  <c r="X193" i="1"/>
  <c r="X194" i="1"/>
  <c r="X195" i="1"/>
  <c r="X196" i="1"/>
  <c r="X79" i="1"/>
  <c r="X198" i="1"/>
  <c r="X199" i="1"/>
  <c r="X200" i="1"/>
  <c r="X201" i="1"/>
  <c r="X202" i="1"/>
  <c r="X203" i="1"/>
  <c r="X204" i="1"/>
  <c r="X161" i="1"/>
  <c r="X206" i="1"/>
  <c r="X39" i="1"/>
  <c r="X208" i="1"/>
  <c r="X176" i="1"/>
  <c r="X210" i="1"/>
  <c r="X344" i="1"/>
  <c r="X212" i="1"/>
  <c r="X174" i="1"/>
  <c r="X214" i="1"/>
  <c r="X256" i="1"/>
  <c r="X222" i="1"/>
  <c r="X217" i="1"/>
  <c r="X218" i="1"/>
  <c r="X219" i="1"/>
  <c r="X220" i="1"/>
  <c r="X205" i="1"/>
  <c r="X103" i="1"/>
  <c r="X223" i="1"/>
  <c r="X224" i="1"/>
  <c r="X225" i="1"/>
  <c r="X226" i="1"/>
  <c r="X227" i="1"/>
  <c r="X228" i="1"/>
  <c r="X229" i="1"/>
  <c r="X230" i="1"/>
  <c r="X231" i="1"/>
  <c r="X232" i="1"/>
  <c r="X292" i="1"/>
  <c r="X234" i="1"/>
  <c r="X235" i="1"/>
  <c r="X371" i="1"/>
  <c r="X237" i="1"/>
  <c r="X238" i="1"/>
  <c r="X2" i="1"/>
  <c r="X189" i="1"/>
  <c r="X241" i="1"/>
  <c r="X160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13" i="1"/>
  <c r="X257" i="1"/>
  <c r="X258" i="1"/>
  <c r="X259" i="1"/>
  <c r="X260" i="1"/>
  <c r="X261" i="1"/>
  <c r="X262" i="1"/>
  <c r="X263" i="1"/>
  <c r="X264" i="1"/>
  <c r="X265" i="1"/>
  <c r="X34" i="1"/>
  <c r="X267" i="1"/>
  <c r="X268" i="1"/>
  <c r="X269" i="1"/>
  <c r="X270" i="1"/>
  <c r="X271" i="1"/>
  <c r="X272" i="1"/>
  <c r="X273" i="1"/>
  <c r="X274" i="1"/>
  <c r="X275" i="1"/>
  <c r="X276" i="1"/>
  <c r="X277" i="1"/>
  <c r="X171" i="1"/>
  <c r="X279" i="1"/>
  <c r="X280" i="1"/>
  <c r="X281" i="1"/>
  <c r="X126" i="1"/>
  <c r="X283" i="1"/>
  <c r="X284" i="1"/>
  <c r="X285" i="1"/>
  <c r="X286" i="1"/>
  <c r="X287" i="1"/>
  <c r="X288" i="1"/>
  <c r="X289" i="1"/>
  <c r="X290" i="1"/>
  <c r="X291" i="1"/>
  <c r="X354" i="1"/>
  <c r="X293" i="1"/>
  <c r="X180" i="1"/>
  <c r="X295" i="1"/>
  <c r="X296" i="1"/>
  <c r="X297" i="1"/>
  <c r="X298" i="1"/>
  <c r="X167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67" i="1"/>
  <c r="X349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211" i="1"/>
  <c r="X339" i="1"/>
  <c r="X340" i="1"/>
  <c r="X341" i="1"/>
  <c r="X342" i="1"/>
  <c r="X343" i="1"/>
  <c r="X346" i="1"/>
  <c r="X345" i="1"/>
  <c r="X282" i="1"/>
  <c r="X347" i="1"/>
  <c r="X348" i="1"/>
  <c r="X239" i="1"/>
  <c r="X350" i="1"/>
  <c r="X351" i="1"/>
  <c r="X352" i="1"/>
  <c r="X353" i="1"/>
  <c r="X137" i="1"/>
  <c r="X355" i="1"/>
  <c r="X356" i="1"/>
  <c r="X357" i="1"/>
  <c r="X358" i="1"/>
  <c r="X359" i="1"/>
  <c r="X360" i="1"/>
  <c r="X143" i="1"/>
  <c r="X362" i="1"/>
  <c r="X363" i="1"/>
  <c r="X364" i="1"/>
  <c r="X365" i="1"/>
  <c r="X366" i="1"/>
  <c r="X324" i="1"/>
  <c r="X368" i="1"/>
  <c r="X369" i="1"/>
  <c r="X370" i="1"/>
  <c r="X236" i="1"/>
  <c r="X23" i="1"/>
  <c r="U3" i="1"/>
  <c r="U4" i="1"/>
  <c r="U136" i="1"/>
  <c r="U6" i="1"/>
  <c r="U120" i="1"/>
  <c r="U8" i="1"/>
  <c r="U9" i="1"/>
  <c r="U10" i="1"/>
  <c r="U11" i="1"/>
  <c r="U12" i="1"/>
  <c r="U13" i="1"/>
  <c r="U14" i="1"/>
  <c r="U15" i="1"/>
  <c r="U16" i="1"/>
  <c r="U17" i="1"/>
  <c r="U108" i="1"/>
  <c r="U19" i="1"/>
  <c r="U20" i="1"/>
  <c r="U21" i="1"/>
  <c r="U104" i="1"/>
  <c r="U141" i="1"/>
  <c r="U24" i="1"/>
  <c r="U25" i="1"/>
  <c r="U26" i="1"/>
  <c r="U185" i="1"/>
  <c r="U28" i="1"/>
  <c r="U29" i="1"/>
  <c r="U30" i="1"/>
  <c r="U31" i="1"/>
  <c r="U32" i="1"/>
  <c r="U33" i="1"/>
  <c r="U78" i="1"/>
  <c r="U35" i="1"/>
  <c r="U36" i="1"/>
  <c r="U37" i="1"/>
  <c r="U38" i="1"/>
  <c r="U168" i="1"/>
  <c r="U40" i="1"/>
  <c r="U41" i="1"/>
  <c r="U42" i="1"/>
  <c r="U43" i="1"/>
  <c r="U44" i="1"/>
  <c r="U45" i="1"/>
  <c r="U46" i="1"/>
  <c r="U135" i="1"/>
  <c r="U48" i="1"/>
  <c r="U49" i="1"/>
  <c r="U50" i="1"/>
  <c r="U51" i="1"/>
  <c r="U52" i="1"/>
  <c r="U53" i="1"/>
  <c r="U54" i="1"/>
  <c r="U55" i="1"/>
  <c r="U56" i="1"/>
  <c r="U19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18" i="1"/>
  <c r="U74" i="1"/>
  <c r="U75" i="1"/>
  <c r="U76" i="1"/>
  <c r="U77" i="1"/>
  <c r="U175" i="1"/>
  <c r="U278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361" i="1"/>
  <c r="U95" i="1"/>
  <c r="U96" i="1"/>
  <c r="U97" i="1"/>
  <c r="U98" i="1"/>
  <c r="U99" i="1"/>
  <c r="U100" i="1"/>
  <c r="U101" i="1"/>
  <c r="U102" i="1"/>
  <c r="U207" i="1"/>
  <c r="U57" i="1"/>
  <c r="U105" i="1"/>
  <c r="U106" i="1"/>
  <c r="U107" i="1"/>
  <c r="U94" i="1"/>
  <c r="U109" i="1"/>
  <c r="U110" i="1"/>
  <c r="U111" i="1"/>
  <c r="U112" i="1"/>
  <c r="U240" i="1"/>
  <c r="U114" i="1"/>
  <c r="U115" i="1"/>
  <c r="U116" i="1"/>
  <c r="U117" i="1"/>
  <c r="U118" i="1"/>
  <c r="U119" i="1"/>
  <c r="U209" i="1"/>
  <c r="U121" i="1"/>
  <c r="U122" i="1"/>
  <c r="U123" i="1"/>
  <c r="U124" i="1"/>
  <c r="U125" i="1"/>
  <c r="U22" i="1"/>
  <c r="U127" i="1"/>
  <c r="U128" i="1"/>
  <c r="U129" i="1"/>
  <c r="U130" i="1"/>
  <c r="U131" i="1"/>
  <c r="U132" i="1"/>
  <c r="U133" i="1"/>
  <c r="U5" i="1"/>
  <c r="U221" i="1"/>
  <c r="U134" i="1"/>
  <c r="U7" i="1"/>
  <c r="U138" i="1"/>
  <c r="U139" i="1"/>
  <c r="U140" i="1"/>
  <c r="U266" i="1"/>
  <c r="U142" i="1"/>
  <c r="U216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233" i="1"/>
  <c r="U294" i="1"/>
  <c r="U162" i="1"/>
  <c r="U163" i="1"/>
  <c r="U164" i="1"/>
  <c r="U165" i="1"/>
  <c r="U166" i="1"/>
  <c r="U27" i="1"/>
  <c r="U215" i="1"/>
  <c r="U169" i="1"/>
  <c r="U170" i="1"/>
  <c r="U73" i="1"/>
  <c r="U172" i="1"/>
  <c r="U173" i="1"/>
  <c r="U113" i="1"/>
  <c r="U299" i="1"/>
  <c r="U338" i="1"/>
  <c r="U177" i="1"/>
  <c r="U178" i="1"/>
  <c r="U179" i="1"/>
  <c r="U47" i="1"/>
  <c r="U181" i="1"/>
  <c r="U182" i="1"/>
  <c r="U183" i="1"/>
  <c r="U184" i="1"/>
  <c r="U242" i="1"/>
  <c r="U186" i="1"/>
  <c r="U187" i="1"/>
  <c r="U188" i="1"/>
  <c r="U325" i="1"/>
  <c r="U190" i="1"/>
  <c r="U191" i="1"/>
  <c r="U192" i="1"/>
  <c r="U193" i="1"/>
  <c r="U194" i="1"/>
  <c r="U195" i="1"/>
  <c r="U196" i="1"/>
  <c r="U79" i="1"/>
  <c r="U198" i="1"/>
  <c r="U199" i="1"/>
  <c r="U200" i="1"/>
  <c r="U201" i="1"/>
  <c r="U202" i="1"/>
  <c r="U203" i="1"/>
  <c r="U204" i="1"/>
  <c r="U161" i="1"/>
  <c r="U206" i="1"/>
  <c r="U39" i="1"/>
  <c r="U208" i="1"/>
  <c r="U176" i="1"/>
  <c r="U210" i="1"/>
  <c r="U344" i="1"/>
  <c r="U212" i="1"/>
  <c r="U174" i="1"/>
  <c r="U214" i="1"/>
  <c r="U256" i="1"/>
  <c r="U222" i="1"/>
  <c r="U217" i="1"/>
  <c r="U218" i="1"/>
  <c r="U219" i="1"/>
  <c r="U220" i="1"/>
  <c r="U205" i="1"/>
  <c r="U103" i="1"/>
  <c r="U223" i="1"/>
  <c r="U224" i="1"/>
  <c r="U225" i="1"/>
  <c r="U226" i="1"/>
  <c r="U227" i="1"/>
  <c r="U228" i="1"/>
  <c r="U229" i="1"/>
  <c r="U230" i="1"/>
  <c r="U231" i="1"/>
  <c r="U232" i="1"/>
  <c r="U292" i="1"/>
  <c r="U234" i="1"/>
  <c r="U235" i="1"/>
  <c r="U371" i="1"/>
  <c r="U237" i="1"/>
  <c r="U238" i="1"/>
  <c r="U2" i="1"/>
  <c r="U189" i="1"/>
  <c r="U241" i="1"/>
  <c r="U160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13" i="1"/>
  <c r="U257" i="1"/>
  <c r="U258" i="1"/>
  <c r="U259" i="1"/>
  <c r="U260" i="1"/>
  <c r="U261" i="1"/>
  <c r="U262" i="1"/>
  <c r="U263" i="1"/>
  <c r="U264" i="1"/>
  <c r="U265" i="1"/>
  <c r="U34" i="1"/>
  <c r="U267" i="1"/>
  <c r="U268" i="1"/>
  <c r="U269" i="1"/>
  <c r="U270" i="1"/>
  <c r="U271" i="1"/>
  <c r="U272" i="1"/>
  <c r="U273" i="1"/>
  <c r="U274" i="1"/>
  <c r="U275" i="1"/>
  <c r="U276" i="1"/>
  <c r="U277" i="1"/>
  <c r="U171" i="1"/>
  <c r="U279" i="1"/>
  <c r="U280" i="1"/>
  <c r="U281" i="1"/>
  <c r="U126" i="1"/>
  <c r="U283" i="1"/>
  <c r="U284" i="1"/>
  <c r="U285" i="1"/>
  <c r="U286" i="1"/>
  <c r="U287" i="1"/>
  <c r="U288" i="1"/>
  <c r="U289" i="1"/>
  <c r="U290" i="1"/>
  <c r="U291" i="1"/>
  <c r="U354" i="1"/>
  <c r="U293" i="1"/>
  <c r="U180" i="1"/>
  <c r="U295" i="1"/>
  <c r="U296" i="1"/>
  <c r="U297" i="1"/>
  <c r="U298" i="1"/>
  <c r="U167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67" i="1"/>
  <c r="U349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211" i="1"/>
  <c r="U339" i="1"/>
  <c r="U340" i="1"/>
  <c r="U341" i="1"/>
  <c r="U342" i="1"/>
  <c r="U343" i="1"/>
  <c r="U346" i="1"/>
  <c r="U345" i="1"/>
  <c r="U282" i="1"/>
  <c r="U347" i="1"/>
  <c r="U348" i="1"/>
  <c r="U239" i="1"/>
  <c r="U350" i="1"/>
  <c r="U351" i="1"/>
  <c r="U352" i="1"/>
  <c r="U353" i="1"/>
  <c r="U137" i="1"/>
  <c r="U355" i="1"/>
  <c r="U356" i="1"/>
  <c r="U357" i="1"/>
  <c r="U358" i="1"/>
  <c r="U359" i="1"/>
  <c r="U360" i="1"/>
  <c r="U143" i="1"/>
  <c r="U362" i="1"/>
  <c r="U363" i="1"/>
  <c r="U364" i="1"/>
  <c r="U365" i="1"/>
  <c r="U366" i="1"/>
  <c r="U324" i="1"/>
  <c r="U368" i="1"/>
  <c r="U369" i="1"/>
  <c r="U370" i="1"/>
  <c r="U236" i="1"/>
  <c r="U23" i="1"/>
  <c r="Q3" i="1"/>
  <c r="Q4" i="1"/>
  <c r="Q136" i="1"/>
  <c r="Q6" i="1"/>
  <c r="Q120" i="1"/>
  <c r="Q8" i="1"/>
  <c r="Q9" i="1"/>
  <c r="Q10" i="1"/>
  <c r="Q11" i="1"/>
  <c r="Q12" i="1"/>
  <c r="Q13" i="1"/>
  <c r="Q14" i="1"/>
  <c r="Q15" i="1"/>
  <c r="Q16" i="1"/>
  <c r="Q17" i="1"/>
  <c r="Q108" i="1"/>
  <c r="Q19" i="1"/>
  <c r="Q20" i="1"/>
  <c r="Q21" i="1"/>
  <c r="Q104" i="1"/>
  <c r="Q141" i="1"/>
  <c r="Q24" i="1"/>
  <c r="Q25" i="1"/>
  <c r="Q26" i="1"/>
  <c r="Q185" i="1"/>
  <c r="Q28" i="1"/>
  <c r="Q29" i="1"/>
  <c r="Q30" i="1"/>
  <c r="Q31" i="1"/>
  <c r="Q32" i="1"/>
  <c r="Q33" i="1"/>
  <c r="Q78" i="1"/>
  <c r="Q35" i="1"/>
  <c r="Q36" i="1"/>
  <c r="Q37" i="1"/>
  <c r="Q38" i="1"/>
  <c r="Q168" i="1"/>
  <c r="Q40" i="1"/>
  <c r="Q41" i="1"/>
  <c r="Q42" i="1"/>
  <c r="Q43" i="1"/>
  <c r="Q44" i="1"/>
  <c r="Q45" i="1"/>
  <c r="Q46" i="1"/>
  <c r="Q135" i="1"/>
  <c r="Q48" i="1"/>
  <c r="Q49" i="1"/>
  <c r="Q50" i="1"/>
  <c r="Q51" i="1"/>
  <c r="Q52" i="1"/>
  <c r="Q53" i="1"/>
  <c r="Q54" i="1"/>
  <c r="Q55" i="1"/>
  <c r="Q56" i="1"/>
  <c r="Q19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18" i="1"/>
  <c r="Q74" i="1"/>
  <c r="Q75" i="1"/>
  <c r="Q76" i="1"/>
  <c r="Q77" i="1"/>
  <c r="Q175" i="1"/>
  <c r="Q278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361" i="1"/>
  <c r="Q95" i="1"/>
  <c r="Q96" i="1"/>
  <c r="Q97" i="1"/>
  <c r="Q98" i="1"/>
  <c r="Q99" i="1"/>
  <c r="Q100" i="1"/>
  <c r="Q101" i="1"/>
  <c r="Q102" i="1"/>
  <c r="Q207" i="1"/>
  <c r="Q57" i="1"/>
  <c r="Q105" i="1"/>
  <c r="Q106" i="1"/>
  <c r="Q107" i="1"/>
  <c r="Q94" i="1"/>
  <c r="Q109" i="1"/>
  <c r="Q110" i="1"/>
  <c r="Q111" i="1"/>
  <c r="Q112" i="1"/>
  <c r="Q240" i="1"/>
  <c r="Q114" i="1"/>
  <c r="Q115" i="1"/>
  <c r="Q116" i="1"/>
  <c r="Q117" i="1"/>
  <c r="Q118" i="1"/>
  <c r="Q119" i="1"/>
  <c r="Q209" i="1"/>
  <c r="Q121" i="1"/>
  <c r="Q122" i="1"/>
  <c r="Q123" i="1"/>
  <c r="Q124" i="1"/>
  <c r="Q125" i="1"/>
  <c r="Q22" i="1"/>
  <c r="Q127" i="1"/>
  <c r="Q128" i="1"/>
  <c r="Q129" i="1"/>
  <c r="Q130" i="1"/>
  <c r="Q131" i="1"/>
  <c r="Q132" i="1"/>
  <c r="Q133" i="1"/>
  <c r="Q5" i="1"/>
  <c r="Q221" i="1"/>
  <c r="Q134" i="1"/>
  <c r="Q7" i="1"/>
  <c r="Q138" i="1"/>
  <c r="Q139" i="1"/>
  <c r="Q140" i="1"/>
  <c r="Q266" i="1"/>
  <c r="Q142" i="1"/>
  <c r="Q216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233" i="1"/>
  <c r="Q294" i="1"/>
  <c r="Q162" i="1"/>
  <c r="Q163" i="1"/>
  <c r="Q164" i="1"/>
  <c r="Q165" i="1"/>
  <c r="Q166" i="1"/>
  <c r="Q27" i="1"/>
  <c r="Q215" i="1"/>
  <c r="Q169" i="1"/>
  <c r="Q170" i="1"/>
  <c r="Q73" i="1"/>
  <c r="Q172" i="1"/>
  <c r="Q173" i="1"/>
  <c r="Q113" i="1"/>
  <c r="Q299" i="1"/>
  <c r="Q338" i="1"/>
  <c r="Q177" i="1"/>
  <c r="Q178" i="1"/>
  <c r="Q179" i="1"/>
  <c r="Q47" i="1"/>
  <c r="Q181" i="1"/>
  <c r="Q182" i="1"/>
  <c r="Q183" i="1"/>
  <c r="Q184" i="1"/>
  <c r="Q242" i="1"/>
  <c r="Q186" i="1"/>
  <c r="Q187" i="1"/>
  <c r="Q188" i="1"/>
  <c r="Q325" i="1"/>
  <c r="Q190" i="1"/>
  <c r="Q191" i="1"/>
  <c r="Q192" i="1"/>
  <c r="Q193" i="1"/>
  <c r="Q194" i="1"/>
  <c r="Q195" i="1"/>
  <c r="Q196" i="1"/>
  <c r="Q79" i="1"/>
  <c r="Q198" i="1"/>
  <c r="Q199" i="1"/>
  <c r="Q200" i="1"/>
  <c r="Q201" i="1"/>
  <c r="Q202" i="1"/>
  <c r="Q203" i="1"/>
  <c r="Q204" i="1"/>
  <c r="Q161" i="1"/>
  <c r="Q206" i="1"/>
  <c r="Q39" i="1"/>
  <c r="Q208" i="1"/>
  <c r="Q176" i="1"/>
  <c r="Q210" i="1"/>
  <c r="Q344" i="1"/>
  <c r="Q212" i="1"/>
  <c r="Q174" i="1"/>
  <c r="Q214" i="1"/>
  <c r="Q256" i="1"/>
  <c r="Q222" i="1"/>
  <c r="Q217" i="1"/>
  <c r="Q218" i="1"/>
  <c r="Q219" i="1"/>
  <c r="Q220" i="1"/>
  <c r="Q205" i="1"/>
  <c r="Q103" i="1"/>
  <c r="Q223" i="1"/>
  <c r="Q224" i="1"/>
  <c r="Q225" i="1"/>
  <c r="Q226" i="1"/>
  <c r="Q227" i="1"/>
  <c r="Q228" i="1"/>
  <c r="Q229" i="1"/>
  <c r="Q230" i="1"/>
  <c r="Q231" i="1"/>
  <c r="Q232" i="1"/>
  <c r="Q292" i="1"/>
  <c r="Q234" i="1"/>
  <c r="Q235" i="1"/>
  <c r="Q371" i="1"/>
  <c r="Q237" i="1"/>
  <c r="Q238" i="1"/>
  <c r="Q2" i="1"/>
  <c r="Q189" i="1"/>
  <c r="Q241" i="1"/>
  <c r="Q160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13" i="1"/>
  <c r="Q257" i="1"/>
  <c r="Q258" i="1"/>
  <c r="Q259" i="1"/>
  <c r="Q260" i="1"/>
  <c r="Q261" i="1"/>
  <c r="Q262" i="1"/>
  <c r="Q263" i="1"/>
  <c r="Q264" i="1"/>
  <c r="Q265" i="1"/>
  <c r="Q34" i="1"/>
  <c r="Q267" i="1"/>
  <c r="Q268" i="1"/>
  <c r="Q269" i="1"/>
  <c r="Q270" i="1"/>
  <c r="Q271" i="1"/>
  <c r="Q272" i="1"/>
  <c r="Q273" i="1"/>
  <c r="Q274" i="1"/>
  <c r="Q275" i="1"/>
  <c r="Q276" i="1"/>
  <c r="Q277" i="1"/>
  <c r="Q171" i="1"/>
  <c r="Q279" i="1"/>
  <c r="Q280" i="1"/>
  <c r="Q281" i="1"/>
  <c r="Q126" i="1"/>
  <c r="Q283" i="1"/>
  <c r="Q284" i="1"/>
  <c r="Q285" i="1"/>
  <c r="Q286" i="1"/>
  <c r="Q287" i="1"/>
  <c r="Q288" i="1"/>
  <c r="Q289" i="1"/>
  <c r="Q290" i="1"/>
  <c r="Q291" i="1"/>
  <c r="Q354" i="1"/>
  <c r="Q293" i="1"/>
  <c r="Q180" i="1"/>
  <c r="Q295" i="1"/>
  <c r="Q296" i="1"/>
  <c r="Q297" i="1"/>
  <c r="Q298" i="1"/>
  <c r="Q167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67" i="1"/>
  <c r="Q349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211" i="1"/>
  <c r="Q339" i="1"/>
  <c r="Q340" i="1"/>
  <c r="Q341" i="1"/>
  <c r="Q342" i="1"/>
  <c r="Q343" i="1"/>
  <c r="Q346" i="1"/>
  <c r="Q345" i="1"/>
  <c r="Q282" i="1"/>
  <c r="Q347" i="1"/>
  <c r="Q348" i="1"/>
  <c r="Q239" i="1"/>
  <c r="Q350" i="1"/>
  <c r="Q351" i="1"/>
  <c r="Q352" i="1"/>
  <c r="Q353" i="1"/>
  <c r="Q137" i="1"/>
  <c r="Q355" i="1"/>
  <c r="Q356" i="1"/>
  <c r="Q357" i="1"/>
  <c r="Q358" i="1"/>
  <c r="Q359" i="1"/>
  <c r="Q360" i="1"/>
  <c r="Q143" i="1"/>
  <c r="Q362" i="1"/>
  <c r="Q363" i="1"/>
  <c r="Q364" i="1"/>
  <c r="Q365" i="1"/>
  <c r="Q366" i="1"/>
  <c r="Q324" i="1"/>
  <c r="Q368" i="1"/>
  <c r="Q369" i="1"/>
  <c r="Q370" i="1"/>
  <c r="Q236" i="1"/>
  <c r="Q23" i="1"/>
  <c r="O3" i="1"/>
  <c r="O4" i="1"/>
  <c r="O136" i="1"/>
  <c r="O6" i="1"/>
  <c r="O120" i="1"/>
  <c r="O8" i="1"/>
  <c r="O9" i="1"/>
  <c r="O10" i="1"/>
  <c r="O11" i="1"/>
  <c r="O12" i="1"/>
  <c r="O13" i="1"/>
  <c r="O14" i="1"/>
  <c r="O15" i="1"/>
  <c r="O16" i="1"/>
  <c r="O17" i="1"/>
  <c r="O108" i="1"/>
  <c r="O19" i="1"/>
  <c r="O20" i="1"/>
  <c r="O21" i="1"/>
  <c r="O104" i="1"/>
  <c r="O141" i="1"/>
  <c r="O24" i="1"/>
  <c r="O25" i="1"/>
  <c r="O26" i="1"/>
  <c r="O185" i="1"/>
  <c r="O28" i="1"/>
  <c r="O29" i="1"/>
  <c r="O30" i="1"/>
  <c r="O31" i="1"/>
  <c r="O32" i="1"/>
  <c r="O33" i="1"/>
  <c r="O78" i="1"/>
  <c r="O35" i="1"/>
  <c r="O36" i="1"/>
  <c r="O37" i="1"/>
  <c r="O38" i="1"/>
  <c r="O168" i="1"/>
  <c r="O40" i="1"/>
  <c r="O41" i="1"/>
  <c r="O42" i="1"/>
  <c r="O43" i="1"/>
  <c r="O44" i="1"/>
  <c r="O45" i="1"/>
  <c r="O46" i="1"/>
  <c r="O135" i="1"/>
  <c r="O48" i="1"/>
  <c r="O49" i="1"/>
  <c r="O50" i="1"/>
  <c r="O51" i="1"/>
  <c r="O52" i="1"/>
  <c r="O53" i="1"/>
  <c r="O54" i="1"/>
  <c r="O55" i="1"/>
  <c r="O56" i="1"/>
  <c r="O19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18" i="1"/>
  <c r="O74" i="1"/>
  <c r="O75" i="1"/>
  <c r="O76" i="1"/>
  <c r="O77" i="1"/>
  <c r="O175" i="1"/>
  <c r="O278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361" i="1"/>
  <c r="O95" i="1"/>
  <c r="O96" i="1"/>
  <c r="O97" i="1"/>
  <c r="O98" i="1"/>
  <c r="O99" i="1"/>
  <c r="O100" i="1"/>
  <c r="O101" i="1"/>
  <c r="O102" i="1"/>
  <c r="O207" i="1"/>
  <c r="O57" i="1"/>
  <c r="O105" i="1"/>
  <c r="O106" i="1"/>
  <c r="O107" i="1"/>
  <c r="O94" i="1"/>
  <c r="O109" i="1"/>
  <c r="O110" i="1"/>
  <c r="O111" i="1"/>
  <c r="O112" i="1"/>
  <c r="O240" i="1"/>
  <c r="O114" i="1"/>
  <c r="O115" i="1"/>
  <c r="O116" i="1"/>
  <c r="O117" i="1"/>
  <c r="O118" i="1"/>
  <c r="O119" i="1"/>
  <c r="O209" i="1"/>
  <c r="O121" i="1"/>
  <c r="O122" i="1"/>
  <c r="O123" i="1"/>
  <c r="O124" i="1"/>
  <c r="O125" i="1"/>
  <c r="O22" i="1"/>
  <c r="O127" i="1"/>
  <c r="O128" i="1"/>
  <c r="O129" i="1"/>
  <c r="O130" i="1"/>
  <c r="O131" i="1"/>
  <c r="O132" i="1"/>
  <c r="O133" i="1"/>
  <c r="O5" i="1"/>
  <c r="O221" i="1"/>
  <c r="O134" i="1"/>
  <c r="O7" i="1"/>
  <c r="O138" i="1"/>
  <c r="O139" i="1"/>
  <c r="O140" i="1"/>
  <c r="O266" i="1"/>
  <c r="O142" i="1"/>
  <c r="O216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233" i="1"/>
  <c r="O294" i="1"/>
  <c r="O162" i="1"/>
  <c r="O163" i="1"/>
  <c r="O164" i="1"/>
  <c r="O165" i="1"/>
  <c r="O166" i="1"/>
  <c r="O27" i="1"/>
  <c r="O215" i="1"/>
  <c r="O169" i="1"/>
  <c r="O170" i="1"/>
  <c r="O73" i="1"/>
  <c r="O172" i="1"/>
  <c r="O173" i="1"/>
  <c r="O113" i="1"/>
  <c r="O299" i="1"/>
  <c r="O338" i="1"/>
  <c r="O177" i="1"/>
  <c r="O178" i="1"/>
  <c r="O179" i="1"/>
  <c r="O47" i="1"/>
  <c r="O181" i="1"/>
  <c r="O182" i="1"/>
  <c r="O183" i="1"/>
  <c r="O184" i="1"/>
  <c r="O242" i="1"/>
  <c r="O186" i="1"/>
  <c r="O187" i="1"/>
  <c r="O188" i="1"/>
  <c r="O325" i="1"/>
  <c r="O190" i="1"/>
  <c r="O191" i="1"/>
  <c r="O192" i="1"/>
  <c r="O193" i="1"/>
  <c r="O194" i="1"/>
  <c r="O195" i="1"/>
  <c r="O196" i="1"/>
  <c r="O79" i="1"/>
  <c r="O198" i="1"/>
  <c r="O199" i="1"/>
  <c r="O200" i="1"/>
  <c r="O201" i="1"/>
  <c r="O202" i="1"/>
  <c r="O203" i="1"/>
  <c r="O204" i="1"/>
  <c r="O161" i="1"/>
  <c r="O206" i="1"/>
  <c r="O39" i="1"/>
  <c r="O208" i="1"/>
  <c r="O176" i="1"/>
  <c r="O210" i="1"/>
  <c r="O344" i="1"/>
  <c r="O212" i="1"/>
  <c r="O174" i="1"/>
  <c r="O214" i="1"/>
  <c r="O256" i="1"/>
  <c r="O222" i="1"/>
  <c r="O217" i="1"/>
  <c r="O218" i="1"/>
  <c r="O219" i="1"/>
  <c r="O220" i="1"/>
  <c r="O205" i="1"/>
  <c r="O103" i="1"/>
  <c r="O223" i="1"/>
  <c r="O224" i="1"/>
  <c r="O225" i="1"/>
  <c r="O226" i="1"/>
  <c r="O227" i="1"/>
  <c r="O228" i="1"/>
  <c r="O229" i="1"/>
  <c r="O230" i="1"/>
  <c r="O231" i="1"/>
  <c r="O232" i="1"/>
  <c r="O292" i="1"/>
  <c r="O234" i="1"/>
  <c r="O235" i="1"/>
  <c r="O371" i="1"/>
  <c r="O237" i="1"/>
  <c r="O238" i="1"/>
  <c r="O2" i="1"/>
  <c r="O189" i="1"/>
  <c r="O241" i="1"/>
  <c r="O160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13" i="1"/>
  <c r="O257" i="1"/>
  <c r="O258" i="1"/>
  <c r="O259" i="1"/>
  <c r="O260" i="1"/>
  <c r="O261" i="1"/>
  <c r="O262" i="1"/>
  <c r="O263" i="1"/>
  <c r="O264" i="1"/>
  <c r="O265" i="1"/>
  <c r="O34" i="1"/>
  <c r="O267" i="1"/>
  <c r="O268" i="1"/>
  <c r="O269" i="1"/>
  <c r="O270" i="1"/>
  <c r="O271" i="1"/>
  <c r="O272" i="1"/>
  <c r="O273" i="1"/>
  <c r="O274" i="1"/>
  <c r="O275" i="1"/>
  <c r="O276" i="1"/>
  <c r="O277" i="1"/>
  <c r="O171" i="1"/>
  <c r="O279" i="1"/>
  <c r="O280" i="1"/>
  <c r="O281" i="1"/>
  <c r="O126" i="1"/>
  <c r="O283" i="1"/>
  <c r="O284" i="1"/>
  <c r="O285" i="1"/>
  <c r="O286" i="1"/>
  <c r="O287" i="1"/>
  <c r="O288" i="1"/>
  <c r="O289" i="1"/>
  <c r="O290" i="1"/>
  <c r="O291" i="1"/>
  <c r="O354" i="1"/>
  <c r="O293" i="1"/>
  <c r="O180" i="1"/>
  <c r="O295" i="1"/>
  <c r="O296" i="1"/>
  <c r="O297" i="1"/>
  <c r="O298" i="1"/>
  <c r="O167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67" i="1"/>
  <c r="O349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211" i="1"/>
  <c r="O339" i="1"/>
  <c r="O340" i="1"/>
  <c r="O341" i="1"/>
  <c r="O342" i="1"/>
  <c r="O343" i="1"/>
  <c r="O346" i="1"/>
  <c r="O345" i="1"/>
  <c r="O282" i="1"/>
  <c r="O347" i="1"/>
  <c r="O348" i="1"/>
  <c r="O239" i="1"/>
  <c r="O350" i="1"/>
  <c r="O351" i="1"/>
  <c r="O352" i="1"/>
  <c r="O353" i="1"/>
  <c r="O137" i="1"/>
  <c r="O355" i="1"/>
  <c r="O356" i="1"/>
  <c r="O357" i="1"/>
  <c r="O358" i="1"/>
  <c r="O359" i="1"/>
  <c r="O360" i="1"/>
  <c r="O143" i="1"/>
  <c r="O362" i="1"/>
  <c r="O363" i="1"/>
  <c r="O364" i="1"/>
  <c r="O365" i="1"/>
  <c r="O366" i="1"/>
  <c r="O324" i="1"/>
  <c r="O368" i="1"/>
  <c r="O369" i="1"/>
  <c r="O370" i="1"/>
  <c r="O236" i="1"/>
  <c r="O23" i="1"/>
  <c r="L23" i="1"/>
  <c r="L3" i="1"/>
  <c r="L4" i="1"/>
  <c r="L136" i="1"/>
  <c r="L6" i="1"/>
  <c r="L120" i="1"/>
  <c r="L8" i="1"/>
  <c r="L9" i="1"/>
  <c r="L10" i="1"/>
  <c r="L11" i="1"/>
  <c r="L12" i="1"/>
  <c r="L13" i="1"/>
  <c r="L14" i="1"/>
  <c r="L15" i="1"/>
  <c r="L16" i="1"/>
  <c r="L17" i="1"/>
  <c r="L108" i="1"/>
  <c r="L19" i="1"/>
  <c r="L20" i="1"/>
  <c r="L21" i="1"/>
  <c r="L104" i="1"/>
  <c r="L141" i="1"/>
  <c r="L24" i="1"/>
  <c r="L25" i="1"/>
  <c r="L26" i="1"/>
  <c r="L185" i="1"/>
  <c r="L28" i="1"/>
  <c r="L29" i="1"/>
  <c r="L30" i="1"/>
  <c r="L31" i="1"/>
  <c r="L32" i="1"/>
  <c r="L33" i="1"/>
  <c r="L78" i="1"/>
  <c r="L35" i="1"/>
  <c r="L36" i="1"/>
  <c r="L37" i="1"/>
  <c r="L38" i="1"/>
  <c r="L168" i="1"/>
  <c r="L40" i="1"/>
  <c r="L41" i="1"/>
  <c r="L42" i="1"/>
  <c r="L43" i="1"/>
  <c r="L44" i="1"/>
  <c r="L45" i="1"/>
  <c r="L46" i="1"/>
  <c r="L135" i="1"/>
  <c r="L48" i="1"/>
  <c r="L49" i="1"/>
  <c r="L50" i="1"/>
  <c r="L51" i="1"/>
  <c r="L52" i="1"/>
  <c r="L53" i="1"/>
  <c r="L54" i="1"/>
  <c r="L55" i="1"/>
  <c r="L56" i="1"/>
  <c r="L19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18" i="1"/>
  <c r="L74" i="1"/>
  <c r="L75" i="1"/>
  <c r="L76" i="1"/>
  <c r="L77" i="1"/>
  <c r="L175" i="1"/>
  <c r="L278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361" i="1"/>
  <c r="L95" i="1"/>
  <c r="L96" i="1"/>
  <c r="L97" i="1"/>
  <c r="L98" i="1"/>
  <c r="L99" i="1"/>
  <c r="L100" i="1"/>
  <c r="L101" i="1"/>
  <c r="L102" i="1"/>
  <c r="L207" i="1"/>
  <c r="L57" i="1"/>
  <c r="L105" i="1"/>
  <c r="L106" i="1"/>
  <c r="L107" i="1"/>
  <c r="L94" i="1"/>
  <c r="L109" i="1"/>
  <c r="L110" i="1"/>
  <c r="L111" i="1"/>
  <c r="L112" i="1"/>
  <c r="L240" i="1"/>
  <c r="L114" i="1"/>
  <c r="L115" i="1"/>
  <c r="L116" i="1"/>
  <c r="L117" i="1"/>
  <c r="L118" i="1"/>
  <c r="L119" i="1"/>
  <c r="L209" i="1"/>
  <c r="L121" i="1"/>
  <c r="L122" i="1"/>
  <c r="L123" i="1"/>
  <c r="L124" i="1"/>
  <c r="L125" i="1"/>
  <c r="L22" i="1"/>
  <c r="L127" i="1"/>
  <c r="L128" i="1"/>
  <c r="L129" i="1"/>
  <c r="L130" i="1"/>
  <c r="L131" i="1"/>
  <c r="L132" i="1"/>
  <c r="L133" i="1"/>
  <c r="L5" i="1"/>
  <c r="L221" i="1"/>
  <c r="L134" i="1"/>
  <c r="L7" i="1"/>
  <c r="L138" i="1"/>
  <c r="L139" i="1"/>
  <c r="L140" i="1"/>
  <c r="L266" i="1"/>
  <c r="L142" i="1"/>
  <c r="L216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233" i="1"/>
  <c r="L294" i="1"/>
  <c r="L162" i="1"/>
  <c r="L163" i="1"/>
  <c r="L164" i="1"/>
  <c r="L165" i="1"/>
  <c r="L166" i="1"/>
  <c r="L27" i="1"/>
  <c r="L215" i="1"/>
  <c r="L169" i="1"/>
  <c r="L170" i="1"/>
  <c r="L73" i="1"/>
  <c r="L172" i="1"/>
  <c r="L173" i="1"/>
  <c r="L113" i="1"/>
  <c r="L299" i="1"/>
  <c r="L338" i="1"/>
  <c r="L177" i="1"/>
  <c r="L178" i="1"/>
  <c r="L179" i="1"/>
  <c r="L47" i="1"/>
  <c r="L181" i="1"/>
  <c r="L182" i="1"/>
  <c r="L183" i="1"/>
  <c r="L184" i="1"/>
  <c r="L242" i="1"/>
  <c r="L186" i="1"/>
  <c r="L187" i="1"/>
  <c r="L188" i="1"/>
  <c r="L325" i="1"/>
  <c r="L190" i="1"/>
  <c r="L191" i="1"/>
  <c r="L192" i="1"/>
  <c r="L193" i="1"/>
  <c r="L194" i="1"/>
  <c r="L195" i="1"/>
  <c r="L196" i="1"/>
  <c r="L79" i="1"/>
  <c r="L198" i="1"/>
  <c r="L199" i="1"/>
  <c r="L200" i="1"/>
  <c r="L201" i="1"/>
  <c r="L202" i="1"/>
  <c r="L203" i="1"/>
  <c r="L204" i="1"/>
  <c r="L161" i="1"/>
  <c r="L206" i="1"/>
  <c r="L39" i="1"/>
  <c r="L208" i="1"/>
  <c r="L176" i="1"/>
  <c r="L210" i="1"/>
  <c r="L344" i="1"/>
  <c r="L212" i="1"/>
  <c r="L174" i="1"/>
  <c r="L214" i="1"/>
  <c r="L256" i="1"/>
  <c r="L222" i="1"/>
  <c r="L217" i="1"/>
  <c r="L218" i="1"/>
  <c r="L219" i="1"/>
  <c r="L220" i="1"/>
  <c r="L205" i="1"/>
  <c r="L103" i="1"/>
  <c r="L223" i="1"/>
  <c r="L224" i="1"/>
  <c r="L225" i="1"/>
  <c r="L226" i="1"/>
  <c r="L227" i="1"/>
  <c r="L228" i="1"/>
  <c r="L229" i="1"/>
  <c r="L230" i="1"/>
  <c r="L231" i="1"/>
  <c r="L232" i="1"/>
  <c r="L292" i="1"/>
  <c r="L234" i="1"/>
  <c r="L235" i="1"/>
  <c r="L371" i="1"/>
  <c r="L237" i="1"/>
  <c r="L238" i="1"/>
  <c r="L2" i="1"/>
  <c r="L189" i="1"/>
  <c r="L241" i="1"/>
  <c r="L160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13" i="1"/>
  <c r="L257" i="1"/>
  <c r="L258" i="1"/>
  <c r="L259" i="1"/>
  <c r="L260" i="1"/>
  <c r="L261" i="1"/>
  <c r="L262" i="1"/>
  <c r="L263" i="1"/>
  <c r="L264" i="1"/>
  <c r="L265" i="1"/>
  <c r="L34" i="1"/>
  <c r="L267" i="1"/>
  <c r="L268" i="1"/>
  <c r="L269" i="1"/>
  <c r="L270" i="1"/>
  <c r="L271" i="1"/>
  <c r="L272" i="1"/>
  <c r="L273" i="1"/>
  <c r="L274" i="1"/>
  <c r="L275" i="1"/>
  <c r="L276" i="1"/>
  <c r="L277" i="1"/>
  <c r="L171" i="1"/>
  <c r="L279" i="1"/>
  <c r="L280" i="1"/>
  <c r="L281" i="1"/>
  <c r="L126" i="1"/>
  <c r="L283" i="1"/>
  <c r="L284" i="1"/>
  <c r="L285" i="1"/>
  <c r="L286" i="1"/>
  <c r="L287" i="1"/>
  <c r="L288" i="1"/>
  <c r="L289" i="1"/>
  <c r="L290" i="1"/>
  <c r="L291" i="1"/>
  <c r="L354" i="1"/>
  <c r="L293" i="1"/>
  <c r="L180" i="1"/>
  <c r="L295" i="1"/>
  <c r="L296" i="1"/>
  <c r="L297" i="1"/>
  <c r="L298" i="1"/>
  <c r="L167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67" i="1"/>
  <c r="L349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211" i="1"/>
  <c r="L339" i="1"/>
  <c r="L340" i="1"/>
  <c r="L341" i="1"/>
  <c r="L342" i="1"/>
  <c r="L343" i="1"/>
  <c r="L346" i="1"/>
  <c r="L345" i="1"/>
  <c r="L282" i="1"/>
  <c r="L347" i="1"/>
  <c r="L348" i="1"/>
  <c r="L239" i="1"/>
  <c r="L350" i="1"/>
  <c r="L351" i="1"/>
  <c r="L352" i="1"/>
  <c r="L353" i="1"/>
  <c r="L137" i="1"/>
  <c r="L355" i="1"/>
  <c r="L356" i="1"/>
  <c r="L357" i="1"/>
  <c r="L358" i="1"/>
  <c r="L359" i="1"/>
  <c r="L360" i="1"/>
  <c r="L143" i="1"/>
  <c r="L362" i="1"/>
  <c r="L363" i="1"/>
  <c r="L364" i="1"/>
  <c r="L365" i="1"/>
  <c r="L366" i="1"/>
  <c r="L324" i="1"/>
  <c r="L368" i="1"/>
  <c r="L369" i="1"/>
  <c r="L370" i="1"/>
  <c r="L236" i="1"/>
  <c r="DO3" i="1"/>
  <c r="BP3" i="1" s="1"/>
  <c r="DO4" i="1"/>
  <c r="BP4" i="1" s="1"/>
  <c r="DO136" i="1"/>
  <c r="BP136" i="1" s="1"/>
  <c r="DO6" i="1"/>
  <c r="BP6" i="1" s="1"/>
  <c r="DO120" i="1"/>
  <c r="BP120" i="1" s="1"/>
  <c r="DO8" i="1"/>
  <c r="BP8" i="1" s="1"/>
  <c r="DO9" i="1"/>
  <c r="BP9" i="1" s="1"/>
  <c r="DO10" i="1"/>
  <c r="BP10" i="1" s="1"/>
  <c r="DO11" i="1"/>
  <c r="BP11" i="1" s="1"/>
  <c r="DO12" i="1"/>
  <c r="BP12" i="1" s="1"/>
  <c r="DO13" i="1"/>
  <c r="BP13" i="1" s="1"/>
  <c r="DO14" i="1"/>
  <c r="BP14" i="1" s="1"/>
  <c r="DO15" i="1"/>
  <c r="BP15" i="1" s="1"/>
  <c r="DO16" i="1"/>
  <c r="BP16" i="1" s="1"/>
  <c r="DO17" i="1"/>
  <c r="BP17" i="1" s="1"/>
  <c r="DO108" i="1"/>
  <c r="BP108" i="1" s="1"/>
  <c r="DO19" i="1"/>
  <c r="BP19" i="1" s="1"/>
  <c r="DO20" i="1"/>
  <c r="BP20" i="1" s="1"/>
  <c r="DO21" i="1"/>
  <c r="BP21" i="1" s="1"/>
  <c r="DO104" i="1"/>
  <c r="BP104" i="1" s="1"/>
  <c r="DO141" i="1"/>
  <c r="BP141" i="1" s="1"/>
  <c r="DO24" i="1"/>
  <c r="BP24" i="1" s="1"/>
  <c r="DO25" i="1"/>
  <c r="BP25" i="1" s="1"/>
  <c r="DO26" i="1"/>
  <c r="BP26" i="1" s="1"/>
  <c r="DO185" i="1"/>
  <c r="BP185" i="1" s="1"/>
  <c r="DO28" i="1"/>
  <c r="BP28" i="1" s="1"/>
  <c r="DO29" i="1"/>
  <c r="BP29" i="1" s="1"/>
  <c r="DO30" i="1"/>
  <c r="BP30" i="1" s="1"/>
  <c r="DO31" i="1"/>
  <c r="BP31" i="1" s="1"/>
  <c r="DO32" i="1"/>
  <c r="BP32" i="1" s="1"/>
  <c r="DO33" i="1"/>
  <c r="BP33" i="1" s="1"/>
  <c r="DO78" i="1"/>
  <c r="BP78" i="1" s="1"/>
  <c r="DO35" i="1"/>
  <c r="BP35" i="1" s="1"/>
  <c r="DO36" i="1"/>
  <c r="BP36" i="1" s="1"/>
  <c r="DO37" i="1"/>
  <c r="BP37" i="1" s="1"/>
  <c r="DO38" i="1"/>
  <c r="BP38" i="1" s="1"/>
  <c r="DO168" i="1"/>
  <c r="BP168" i="1" s="1"/>
  <c r="DO40" i="1"/>
  <c r="BP40" i="1" s="1"/>
  <c r="DO41" i="1"/>
  <c r="BP41" i="1" s="1"/>
  <c r="DO42" i="1"/>
  <c r="BP42" i="1" s="1"/>
  <c r="DO43" i="1"/>
  <c r="BP43" i="1" s="1"/>
  <c r="DO44" i="1"/>
  <c r="BP44" i="1" s="1"/>
  <c r="DO45" i="1"/>
  <c r="BP45" i="1" s="1"/>
  <c r="DO46" i="1"/>
  <c r="BP46" i="1" s="1"/>
  <c r="DO135" i="1"/>
  <c r="BP135" i="1" s="1"/>
  <c r="DO48" i="1"/>
  <c r="BP48" i="1" s="1"/>
  <c r="DO49" i="1"/>
  <c r="BP49" i="1" s="1"/>
  <c r="DO50" i="1"/>
  <c r="BP50" i="1" s="1"/>
  <c r="DO51" i="1"/>
  <c r="BP51" i="1" s="1"/>
  <c r="DO52" i="1"/>
  <c r="BP52" i="1" s="1"/>
  <c r="DO53" i="1"/>
  <c r="BP53" i="1" s="1"/>
  <c r="DO54" i="1"/>
  <c r="BP54" i="1" s="1"/>
  <c r="DO55" i="1"/>
  <c r="BP55" i="1" s="1"/>
  <c r="DO56" i="1"/>
  <c r="BP56" i="1" s="1"/>
  <c r="DO197" i="1"/>
  <c r="BP197" i="1" s="1"/>
  <c r="DO58" i="1"/>
  <c r="BP58" i="1" s="1"/>
  <c r="DO59" i="1"/>
  <c r="BP59" i="1" s="1"/>
  <c r="DO60" i="1"/>
  <c r="BP60" i="1" s="1"/>
  <c r="DO61" i="1"/>
  <c r="BP61" i="1" s="1"/>
  <c r="DO62" i="1"/>
  <c r="BP62" i="1" s="1"/>
  <c r="DO63" i="1"/>
  <c r="BP63" i="1" s="1"/>
  <c r="DO64" i="1"/>
  <c r="BP64" i="1" s="1"/>
  <c r="DO65" i="1"/>
  <c r="BP65" i="1" s="1"/>
  <c r="DO66" i="1"/>
  <c r="BP66" i="1" s="1"/>
  <c r="DO67" i="1"/>
  <c r="BP67" i="1" s="1"/>
  <c r="DO68" i="1"/>
  <c r="BP68" i="1" s="1"/>
  <c r="DO69" i="1"/>
  <c r="BP69" i="1" s="1"/>
  <c r="DO70" i="1"/>
  <c r="BP70" i="1" s="1"/>
  <c r="DO71" i="1"/>
  <c r="BP71" i="1" s="1"/>
  <c r="DO72" i="1"/>
  <c r="BP72" i="1" s="1"/>
  <c r="DO18" i="1"/>
  <c r="BP18" i="1" s="1"/>
  <c r="DO74" i="1"/>
  <c r="BP74" i="1" s="1"/>
  <c r="DO75" i="1"/>
  <c r="BP75" i="1" s="1"/>
  <c r="DO76" i="1"/>
  <c r="BP76" i="1" s="1"/>
  <c r="DO77" i="1"/>
  <c r="BP77" i="1" s="1"/>
  <c r="DO175" i="1"/>
  <c r="BP175" i="1" s="1"/>
  <c r="DO278" i="1"/>
  <c r="BP278" i="1" s="1"/>
  <c r="DO80" i="1"/>
  <c r="BP80" i="1" s="1"/>
  <c r="DO81" i="1"/>
  <c r="BP81" i="1" s="1"/>
  <c r="DO82" i="1"/>
  <c r="BP82" i="1" s="1"/>
  <c r="DO83" i="1"/>
  <c r="BP83" i="1" s="1"/>
  <c r="DO84" i="1"/>
  <c r="BP84" i="1" s="1"/>
  <c r="DO85" i="1"/>
  <c r="BP85" i="1" s="1"/>
  <c r="DO86" i="1"/>
  <c r="BP86" i="1" s="1"/>
  <c r="DO87" i="1"/>
  <c r="BP87" i="1" s="1"/>
  <c r="DO88" i="1"/>
  <c r="BP88" i="1" s="1"/>
  <c r="DO89" i="1"/>
  <c r="BP89" i="1" s="1"/>
  <c r="DO90" i="1"/>
  <c r="BP90" i="1" s="1"/>
  <c r="DO91" i="1"/>
  <c r="BP91" i="1" s="1"/>
  <c r="DO92" i="1"/>
  <c r="BP92" i="1" s="1"/>
  <c r="DO93" i="1"/>
  <c r="BP93" i="1" s="1"/>
  <c r="DO361" i="1"/>
  <c r="BP361" i="1" s="1"/>
  <c r="DO95" i="1"/>
  <c r="BP95" i="1" s="1"/>
  <c r="DO96" i="1"/>
  <c r="BP96" i="1" s="1"/>
  <c r="DO97" i="1"/>
  <c r="BP97" i="1" s="1"/>
  <c r="DO98" i="1"/>
  <c r="BP98" i="1" s="1"/>
  <c r="DO99" i="1"/>
  <c r="BP99" i="1" s="1"/>
  <c r="DO100" i="1"/>
  <c r="BP100" i="1" s="1"/>
  <c r="DO101" i="1"/>
  <c r="BP101" i="1" s="1"/>
  <c r="DO102" i="1"/>
  <c r="BP102" i="1" s="1"/>
  <c r="DO207" i="1"/>
  <c r="BP207" i="1" s="1"/>
  <c r="DO57" i="1"/>
  <c r="BP57" i="1" s="1"/>
  <c r="DO105" i="1"/>
  <c r="BP105" i="1" s="1"/>
  <c r="DO106" i="1"/>
  <c r="BP106" i="1" s="1"/>
  <c r="DO107" i="1"/>
  <c r="BP107" i="1" s="1"/>
  <c r="DO94" i="1"/>
  <c r="BP94" i="1" s="1"/>
  <c r="DO109" i="1"/>
  <c r="BP109" i="1" s="1"/>
  <c r="DO110" i="1"/>
  <c r="BP110" i="1" s="1"/>
  <c r="DO111" i="1"/>
  <c r="BP111" i="1" s="1"/>
  <c r="DO112" i="1"/>
  <c r="BP112" i="1" s="1"/>
  <c r="DO240" i="1"/>
  <c r="BP240" i="1" s="1"/>
  <c r="DO114" i="1"/>
  <c r="BP114" i="1" s="1"/>
  <c r="DO115" i="1"/>
  <c r="BP115" i="1" s="1"/>
  <c r="DO116" i="1"/>
  <c r="BP116" i="1" s="1"/>
  <c r="DO117" i="1"/>
  <c r="BP117" i="1" s="1"/>
  <c r="DO118" i="1"/>
  <c r="BP118" i="1" s="1"/>
  <c r="DO119" i="1"/>
  <c r="BP119" i="1" s="1"/>
  <c r="DO209" i="1"/>
  <c r="BP209" i="1" s="1"/>
  <c r="DO121" i="1"/>
  <c r="BP121" i="1" s="1"/>
  <c r="DO122" i="1"/>
  <c r="BP122" i="1" s="1"/>
  <c r="DO123" i="1"/>
  <c r="BP123" i="1" s="1"/>
  <c r="DO124" i="1"/>
  <c r="BP124" i="1" s="1"/>
  <c r="DO125" i="1"/>
  <c r="BP125" i="1" s="1"/>
  <c r="DO22" i="1"/>
  <c r="BP22" i="1" s="1"/>
  <c r="DO127" i="1"/>
  <c r="BP127" i="1" s="1"/>
  <c r="DO128" i="1"/>
  <c r="BP128" i="1" s="1"/>
  <c r="DO129" i="1"/>
  <c r="BP129" i="1" s="1"/>
  <c r="DO130" i="1"/>
  <c r="BP130" i="1" s="1"/>
  <c r="DO131" i="1"/>
  <c r="BP131" i="1" s="1"/>
  <c r="DO132" i="1"/>
  <c r="BP132" i="1" s="1"/>
  <c r="DO133" i="1"/>
  <c r="BP133" i="1" s="1"/>
  <c r="DO5" i="1"/>
  <c r="BP5" i="1" s="1"/>
  <c r="DO221" i="1"/>
  <c r="BP221" i="1" s="1"/>
  <c r="DO134" i="1"/>
  <c r="BP134" i="1" s="1"/>
  <c r="DO7" i="1"/>
  <c r="BP7" i="1" s="1"/>
  <c r="DO138" i="1"/>
  <c r="BP138" i="1" s="1"/>
  <c r="DO139" i="1"/>
  <c r="BP139" i="1" s="1"/>
  <c r="DO140" i="1"/>
  <c r="BP140" i="1" s="1"/>
  <c r="DO266" i="1"/>
  <c r="BP266" i="1" s="1"/>
  <c r="DO142" i="1"/>
  <c r="BP142" i="1" s="1"/>
  <c r="DO216" i="1"/>
  <c r="BP216" i="1" s="1"/>
  <c r="DO144" i="1"/>
  <c r="BP144" i="1" s="1"/>
  <c r="DO145" i="1"/>
  <c r="BP145" i="1" s="1"/>
  <c r="DO146" i="1"/>
  <c r="BP146" i="1" s="1"/>
  <c r="DO147" i="1"/>
  <c r="BP147" i="1" s="1"/>
  <c r="DO148" i="1"/>
  <c r="BP148" i="1" s="1"/>
  <c r="DO149" i="1"/>
  <c r="BP149" i="1" s="1"/>
  <c r="DO150" i="1"/>
  <c r="BP150" i="1" s="1"/>
  <c r="DO151" i="1"/>
  <c r="BP151" i="1" s="1"/>
  <c r="DO152" i="1"/>
  <c r="BP152" i="1" s="1"/>
  <c r="DO153" i="1"/>
  <c r="BP153" i="1" s="1"/>
  <c r="DO154" i="1"/>
  <c r="BP154" i="1" s="1"/>
  <c r="DO155" i="1"/>
  <c r="BP155" i="1" s="1"/>
  <c r="DO156" i="1"/>
  <c r="BP156" i="1" s="1"/>
  <c r="DO157" i="1"/>
  <c r="BP157" i="1" s="1"/>
  <c r="DO158" i="1"/>
  <c r="BP158" i="1" s="1"/>
  <c r="DO159" i="1"/>
  <c r="BP159" i="1" s="1"/>
  <c r="DO233" i="1"/>
  <c r="BP233" i="1" s="1"/>
  <c r="DO294" i="1"/>
  <c r="BP294" i="1" s="1"/>
  <c r="DO162" i="1"/>
  <c r="BP162" i="1" s="1"/>
  <c r="DO163" i="1"/>
  <c r="BP163" i="1" s="1"/>
  <c r="DO164" i="1"/>
  <c r="BP164" i="1" s="1"/>
  <c r="DO165" i="1"/>
  <c r="BP165" i="1" s="1"/>
  <c r="DO166" i="1"/>
  <c r="BP166" i="1" s="1"/>
  <c r="DO27" i="1"/>
  <c r="BP27" i="1" s="1"/>
  <c r="DO215" i="1"/>
  <c r="BP215" i="1" s="1"/>
  <c r="DO169" i="1"/>
  <c r="BP169" i="1" s="1"/>
  <c r="DO170" i="1"/>
  <c r="BP170" i="1" s="1"/>
  <c r="DO73" i="1"/>
  <c r="BP73" i="1" s="1"/>
  <c r="DO172" i="1"/>
  <c r="BP172" i="1" s="1"/>
  <c r="DO173" i="1"/>
  <c r="BP173" i="1" s="1"/>
  <c r="DO113" i="1"/>
  <c r="BP113" i="1" s="1"/>
  <c r="DO299" i="1"/>
  <c r="BP299" i="1" s="1"/>
  <c r="DO338" i="1"/>
  <c r="BP338" i="1" s="1"/>
  <c r="DO177" i="1"/>
  <c r="BP177" i="1" s="1"/>
  <c r="DO178" i="1"/>
  <c r="BP178" i="1" s="1"/>
  <c r="DO179" i="1"/>
  <c r="BP179" i="1" s="1"/>
  <c r="DO47" i="1"/>
  <c r="BP47" i="1" s="1"/>
  <c r="DO181" i="1"/>
  <c r="BP181" i="1" s="1"/>
  <c r="DO182" i="1"/>
  <c r="BP182" i="1" s="1"/>
  <c r="DO183" i="1"/>
  <c r="BP183" i="1" s="1"/>
  <c r="DO184" i="1"/>
  <c r="BP184" i="1" s="1"/>
  <c r="DO242" i="1"/>
  <c r="BP242" i="1" s="1"/>
  <c r="DO186" i="1"/>
  <c r="BP186" i="1" s="1"/>
  <c r="DO187" i="1"/>
  <c r="BP187" i="1" s="1"/>
  <c r="DO188" i="1"/>
  <c r="BP188" i="1" s="1"/>
  <c r="DO325" i="1"/>
  <c r="BP325" i="1" s="1"/>
  <c r="DO190" i="1"/>
  <c r="BP190" i="1" s="1"/>
  <c r="DO191" i="1"/>
  <c r="BP191" i="1" s="1"/>
  <c r="DO192" i="1"/>
  <c r="BP192" i="1" s="1"/>
  <c r="DO193" i="1"/>
  <c r="BP193" i="1" s="1"/>
  <c r="DO194" i="1"/>
  <c r="BP194" i="1" s="1"/>
  <c r="DO195" i="1"/>
  <c r="BP195" i="1" s="1"/>
  <c r="DO196" i="1"/>
  <c r="BP196" i="1" s="1"/>
  <c r="DO79" i="1"/>
  <c r="BP79" i="1" s="1"/>
  <c r="DO198" i="1"/>
  <c r="BP198" i="1" s="1"/>
  <c r="DO199" i="1"/>
  <c r="BP199" i="1" s="1"/>
  <c r="DO200" i="1"/>
  <c r="BP200" i="1" s="1"/>
  <c r="DO201" i="1"/>
  <c r="BP201" i="1" s="1"/>
  <c r="DO202" i="1"/>
  <c r="BP202" i="1" s="1"/>
  <c r="DO203" i="1"/>
  <c r="BP203" i="1" s="1"/>
  <c r="DO204" i="1"/>
  <c r="BP204" i="1" s="1"/>
  <c r="DO161" i="1"/>
  <c r="BP161" i="1" s="1"/>
  <c r="DO206" i="1"/>
  <c r="BP206" i="1" s="1"/>
  <c r="DO39" i="1"/>
  <c r="BP39" i="1" s="1"/>
  <c r="DO208" i="1"/>
  <c r="BP208" i="1" s="1"/>
  <c r="DO176" i="1"/>
  <c r="BP176" i="1" s="1"/>
  <c r="DO210" i="1"/>
  <c r="BP210" i="1" s="1"/>
  <c r="DO344" i="1"/>
  <c r="BP344" i="1" s="1"/>
  <c r="DO212" i="1"/>
  <c r="BP212" i="1" s="1"/>
  <c r="DO174" i="1"/>
  <c r="BP174" i="1" s="1"/>
  <c r="DO214" i="1"/>
  <c r="BP214" i="1" s="1"/>
  <c r="DO256" i="1"/>
  <c r="BP256" i="1" s="1"/>
  <c r="DO222" i="1"/>
  <c r="BP222" i="1" s="1"/>
  <c r="DO217" i="1"/>
  <c r="BP217" i="1" s="1"/>
  <c r="DO218" i="1"/>
  <c r="BP218" i="1" s="1"/>
  <c r="DO219" i="1"/>
  <c r="BP219" i="1" s="1"/>
  <c r="DO220" i="1"/>
  <c r="BP220" i="1" s="1"/>
  <c r="DO205" i="1"/>
  <c r="BP205" i="1" s="1"/>
  <c r="DO103" i="1"/>
  <c r="BP103" i="1" s="1"/>
  <c r="DO223" i="1"/>
  <c r="BP223" i="1" s="1"/>
  <c r="DO224" i="1"/>
  <c r="BP224" i="1" s="1"/>
  <c r="DO225" i="1"/>
  <c r="BP225" i="1" s="1"/>
  <c r="DO226" i="1"/>
  <c r="BP226" i="1" s="1"/>
  <c r="DO227" i="1"/>
  <c r="BP227" i="1" s="1"/>
  <c r="DO228" i="1"/>
  <c r="BP228" i="1" s="1"/>
  <c r="DO229" i="1"/>
  <c r="BP229" i="1" s="1"/>
  <c r="DO230" i="1"/>
  <c r="BP230" i="1" s="1"/>
  <c r="DO231" i="1"/>
  <c r="BP231" i="1" s="1"/>
  <c r="DO232" i="1"/>
  <c r="BP232" i="1" s="1"/>
  <c r="DO292" i="1"/>
  <c r="BP292" i="1" s="1"/>
  <c r="DO234" i="1"/>
  <c r="BP234" i="1" s="1"/>
  <c r="DO235" i="1"/>
  <c r="BP235" i="1" s="1"/>
  <c r="DO371" i="1"/>
  <c r="BP371" i="1" s="1"/>
  <c r="DO237" i="1"/>
  <c r="BP237" i="1" s="1"/>
  <c r="DO238" i="1"/>
  <c r="BP238" i="1" s="1"/>
  <c r="DO2" i="1"/>
  <c r="BP2" i="1" s="1"/>
  <c r="DO189" i="1"/>
  <c r="BP189" i="1" s="1"/>
  <c r="DO241" i="1"/>
  <c r="BP241" i="1" s="1"/>
  <c r="DO160" i="1"/>
  <c r="BP160" i="1" s="1"/>
  <c r="DO243" i="1"/>
  <c r="BP243" i="1" s="1"/>
  <c r="DO244" i="1"/>
  <c r="BP244" i="1" s="1"/>
  <c r="DO245" i="1"/>
  <c r="BP245" i="1" s="1"/>
  <c r="DO246" i="1"/>
  <c r="BP246" i="1" s="1"/>
  <c r="DO247" i="1"/>
  <c r="BP247" i="1" s="1"/>
  <c r="DO248" i="1"/>
  <c r="BP248" i="1" s="1"/>
  <c r="DO249" i="1"/>
  <c r="BP249" i="1" s="1"/>
  <c r="DO250" i="1"/>
  <c r="BP250" i="1" s="1"/>
  <c r="DO251" i="1"/>
  <c r="BP251" i="1" s="1"/>
  <c r="DO252" i="1"/>
  <c r="BP252" i="1" s="1"/>
  <c r="DO253" i="1"/>
  <c r="BP253" i="1" s="1"/>
  <c r="DO254" i="1"/>
  <c r="BP254" i="1" s="1"/>
  <c r="DO255" i="1"/>
  <c r="BP255" i="1" s="1"/>
  <c r="DO213" i="1"/>
  <c r="BP213" i="1" s="1"/>
  <c r="DO257" i="1"/>
  <c r="BP257" i="1" s="1"/>
  <c r="DO258" i="1"/>
  <c r="BP258" i="1" s="1"/>
  <c r="DO259" i="1"/>
  <c r="BP259" i="1" s="1"/>
  <c r="DO260" i="1"/>
  <c r="BP260" i="1" s="1"/>
  <c r="DO261" i="1"/>
  <c r="BP261" i="1" s="1"/>
  <c r="DO262" i="1"/>
  <c r="BP262" i="1" s="1"/>
  <c r="DO263" i="1"/>
  <c r="BP263" i="1" s="1"/>
  <c r="DO264" i="1"/>
  <c r="BP264" i="1" s="1"/>
  <c r="DO265" i="1"/>
  <c r="BP265" i="1" s="1"/>
  <c r="DO34" i="1"/>
  <c r="BP34" i="1" s="1"/>
  <c r="DO267" i="1"/>
  <c r="BP267" i="1" s="1"/>
  <c r="DO268" i="1"/>
  <c r="BP268" i="1" s="1"/>
  <c r="DO269" i="1"/>
  <c r="BP269" i="1" s="1"/>
  <c r="DO270" i="1"/>
  <c r="BP270" i="1" s="1"/>
  <c r="DO271" i="1"/>
  <c r="BP271" i="1" s="1"/>
  <c r="DO272" i="1"/>
  <c r="BP272" i="1" s="1"/>
  <c r="DO273" i="1"/>
  <c r="BP273" i="1" s="1"/>
  <c r="DO274" i="1"/>
  <c r="BP274" i="1" s="1"/>
  <c r="DO275" i="1"/>
  <c r="BP275" i="1" s="1"/>
  <c r="DO276" i="1"/>
  <c r="BP276" i="1" s="1"/>
  <c r="DO277" i="1"/>
  <c r="BP277" i="1" s="1"/>
  <c r="DO171" i="1"/>
  <c r="BP171" i="1" s="1"/>
  <c r="DO279" i="1"/>
  <c r="BP279" i="1" s="1"/>
  <c r="DO280" i="1"/>
  <c r="BP280" i="1" s="1"/>
  <c r="DO281" i="1"/>
  <c r="BP281" i="1" s="1"/>
  <c r="DO126" i="1"/>
  <c r="BP126" i="1" s="1"/>
  <c r="DO283" i="1"/>
  <c r="BP283" i="1" s="1"/>
  <c r="DO284" i="1"/>
  <c r="BP284" i="1" s="1"/>
  <c r="DO285" i="1"/>
  <c r="BP285" i="1" s="1"/>
  <c r="DO286" i="1"/>
  <c r="BP286" i="1" s="1"/>
  <c r="DO287" i="1"/>
  <c r="BP287" i="1" s="1"/>
  <c r="DO288" i="1"/>
  <c r="BP288" i="1" s="1"/>
  <c r="DO289" i="1"/>
  <c r="BP289" i="1" s="1"/>
  <c r="DO290" i="1"/>
  <c r="BP290" i="1" s="1"/>
  <c r="DO291" i="1"/>
  <c r="BP291" i="1" s="1"/>
  <c r="DO354" i="1"/>
  <c r="BP354" i="1" s="1"/>
  <c r="DO293" i="1"/>
  <c r="BP293" i="1" s="1"/>
  <c r="DO180" i="1"/>
  <c r="BP180" i="1" s="1"/>
  <c r="DO295" i="1"/>
  <c r="BP295" i="1" s="1"/>
  <c r="DO296" i="1"/>
  <c r="BP296" i="1" s="1"/>
  <c r="DO297" i="1"/>
  <c r="BP297" i="1" s="1"/>
  <c r="DO298" i="1"/>
  <c r="BP298" i="1" s="1"/>
  <c r="DO167" i="1"/>
  <c r="BP167" i="1" s="1"/>
  <c r="DO300" i="1"/>
  <c r="BP300" i="1" s="1"/>
  <c r="DO301" i="1"/>
  <c r="BP301" i="1" s="1"/>
  <c r="DO302" i="1"/>
  <c r="BP302" i="1" s="1"/>
  <c r="DO303" i="1"/>
  <c r="BP303" i="1" s="1"/>
  <c r="DO304" i="1"/>
  <c r="BP304" i="1" s="1"/>
  <c r="DO305" i="1"/>
  <c r="BP305" i="1" s="1"/>
  <c r="DO306" i="1"/>
  <c r="BP306" i="1" s="1"/>
  <c r="DO307" i="1"/>
  <c r="BP307" i="1" s="1"/>
  <c r="DO308" i="1"/>
  <c r="BP308" i="1" s="1"/>
  <c r="DO309" i="1"/>
  <c r="BP309" i="1" s="1"/>
  <c r="DO310" i="1"/>
  <c r="BP310" i="1" s="1"/>
  <c r="DO311" i="1"/>
  <c r="BP311" i="1" s="1"/>
  <c r="DO312" i="1"/>
  <c r="BP312" i="1" s="1"/>
  <c r="DO313" i="1"/>
  <c r="BP313" i="1" s="1"/>
  <c r="DO314" i="1"/>
  <c r="BP314" i="1" s="1"/>
  <c r="DO315" i="1"/>
  <c r="BP315" i="1" s="1"/>
  <c r="DO316" i="1"/>
  <c r="BP316" i="1" s="1"/>
  <c r="DO317" i="1"/>
  <c r="BP317" i="1" s="1"/>
  <c r="DO318" i="1"/>
  <c r="BP318" i="1" s="1"/>
  <c r="DO319" i="1"/>
  <c r="BP319" i="1" s="1"/>
  <c r="DO320" i="1"/>
  <c r="BP320" i="1" s="1"/>
  <c r="DO321" i="1"/>
  <c r="BP321" i="1" s="1"/>
  <c r="DO322" i="1"/>
  <c r="BP322" i="1" s="1"/>
  <c r="DO323" i="1"/>
  <c r="BP323" i="1" s="1"/>
  <c r="DO367" i="1"/>
  <c r="BP367" i="1" s="1"/>
  <c r="DO349" i="1"/>
  <c r="BP349" i="1" s="1"/>
  <c r="DO326" i="1"/>
  <c r="BP326" i="1" s="1"/>
  <c r="DO327" i="1"/>
  <c r="BP327" i="1" s="1"/>
  <c r="DO328" i="1"/>
  <c r="BP328" i="1" s="1"/>
  <c r="DO329" i="1"/>
  <c r="BP329" i="1" s="1"/>
  <c r="DO330" i="1"/>
  <c r="BP330" i="1" s="1"/>
  <c r="DO331" i="1"/>
  <c r="BP331" i="1" s="1"/>
  <c r="DO332" i="1"/>
  <c r="BP332" i="1" s="1"/>
  <c r="DO333" i="1"/>
  <c r="BP333" i="1" s="1"/>
  <c r="DO334" i="1"/>
  <c r="BP334" i="1" s="1"/>
  <c r="DO335" i="1"/>
  <c r="BP335" i="1" s="1"/>
  <c r="DO336" i="1"/>
  <c r="BP336" i="1" s="1"/>
  <c r="DO337" i="1"/>
  <c r="BP337" i="1" s="1"/>
  <c r="DO211" i="1"/>
  <c r="BP211" i="1" s="1"/>
  <c r="DO339" i="1"/>
  <c r="BP339" i="1" s="1"/>
  <c r="DO340" i="1"/>
  <c r="BP340" i="1" s="1"/>
  <c r="DO341" i="1"/>
  <c r="BP341" i="1" s="1"/>
  <c r="DO342" i="1"/>
  <c r="BP342" i="1" s="1"/>
  <c r="DO343" i="1"/>
  <c r="BP343" i="1" s="1"/>
  <c r="DO346" i="1"/>
  <c r="BP346" i="1" s="1"/>
  <c r="DO345" i="1"/>
  <c r="BP345" i="1" s="1"/>
  <c r="DO282" i="1"/>
  <c r="BP282" i="1" s="1"/>
  <c r="DO347" i="1"/>
  <c r="BP347" i="1" s="1"/>
  <c r="DO348" i="1"/>
  <c r="BP348" i="1" s="1"/>
  <c r="DO239" i="1"/>
  <c r="BP239" i="1" s="1"/>
  <c r="DO350" i="1"/>
  <c r="BP350" i="1" s="1"/>
  <c r="DO351" i="1"/>
  <c r="BP351" i="1" s="1"/>
  <c r="DO352" i="1"/>
  <c r="BP352" i="1" s="1"/>
  <c r="DO353" i="1"/>
  <c r="BP353" i="1" s="1"/>
  <c r="DO137" i="1"/>
  <c r="BP137" i="1" s="1"/>
  <c r="DO355" i="1"/>
  <c r="BP355" i="1" s="1"/>
  <c r="DO356" i="1"/>
  <c r="BP356" i="1" s="1"/>
  <c r="DO357" i="1"/>
  <c r="BP357" i="1" s="1"/>
  <c r="DO358" i="1"/>
  <c r="BP358" i="1" s="1"/>
  <c r="DO359" i="1"/>
  <c r="BP359" i="1" s="1"/>
  <c r="DO360" i="1"/>
  <c r="BP360" i="1" s="1"/>
  <c r="DO143" i="1"/>
  <c r="BP143" i="1" s="1"/>
  <c r="DO362" i="1"/>
  <c r="BP362" i="1" s="1"/>
  <c r="DO363" i="1"/>
  <c r="BP363" i="1" s="1"/>
  <c r="DO364" i="1"/>
  <c r="BP364" i="1" s="1"/>
  <c r="DO365" i="1"/>
  <c r="BP365" i="1" s="1"/>
  <c r="DO366" i="1"/>
  <c r="BP366" i="1" s="1"/>
  <c r="DO324" i="1"/>
  <c r="BP324" i="1" s="1"/>
  <c r="DO368" i="1"/>
  <c r="BP368" i="1" s="1"/>
  <c r="DO369" i="1"/>
  <c r="BP369" i="1" s="1"/>
  <c r="DO370" i="1"/>
  <c r="BP370" i="1" s="1"/>
  <c r="DO236" i="1"/>
  <c r="BP236" i="1" s="1"/>
  <c r="DO23" i="1"/>
  <c r="BP23" i="1" s="1"/>
  <c r="FA23" i="1"/>
  <c r="E136" i="1"/>
  <c r="E6" i="1"/>
  <c r="E120" i="1"/>
  <c r="E8" i="1"/>
  <c r="E9" i="1"/>
  <c r="E10" i="1"/>
  <c r="E11" i="1"/>
  <c r="E12" i="1"/>
  <c r="E13" i="1"/>
  <c r="E14" i="1"/>
  <c r="E15" i="1"/>
  <c r="E16" i="1"/>
  <c r="E17" i="1"/>
  <c r="E108" i="1"/>
  <c r="E19" i="1"/>
  <c r="E20" i="1"/>
  <c r="E21" i="1"/>
  <c r="E104" i="1"/>
  <c r="E141" i="1"/>
  <c r="E24" i="1"/>
  <c r="E25" i="1"/>
  <c r="E26" i="1"/>
  <c r="E185" i="1"/>
  <c r="E28" i="1"/>
  <c r="E29" i="1"/>
  <c r="E30" i="1"/>
  <c r="E31" i="1"/>
  <c r="E32" i="1"/>
  <c r="E33" i="1"/>
  <c r="E78" i="1"/>
  <c r="E35" i="1"/>
  <c r="E36" i="1"/>
  <c r="E37" i="1"/>
  <c r="E38" i="1"/>
  <c r="E168" i="1"/>
  <c r="E40" i="1"/>
  <c r="E41" i="1"/>
  <c r="E42" i="1"/>
  <c r="E43" i="1"/>
  <c r="E44" i="1"/>
  <c r="E45" i="1"/>
  <c r="E46" i="1"/>
  <c r="E135" i="1"/>
  <c r="E48" i="1"/>
  <c r="E49" i="1"/>
  <c r="E50" i="1"/>
  <c r="E51" i="1"/>
  <c r="E52" i="1"/>
  <c r="E53" i="1"/>
  <c r="E54" i="1"/>
  <c r="E55" i="1"/>
  <c r="E56" i="1"/>
  <c r="E19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18" i="1"/>
  <c r="E74" i="1"/>
  <c r="E75" i="1"/>
  <c r="E76" i="1"/>
  <c r="E77" i="1"/>
  <c r="E175" i="1"/>
  <c r="E278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361" i="1"/>
  <c r="E95" i="1"/>
  <c r="E96" i="1"/>
  <c r="E97" i="1"/>
  <c r="E98" i="1"/>
  <c r="E99" i="1"/>
  <c r="E100" i="1"/>
  <c r="E101" i="1"/>
  <c r="E102" i="1"/>
  <c r="E207" i="1"/>
  <c r="E57" i="1"/>
  <c r="E105" i="1"/>
  <c r="E106" i="1"/>
  <c r="E107" i="1"/>
  <c r="E94" i="1"/>
  <c r="E109" i="1"/>
  <c r="E110" i="1"/>
  <c r="E111" i="1"/>
  <c r="E112" i="1"/>
  <c r="E240" i="1"/>
  <c r="E114" i="1"/>
  <c r="E115" i="1"/>
  <c r="E116" i="1"/>
  <c r="E117" i="1"/>
  <c r="E118" i="1"/>
  <c r="E119" i="1"/>
  <c r="E209" i="1"/>
  <c r="E121" i="1"/>
  <c r="E122" i="1"/>
  <c r="E123" i="1"/>
  <c r="E124" i="1"/>
  <c r="E125" i="1"/>
  <c r="E22" i="1"/>
  <c r="E127" i="1"/>
  <c r="E128" i="1"/>
  <c r="E129" i="1"/>
  <c r="E130" i="1"/>
  <c r="E131" i="1"/>
  <c r="E132" i="1"/>
  <c r="E133" i="1"/>
  <c r="E5" i="1"/>
  <c r="E221" i="1"/>
  <c r="E134" i="1"/>
  <c r="E7" i="1"/>
  <c r="E138" i="1"/>
  <c r="E139" i="1"/>
  <c r="E140" i="1"/>
  <c r="E266" i="1"/>
  <c r="E142" i="1"/>
  <c r="E216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233" i="1"/>
  <c r="E294" i="1"/>
  <c r="E162" i="1"/>
  <c r="E163" i="1"/>
  <c r="E164" i="1"/>
  <c r="E165" i="1"/>
  <c r="E166" i="1"/>
  <c r="E27" i="1"/>
  <c r="E215" i="1"/>
  <c r="E169" i="1"/>
  <c r="E170" i="1"/>
  <c r="E73" i="1"/>
  <c r="E172" i="1"/>
  <c r="E173" i="1"/>
  <c r="E113" i="1"/>
  <c r="E299" i="1"/>
  <c r="E338" i="1"/>
  <c r="E177" i="1"/>
  <c r="E178" i="1"/>
  <c r="E179" i="1"/>
  <c r="E47" i="1"/>
  <c r="E181" i="1"/>
  <c r="E182" i="1"/>
  <c r="E183" i="1"/>
  <c r="E184" i="1"/>
  <c r="E242" i="1"/>
  <c r="E186" i="1"/>
  <c r="E187" i="1"/>
  <c r="E188" i="1"/>
  <c r="E325" i="1"/>
  <c r="E190" i="1"/>
  <c r="E191" i="1"/>
  <c r="E192" i="1"/>
  <c r="E193" i="1"/>
  <c r="E194" i="1"/>
  <c r="E195" i="1"/>
  <c r="E196" i="1"/>
  <c r="E79" i="1"/>
  <c r="E198" i="1"/>
  <c r="E199" i="1"/>
  <c r="E200" i="1"/>
  <c r="E201" i="1"/>
  <c r="E202" i="1"/>
  <c r="E203" i="1"/>
  <c r="E204" i="1"/>
  <c r="E161" i="1"/>
  <c r="E206" i="1"/>
  <c r="E39" i="1"/>
  <c r="E208" i="1"/>
  <c r="E176" i="1"/>
  <c r="E210" i="1"/>
  <c r="E344" i="1"/>
  <c r="E212" i="1"/>
  <c r="E174" i="1"/>
  <c r="E214" i="1"/>
  <c r="E256" i="1"/>
  <c r="E222" i="1"/>
  <c r="E217" i="1"/>
  <c r="E218" i="1"/>
  <c r="E219" i="1"/>
  <c r="E220" i="1"/>
  <c r="E205" i="1"/>
  <c r="E103" i="1"/>
  <c r="E223" i="1"/>
  <c r="E224" i="1"/>
  <c r="E225" i="1"/>
  <c r="E226" i="1"/>
  <c r="E227" i="1"/>
  <c r="E228" i="1"/>
  <c r="E229" i="1"/>
  <c r="E230" i="1"/>
  <c r="E231" i="1"/>
  <c r="E232" i="1"/>
  <c r="E292" i="1"/>
  <c r="E234" i="1"/>
  <c r="E235" i="1"/>
  <c r="E371" i="1"/>
  <c r="E237" i="1"/>
  <c r="E238" i="1"/>
  <c r="E2" i="1"/>
  <c r="E189" i="1"/>
  <c r="E241" i="1"/>
  <c r="E160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13" i="1"/>
  <c r="E257" i="1"/>
  <c r="E258" i="1"/>
  <c r="E259" i="1"/>
  <c r="E260" i="1"/>
  <c r="E261" i="1"/>
  <c r="E262" i="1"/>
  <c r="E263" i="1"/>
  <c r="E264" i="1"/>
  <c r="E265" i="1"/>
  <c r="E34" i="1"/>
  <c r="E267" i="1"/>
  <c r="E268" i="1"/>
  <c r="E269" i="1"/>
  <c r="E270" i="1"/>
  <c r="E271" i="1"/>
  <c r="E272" i="1"/>
  <c r="E273" i="1"/>
  <c r="E274" i="1"/>
  <c r="E275" i="1"/>
  <c r="E276" i="1"/>
  <c r="E277" i="1"/>
  <c r="E171" i="1"/>
  <c r="E279" i="1"/>
  <c r="E280" i="1"/>
  <c r="E281" i="1"/>
  <c r="E126" i="1"/>
  <c r="E283" i="1"/>
  <c r="E284" i="1"/>
  <c r="E285" i="1"/>
  <c r="E286" i="1"/>
  <c r="E287" i="1"/>
  <c r="E288" i="1"/>
  <c r="E289" i="1"/>
  <c r="E290" i="1"/>
  <c r="E291" i="1"/>
  <c r="E354" i="1"/>
  <c r="E293" i="1"/>
  <c r="E180" i="1"/>
  <c r="E295" i="1"/>
  <c r="E296" i="1"/>
  <c r="E297" i="1"/>
  <c r="E298" i="1"/>
  <c r="E167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67" i="1"/>
  <c r="E349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11" i="1"/>
  <c r="E339" i="1"/>
  <c r="E340" i="1"/>
  <c r="E341" i="1"/>
  <c r="E342" i="1"/>
  <c r="E343" i="1"/>
  <c r="E346" i="1"/>
  <c r="E345" i="1"/>
  <c r="E282" i="1"/>
  <c r="E347" i="1"/>
  <c r="E348" i="1"/>
  <c r="E239" i="1"/>
  <c r="E350" i="1"/>
  <c r="E351" i="1"/>
  <c r="E352" i="1"/>
  <c r="E353" i="1"/>
  <c r="E137" i="1"/>
  <c r="E355" i="1"/>
  <c r="E356" i="1"/>
  <c r="E357" i="1"/>
  <c r="E358" i="1"/>
  <c r="E359" i="1"/>
  <c r="E360" i="1"/>
  <c r="E143" i="1"/>
  <c r="E362" i="1"/>
  <c r="E363" i="1"/>
  <c r="E364" i="1"/>
  <c r="E365" i="1"/>
  <c r="E366" i="1"/>
  <c r="E324" i="1"/>
  <c r="E368" i="1"/>
  <c r="E369" i="1"/>
  <c r="E370" i="1"/>
  <c r="E236" i="1"/>
  <c r="E3" i="1"/>
  <c r="E23" i="1"/>
  <c r="E4" i="1"/>
  <c r="FJ3" i="1"/>
  <c r="BQ3" i="1" s="1"/>
  <c r="FJ4" i="1"/>
  <c r="BQ4" i="1" s="1"/>
  <c r="FJ136" i="1"/>
  <c r="BQ136" i="1" s="1"/>
  <c r="FJ6" i="1"/>
  <c r="BQ6" i="1" s="1"/>
  <c r="FJ120" i="1"/>
  <c r="BQ120" i="1" s="1"/>
  <c r="FJ8" i="1"/>
  <c r="BQ8" i="1" s="1"/>
  <c r="FJ9" i="1"/>
  <c r="BQ9" i="1" s="1"/>
  <c r="FJ10" i="1"/>
  <c r="BQ10" i="1" s="1"/>
  <c r="FJ11" i="1"/>
  <c r="BQ11" i="1" s="1"/>
  <c r="FJ12" i="1"/>
  <c r="BQ12" i="1" s="1"/>
  <c r="FJ13" i="1"/>
  <c r="BQ13" i="1" s="1"/>
  <c r="FJ14" i="1"/>
  <c r="BQ14" i="1" s="1"/>
  <c r="FJ15" i="1"/>
  <c r="BQ15" i="1" s="1"/>
  <c r="FJ16" i="1"/>
  <c r="BQ16" i="1" s="1"/>
  <c r="FJ17" i="1"/>
  <c r="BQ17" i="1" s="1"/>
  <c r="FJ108" i="1"/>
  <c r="BQ108" i="1" s="1"/>
  <c r="FJ19" i="1"/>
  <c r="BQ19" i="1" s="1"/>
  <c r="FJ20" i="1"/>
  <c r="BQ20" i="1" s="1"/>
  <c r="FJ21" i="1"/>
  <c r="BQ21" i="1" s="1"/>
  <c r="FJ104" i="1"/>
  <c r="BQ104" i="1" s="1"/>
  <c r="FJ141" i="1"/>
  <c r="BQ141" i="1" s="1"/>
  <c r="FJ24" i="1"/>
  <c r="BQ24" i="1" s="1"/>
  <c r="FJ25" i="1"/>
  <c r="BQ25" i="1" s="1"/>
  <c r="FJ26" i="1"/>
  <c r="BQ26" i="1" s="1"/>
  <c r="FJ185" i="1"/>
  <c r="BQ185" i="1" s="1"/>
  <c r="FJ28" i="1"/>
  <c r="BQ28" i="1" s="1"/>
  <c r="FJ29" i="1"/>
  <c r="BQ29" i="1" s="1"/>
  <c r="FJ30" i="1"/>
  <c r="BQ30" i="1" s="1"/>
  <c r="FJ31" i="1"/>
  <c r="BQ31" i="1" s="1"/>
  <c r="FJ32" i="1"/>
  <c r="BQ32" i="1" s="1"/>
  <c r="FJ33" i="1"/>
  <c r="BQ33" i="1" s="1"/>
  <c r="FJ78" i="1"/>
  <c r="BQ78" i="1" s="1"/>
  <c r="FJ35" i="1"/>
  <c r="BQ35" i="1" s="1"/>
  <c r="FJ36" i="1"/>
  <c r="BQ36" i="1" s="1"/>
  <c r="FJ37" i="1"/>
  <c r="BQ37" i="1" s="1"/>
  <c r="FJ38" i="1"/>
  <c r="BQ38" i="1" s="1"/>
  <c r="FJ168" i="1"/>
  <c r="BQ168" i="1" s="1"/>
  <c r="FJ40" i="1"/>
  <c r="BQ40" i="1" s="1"/>
  <c r="FJ41" i="1"/>
  <c r="BQ41" i="1" s="1"/>
  <c r="FJ42" i="1"/>
  <c r="BQ42" i="1" s="1"/>
  <c r="FJ43" i="1"/>
  <c r="BQ43" i="1" s="1"/>
  <c r="FJ44" i="1"/>
  <c r="BQ44" i="1" s="1"/>
  <c r="FJ45" i="1"/>
  <c r="BQ45" i="1" s="1"/>
  <c r="FJ46" i="1"/>
  <c r="BQ46" i="1" s="1"/>
  <c r="FJ135" i="1"/>
  <c r="BQ135" i="1" s="1"/>
  <c r="FJ48" i="1"/>
  <c r="BQ48" i="1" s="1"/>
  <c r="FJ49" i="1"/>
  <c r="BQ49" i="1" s="1"/>
  <c r="FJ50" i="1"/>
  <c r="BQ50" i="1" s="1"/>
  <c r="FJ51" i="1"/>
  <c r="BQ51" i="1" s="1"/>
  <c r="FJ52" i="1"/>
  <c r="BQ52" i="1" s="1"/>
  <c r="FJ53" i="1"/>
  <c r="BQ53" i="1" s="1"/>
  <c r="FJ54" i="1"/>
  <c r="BQ54" i="1" s="1"/>
  <c r="FJ55" i="1"/>
  <c r="BQ55" i="1" s="1"/>
  <c r="FJ56" i="1"/>
  <c r="BQ56" i="1" s="1"/>
  <c r="FJ197" i="1"/>
  <c r="BQ197" i="1" s="1"/>
  <c r="FJ58" i="1"/>
  <c r="BQ58" i="1" s="1"/>
  <c r="FJ59" i="1"/>
  <c r="BQ59" i="1" s="1"/>
  <c r="FJ60" i="1"/>
  <c r="BQ60" i="1" s="1"/>
  <c r="FJ61" i="1"/>
  <c r="BQ61" i="1" s="1"/>
  <c r="FJ62" i="1"/>
  <c r="BQ62" i="1" s="1"/>
  <c r="FJ63" i="1"/>
  <c r="BQ63" i="1" s="1"/>
  <c r="FJ64" i="1"/>
  <c r="BQ64" i="1" s="1"/>
  <c r="FJ65" i="1"/>
  <c r="BQ65" i="1" s="1"/>
  <c r="FJ66" i="1"/>
  <c r="BQ66" i="1" s="1"/>
  <c r="FJ67" i="1"/>
  <c r="BQ67" i="1" s="1"/>
  <c r="FJ68" i="1"/>
  <c r="BQ68" i="1" s="1"/>
  <c r="FJ69" i="1"/>
  <c r="BQ69" i="1" s="1"/>
  <c r="FJ70" i="1"/>
  <c r="BQ70" i="1" s="1"/>
  <c r="FJ71" i="1"/>
  <c r="BQ71" i="1" s="1"/>
  <c r="FJ72" i="1"/>
  <c r="BQ72" i="1" s="1"/>
  <c r="FJ18" i="1"/>
  <c r="BQ18" i="1" s="1"/>
  <c r="FJ74" i="1"/>
  <c r="BQ74" i="1" s="1"/>
  <c r="FJ75" i="1"/>
  <c r="BQ75" i="1" s="1"/>
  <c r="FJ76" i="1"/>
  <c r="BQ76" i="1" s="1"/>
  <c r="FJ77" i="1"/>
  <c r="BQ77" i="1" s="1"/>
  <c r="FJ175" i="1"/>
  <c r="BQ175" i="1" s="1"/>
  <c r="FJ278" i="1"/>
  <c r="BQ278" i="1" s="1"/>
  <c r="FJ80" i="1"/>
  <c r="BQ80" i="1" s="1"/>
  <c r="FJ81" i="1"/>
  <c r="BQ81" i="1" s="1"/>
  <c r="FJ82" i="1"/>
  <c r="BQ82" i="1" s="1"/>
  <c r="FJ83" i="1"/>
  <c r="BQ83" i="1" s="1"/>
  <c r="FJ84" i="1"/>
  <c r="BQ84" i="1" s="1"/>
  <c r="FJ85" i="1"/>
  <c r="BQ85" i="1" s="1"/>
  <c r="FJ86" i="1"/>
  <c r="BQ86" i="1" s="1"/>
  <c r="FJ87" i="1"/>
  <c r="BQ87" i="1" s="1"/>
  <c r="FJ88" i="1"/>
  <c r="BQ88" i="1" s="1"/>
  <c r="FJ89" i="1"/>
  <c r="BQ89" i="1" s="1"/>
  <c r="FJ90" i="1"/>
  <c r="BQ90" i="1" s="1"/>
  <c r="FJ91" i="1"/>
  <c r="BQ91" i="1" s="1"/>
  <c r="FJ92" i="1"/>
  <c r="BQ92" i="1" s="1"/>
  <c r="FJ93" i="1"/>
  <c r="BQ93" i="1" s="1"/>
  <c r="FJ361" i="1"/>
  <c r="BQ361" i="1" s="1"/>
  <c r="FJ95" i="1"/>
  <c r="BQ95" i="1" s="1"/>
  <c r="FJ96" i="1"/>
  <c r="BQ96" i="1" s="1"/>
  <c r="FJ97" i="1"/>
  <c r="BQ97" i="1" s="1"/>
  <c r="FJ98" i="1"/>
  <c r="BQ98" i="1" s="1"/>
  <c r="FJ99" i="1"/>
  <c r="BQ99" i="1" s="1"/>
  <c r="FJ100" i="1"/>
  <c r="BQ100" i="1" s="1"/>
  <c r="FJ101" i="1"/>
  <c r="BQ101" i="1" s="1"/>
  <c r="FJ102" i="1"/>
  <c r="BQ102" i="1" s="1"/>
  <c r="FJ207" i="1"/>
  <c r="BQ207" i="1" s="1"/>
  <c r="FJ57" i="1"/>
  <c r="BQ57" i="1" s="1"/>
  <c r="FJ105" i="1"/>
  <c r="BQ105" i="1" s="1"/>
  <c r="FJ106" i="1"/>
  <c r="BQ106" i="1" s="1"/>
  <c r="FJ107" i="1"/>
  <c r="BQ107" i="1" s="1"/>
  <c r="FJ94" i="1"/>
  <c r="BQ94" i="1" s="1"/>
  <c r="FJ109" i="1"/>
  <c r="BQ109" i="1" s="1"/>
  <c r="FJ110" i="1"/>
  <c r="BQ110" i="1" s="1"/>
  <c r="FJ111" i="1"/>
  <c r="BQ111" i="1" s="1"/>
  <c r="FJ112" i="1"/>
  <c r="BQ112" i="1" s="1"/>
  <c r="FJ240" i="1"/>
  <c r="BQ240" i="1" s="1"/>
  <c r="FJ114" i="1"/>
  <c r="BQ114" i="1" s="1"/>
  <c r="FJ115" i="1"/>
  <c r="BQ115" i="1" s="1"/>
  <c r="FJ116" i="1"/>
  <c r="BQ116" i="1" s="1"/>
  <c r="FJ117" i="1"/>
  <c r="BQ117" i="1" s="1"/>
  <c r="FJ118" i="1"/>
  <c r="BQ118" i="1" s="1"/>
  <c r="FJ119" i="1"/>
  <c r="BQ119" i="1" s="1"/>
  <c r="FJ209" i="1"/>
  <c r="BQ209" i="1" s="1"/>
  <c r="FJ121" i="1"/>
  <c r="BQ121" i="1" s="1"/>
  <c r="FJ122" i="1"/>
  <c r="BQ122" i="1" s="1"/>
  <c r="FJ123" i="1"/>
  <c r="BQ123" i="1" s="1"/>
  <c r="FJ124" i="1"/>
  <c r="BQ124" i="1" s="1"/>
  <c r="FJ125" i="1"/>
  <c r="BQ125" i="1" s="1"/>
  <c r="FJ22" i="1"/>
  <c r="BQ22" i="1" s="1"/>
  <c r="FJ127" i="1"/>
  <c r="BQ127" i="1" s="1"/>
  <c r="FJ128" i="1"/>
  <c r="BQ128" i="1" s="1"/>
  <c r="FJ129" i="1"/>
  <c r="BQ129" i="1" s="1"/>
  <c r="FJ130" i="1"/>
  <c r="BQ130" i="1" s="1"/>
  <c r="FJ131" i="1"/>
  <c r="BQ131" i="1" s="1"/>
  <c r="FJ132" i="1"/>
  <c r="BQ132" i="1" s="1"/>
  <c r="FJ133" i="1"/>
  <c r="BQ133" i="1" s="1"/>
  <c r="FJ5" i="1"/>
  <c r="BQ5" i="1" s="1"/>
  <c r="FJ221" i="1"/>
  <c r="BQ221" i="1" s="1"/>
  <c r="FJ134" i="1"/>
  <c r="BQ134" i="1" s="1"/>
  <c r="FJ7" i="1"/>
  <c r="BQ7" i="1" s="1"/>
  <c r="FJ138" i="1"/>
  <c r="BQ138" i="1" s="1"/>
  <c r="FJ139" i="1"/>
  <c r="BQ139" i="1" s="1"/>
  <c r="FJ140" i="1"/>
  <c r="BQ140" i="1" s="1"/>
  <c r="FJ266" i="1"/>
  <c r="BQ266" i="1" s="1"/>
  <c r="FJ142" i="1"/>
  <c r="BQ142" i="1" s="1"/>
  <c r="FJ216" i="1"/>
  <c r="BQ216" i="1" s="1"/>
  <c r="FJ144" i="1"/>
  <c r="BQ144" i="1" s="1"/>
  <c r="FJ145" i="1"/>
  <c r="BQ145" i="1" s="1"/>
  <c r="FJ146" i="1"/>
  <c r="BQ146" i="1" s="1"/>
  <c r="FJ147" i="1"/>
  <c r="BQ147" i="1" s="1"/>
  <c r="FJ148" i="1"/>
  <c r="BQ148" i="1" s="1"/>
  <c r="FJ149" i="1"/>
  <c r="BQ149" i="1" s="1"/>
  <c r="FJ150" i="1"/>
  <c r="BQ150" i="1" s="1"/>
  <c r="FJ151" i="1"/>
  <c r="BQ151" i="1" s="1"/>
  <c r="FJ152" i="1"/>
  <c r="BQ152" i="1" s="1"/>
  <c r="FJ153" i="1"/>
  <c r="BQ153" i="1" s="1"/>
  <c r="FJ154" i="1"/>
  <c r="BQ154" i="1" s="1"/>
  <c r="FJ155" i="1"/>
  <c r="BQ155" i="1" s="1"/>
  <c r="FJ156" i="1"/>
  <c r="BQ156" i="1" s="1"/>
  <c r="FJ157" i="1"/>
  <c r="BQ157" i="1" s="1"/>
  <c r="FJ158" i="1"/>
  <c r="BQ158" i="1" s="1"/>
  <c r="FJ159" i="1"/>
  <c r="BQ159" i="1" s="1"/>
  <c r="FJ233" i="1"/>
  <c r="BQ233" i="1" s="1"/>
  <c r="FJ294" i="1"/>
  <c r="BQ294" i="1" s="1"/>
  <c r="FJ162" i="1"/>
  <c r="BQ162" i="1" s="1"/>
  <c r="FJ163" i="1"/>
  <c r="BQ163" i="1" s="1"/>
  <c r="FJ164" i="1"/>
  <c r="BQ164" i="1" s="1"/>
  <c r="FJ165" i="1"/>
  <c r="BQ165" i="1" s="1"/>
  <c r="FJ166" i="1"/>
  <c r="BQ166" i="1" s="1"/>
  <c r="FJ27" i="1"/>
  <c r="BQ27" i="1" s="1"/>
  <c r="FJ215" i="1"/>
  <c r="BQ215" i="1" s="1"/>
  <c r="FJ169" i="1"/>
  <c r="BQ169" i="1" s="1"/>
  <c r="FJ170" i="1"/>
  <c r="BQ170" i="1" s="1"/>
  <c r="FJ73" i="1"/>
  <c r="BQ73" i="1" s="1"/>
  <c r="FJ172" i="1"/>
  <c r="BQ172" i="1" s="1"/>
  <c r="FJ173" i="1"/>
  <c r="BQ173" i="1" s="1"/>
  <c r="FJ113" i="1"/>
  <c r="BQ113" i="1" s="1"/>
  <c r="FJ299" i="1"/>
  <c r="BQ299" i="1" s="1"/>
  <c r="FJ338" i="1"/>
  <c r="BQ338" i="1" s="1"/>
  <c r="FJ177" i="1"/>
  <c r="BQ177" i="1" s="1"/>
  <c r="FJ178" i="1"/>
  <c r="BQ178" i="1" s="1"/>
  <c r="FJ179" i="1"/>
  <c r="BQ179" i="1" s="1"/>
  <c r="FJ47" i="1"/>
  <c r="BQ47" i="1" s="1"/>
  <c r="FJ181" i="1"/>
  <c r="BQ181" i="1" s="1"/>
  <c r="FJ182" i="1"/>
  <c r="BQ182" i="1" s="1"/>
  <c r="FJ183" i="1"/>
  <c r="BQ183" i="1" s="1"/>
  <c r="FJ184" i="1"/>
  <c r="BQ184" i="1" s="1"/>
  <c r="FJ242" i="1"/>
  <c r="BQ242" i="1" s="1"/>
  <c r="FJ186" i="1"/>
  <c r="BQ186" i="1" s="1"/>
  <c r="FJ187" i="1"/>
  <c r="BQ187" i="1" s="1"/>
  <c r="FJ188" i="1"/>
  <c r="BQ188" i="1" s="1"/>
  <c r="FJ325" i="1"/>
  <c r="BQ325" i="1" s="1"/>
  <c r="FJ190" i="1"/>
  <c r="BQ190" i="1" s="1"/>
  <c r="FJ191" i="1"/>
  <c r="BQ191" i="1" s="1"/>
  <c r="FJ192" i="1"/>
  <c r="BQ192" i="1" s="1"/>
  <c r="FJ193" i="1"/>
  <c r="BQ193" i="1" s="1"/>
  <c r="FJ194" i="1"/>
  <c r="BQ194" i="1" s="1"/>
  <c r="FJ195" i="1"/>
  <c r="BQ195" i="1" s="1"/>
  <c r="FJ196" i="1"/>
  <c r="BQ196" i="1" s="1"/>
  <c r="FJ79" i="1"/>
  <c r="BQ79" i="1" s="1"/>
  <c r="FJ198" i="1"/>
  <c r="BQ198" i="1" s="1"/>
  <c r="FJ199" i="1"/>
  <c r="BQ199" i="1" s="1"/>
  <c r="FJ200" i="1"/>
  <c r="BQ200" i="1" s="1"/>
  <c r="FJ201" i="1"/>
  <c r="BQ201" i="1" s="1"/>
  <c r="FJ202" i="1"/>
  <c r="BQ202" i="1" s="1"/>
  <c r="FJ203" i="1"/>
  <c r="BQ203" i="1" s="1"/>
  <c r="FJ204" i="1"/>
  <c r="BQ204" i="1" s="1"/>
  <c r="FJ161" i="1"/>
  <c r="BQ161" i="1" s="1"/>
  <c r="FJ206" i="1"/>
  <c r="BQ206" i="1" s="1"/>
  <c r="FJ39" i="1"/>
  <c r="BQ39" i="1" s="1"/>
  <c r="FJ208" i="1"/>
  <c r="BQ208" i="1" s="1"/>
  <c r="FJ176" i="1"/>
  <c r="BQ176" i="1" s="1"/>
  <c r="FJ210" i="1"/>
  <c r="BQ210" i="1" s="1"/>
  <c r="FJ344" i="1"/>
  <c r="BQ344" i="1" s="1"/>
  <c r="FJ212" i="1"/>
  <c r="BQ212" i="1" s="1"/>
  <c r="FJ174" i="1"/>
  <c r="BQ174" i="1" s="1"/>
  <c r="FJ214" i="1"/>
  <c r="BQ214" i="1" s="1"/>
  <c r="FJ256" i="1"/>
  <c r="BQ256" i="1" s="1"/>
  <c r="FJ222" i="1"/>
  <c r="BQ222" i="1" s="1"/>
  <c r="FJ217" i="1"/>
  <c r="BQ217" i="1" s="1"/>
  <c r="FJ218" i="1"/>
  <c r="BQ218" i="1" s="1"/>
  <c r="FJ219" i="1"/>
  <c r="BQ219" i="1" s="1"/>
  <c r="FJ220" i="1"/>
  <c r="BQ220" i="1" s="1"/>
  <c r="FJ205" i="1"/>
  <c r="BQ205" i="1" s="1"/>
  <c r="FJ103" i="1"/>
  <c r="BQ103" i="1" s="1"/>
  <c r="FJ223" i="1"/>
  <c r="BQ223" i="1" s="1"/>
  <c r="FJ224" i="1"/>
  <c r="BQ224" i="1" s="1"/>
  <c r="FJ225" i="1"/>
  <c r="BQ225" i="1" s="1"/>
  <c r="FJ226" i="1"/>
  <c r="BQ226" i="1" s="1"/>
  <c r="FJ227" i="1"/>
  <c r="BQ227" i="1" s="1"/>
  <c r="FJ228" i="1"/>
  <c r="BQ228" i="1" s="1"/>
  <c r="FJ229" i="1"/>
  <c r="BQ229" i="1" s="1"/>
  <c r="FJ230" i="1"/>
  <c r="BQ230" i="1" s="1"/>
  <c r="FJ231" i="1"/>
  <c r="BQ231" i="1" s="1"/>
  <c r="FJ232" i="1"/>
  <c r="BQ232" i="1" s="1"/>
  <c r="FJ292" i="1"/>
  <c r="BQ292" i="1" s="1"/>
  <c r="FJ234" i="1"/>
  <c r="BQ234" i="1" s="1"/>
  <c r="FJ235" i="1"/>
  <c r="BQ235" i="1" s="1"/>
  <c r="FJ371" i="1"/>
  <c r="BQ371" i="1" s="1"/>
  <c r="FJ237" i="1"/>
  <c r="BQ237" i="1" s="1"/>
  <c r="FJ238" i="1"/>
  <c r="BQ238" i="1" s="1"/>
  <c r="FJ2" i="1"/>
  <c r="BQ2" i="1" s="1"/>
  <c r="FJ189" i="1"/>
  <c r="BQ189" i="1" s="1"/>
  <c r="FJ241" i="1"/>
  <c r="BQ241" i="1" s="1"/>
  <c r="FJ160" i="1"/>
  <c r="BQ160" i="1" s="1"/>
  <c r="FJ243" i="1"/>
  <c r="BQ243" i="1" s="1"/>
  <c r="FJ244" i="1"/>
  <c r="BQ244" i="1" s="1"/>
  <c r="FJ245" i="1"/>
  <c r="BQ245" i="1" s="1"/>
  <c r="FJ246" i="1"/>
  <c r="BQ246" i="1" s="1"/>
  <c r="FJ247" i="1"/>
  <c r="BQ247" i="1" s="1"/>
  <c r="FJ248" i="1"/>
  <c r="BQ248" i="1" s="1"/>
  <c r="FJ249" i="1"/>
  <c r="BQ249" i="1" s="1"/>
  <c r="FJ250" i="1"/>
  <c r="BQ250" i="1" s="1"/>
  <c r="FJ251" i="1"/>
  <c r="BQ251" i="1" s="1"/>
  <c r="FJ252" i="1"/>
  <c r="BQ252" i="1" s="1"/>
  <c r="FJ253" i="1"/>
  <c r="BQ253" i="1" s="1"/>
  <c r="FJ254" i="1"/>
  <c r="BQ254" i="1" s="1"/>
  <c r="FJ255" i="1"/>
  <c r="BQ255" i="1" s="1"/>
  <c r="FJ213" i="1"/>
  <c r="BQ213" i="1" s="1"/>
  <c r="FJ257" i="1"/>
  <c r="BQ257" i="1" s="1"/>
  <c r="FJ258" i="1"/>
  <c r="BQ258" i="1" s="1"/>
  <c r="FJ259" i="1"/>
  <c r="BQ259" i="1" s="1"/>
  <c r="FJ260" i="1"/>
  <c r="BQ260" i="1" s="1"/>
  <c r="FJ261" i="1"/>
  <c r="BQ261" i="1" s="1"/>
  <c r="FJ262" i="1"/>
  <c r="BQ262" i="1" s="1"/>
  <c r="FJ263" i="1"/>
  <c r="BQ263" i="1" s="1"/>
  <c r="FJ264" i="1"/>
  <c r="BQ264" i="1" s="1"/>
  <c r="FJ265" i="1"/>
  <c r="BQ265" i="1" s="1"/>
  <c r="FJ34" i="1"/>
  <c r="BQ34" i="1" s="1"/>
  <c r="FJ267" i="1"/>
  <c r="BQ267" i="1" s="1"/>
  <c r="FJ268" i="1"/>
  <c r="BQ268" i="1" s="1"/>
  <c r="FJ269" i="1"/>
  <c r="BQ269" i="1" s="1"/>
  <c r="FJ270" i="1"/>
  <c r="BQ270" i="1" s="1"/>
  <c r="FJ271" i="1"/>
  <c r="BQ271" i="1" s="1"/>
  <c r="FJ272" i="1"/>
  <c r="BQ272" i="1" s="1"/>
  <c r="FJ273" i="1"/>
  <c r="BQ273" i="1" s="1"/>
  <c r="FJ274" i="1"/>
  <c r="BQ274" i="1" s="1"/>
  <c r="FJ275" i="1"/>
  <c r="BQ275" i="1" s="1"/>
  <c r="FJ276" i="1"/>
  <c r="BQ276" i="1" s="1"/>
  <c r="FJ277" i="1"/>
  <c r="BQ277" i="1" s="1"/>
  <c r="FJ171" i="1"/>
  <c r="BQ171" i="1" s="1"/>
  <c r="FJ279" i="1"/>
  <c r="BQ279" i="1" s="1"/>
  <c r="FJ280" i="1"/>
  <c r="BQ280" i="1" s="1"/>
  <c r="FJ281" i="1"/>
  <c r="BQ281" i="1" s="1"/>
  <c r="FJ126" i="1"/>
  <c r="BQ126" i="1" s="1"/>
  <c r="FJ283" i="1"/>
  <c r="BQ283" i="1" s="1"/>
  <c r="FJ284" i="1"/>
  <c r="BQ284" i="1" s="1"/>
  <c r="FJ285" i="1"/>
  <c r="BQ285" i="1" s="1"/>
  <c r="FJ286" i="1"/>
  <c r="BQ286" i="1" s="1"/>
  <c r="FJ287" i="1"/>
  <c r="BQ287" i="1" s="1"/>
  <c r="FJ288" i="1"/>
  <c r="BQ288" i="1" s="1"/>
  <c r="FJ289" i="1"/>
  <c r="BQ289" i="1" s="1"/>
  <c r="FJ290" i="1"/>
  <c r="BQ290" i="1" s="1"/>
  <c r="FJ291" i="1"/>
  <c r="BQ291" i="1" s="1"/>
  <c r="FJ354" i="1"/>
  <c r="BQ354" i="1" s="1"/>
  <c r="FJ293" i="1"/>
  <c r="BQ293" i="1" s="1"/>
  <c r="FJ180" i="1"/>
  <c r="BQ180" i="1" s="1"/>
  <c r="FJ295" i="1"/>
  <c r="BQ295" i="1" s="1"/>
  <c r="FJ296" i="1"/>
  <c r="BQ296" i="1" s="1"/>
  <c r="FJ297" i="1"/>
  <c r="BQ297" i="1" s="1"/>
  <c r="FJ298" i="1"/>
  <c r="BQ298" i="1" s="1"/>
  <c r="FJ167" i="1"/>
  <c r="BQ167" i="1" s="1"/>
  <c r="FJ300" i="1"/>
  <c r="BQ300" i="1" s="1"/>
  <c r="FJ301" i="1"/>
  <c r="BQ301" i="1" s="1"/>
  <c r="FJ302" i="1"/>
  <c r="BQ302" i="1" s="1"/>
  <c r="FJ303" i="1"/>
  <c r="BQ303" i="1" s="1"/>
  <c r="FJ304" i="1"/>
  <c r="BQ304" i="1" s="1"/>
  <c r="FJ305" i="1"/>
  <c r="BQ305" i="1" s="1"/>
  <c r="FJ306" i="1"/>
  <c r="BQ306" i="1" s="1"/>
  <c r="FJ307" i="1"/>
  <c r="BQ307" i="1" s="1"/>
  <c r="FJ308" i="1"/>
  <c r="BQ308" i="1" s="1"/>
  <c r="FJ309" i="1"/>
  <c r="BQ309" i="1" s="1"/>
  <c r="FJ310" i="1"/>
  <c r="BQ310" i="1" s="1"/>
  <c r="FJ311" i="1"/>
  <c r="BQ311" i="1" s="1"/>
  <c r="FJ312" i="1"/>
  <c r="BQ312" i="1" s="1"/>
  <c r="FJ313" i="1"/>
  <c r="BQ313" i="1" s="1"/>
  <c r="FJ314" i="1"/>
  <c r="BQ314" i="1" s="1"/>
  <c r="FJ315" i="1"/>
  <c r="BQ315" i="1" s="1"/>
  <c r="FJ316" i="1"/>
  <c r="BQ316" i="1" s="1"/>
  <c r="FJ317" i="1"/>
  <c r="BQ317" i="1" s="1"/>
  <c r="FJ318" i="1"/>
  <c r="BQ318" i="1" s="1"/>
  <c r="FJ319" i="1"/>
  <c r="BQ319" i="1" s="1"/>
  <c r="FJ320" i="1"/>
  <c r="BQ320" i="1" s="1"/>
  <c r="FJ321" i="1"/>
  <c r="BQ321" i="1" s="1"/>
  <c r="FJ322" i="1"/>
  <c r="BQ322" i="1" s="1"/>
  <c r="FJ323" i="1"/>
  <c r="BQ323" i="1" s="1"/>
  <c r="FJ367" i="1"/>
  <c r="BQ367" i="1" s="1"/>
  <c r="FJ349" i="1"/>
  <c r="BQ349" i="1" s="1"/>
  <c r="FJ326" i="1"/>
  <c r="BQ326" i="1" s="1"/>
  <c r="FJ327" i="1"/>
  <c r="BQ327" i="1" s="1"/>
  <c r="FJ328" i="1"/>
  <c r="BQ328" i="1" s="1"/>
  <c r="FJ329" i="1"/>
  <c r="BQ329" i="1" s="1"/>
  <c r="FJ330" i="1"/>
  <c r="BQ330" i="1" s="1"/>
  <c r="FJ331" i="1"/>
  <c r="BQ331" i="1" s="1"/>
  <c r="FJ332" i="1"/>
  <c r="BQ332" i="1" s="1"/>
  <c r="FJ333" i="1"/>
  <c r="BQ333" i="1" s="1"/>
  <c r="FJ334" i="1"/>
  <c r="BQ334" i="1" s="1"/>
  <c r="FJ335" i="1"/>
  <c r="BQ335" i="1" s="1"/>
  <c r="FJ336" i="1"/>
  <c r="BQ336" i="1" s="1"/>
  <c r="FJ337" i="1"/>
  <c r="BQ337" i="1" s="1"/>
  <c r="FJ211" i="1"/>
  <c r="BQ211" i="1" s="1"/>
  <c r="FJ339" i="1"/>
  <c r="BQ339" i="1" s="1"/>
  <c r="FJ340" i="1"/>
  <c r="BQ340" i="1" s="1"/>
  <c r="FJ341" i="1"/>
  <c r="BQ341" i="1" s="1"/>
  <c r="FJ342" i="1"/>
  <c r="BQ342" i="1" s="1"/>
  <c r="FJ343" i="1"/>
  <c r="BQ343" i="1" s="1"/>
  <c r="FJ346" i="1"/>
  <c r="BQ346" i="1" s="1"/>
  <c r="FJ345" i="1"/>
  <c r="BQ345" i="1" s="1"/>
  <c r="FJ282" i="1"/>
  <c r="BQ282" i="1" s="1"/>
  <c r="FJ347" i="1"/>
  <c r="BQ347" i="1" s="1"/>
  <c r="FJ348" i="1"/>
  <c r="BQ348" i="1" s="1"/>
  <c r="FJ239" i="1"/>
  <c r="BQ239" i="1" s="1"/>
  <c r="FJ350" i="1"/>
  <c r="BQ350" i="1" s="1"/>
  <c r="FJ351" i="1"/>
  <c r="BQ351" i="1" s="1"/>
  <c r="FJ352" i="1"/>
  <c r="BQ352" i="1" s="1"/>
  <c r="FJ353" i="1"/>
  <c r="BQ353" i="1" s="1"/>
  <c r="FJ137" i="1"/>
  <c r="BQ137" i="1" s="1"/>
  <c r="FJ355" i="1"/>
  <c r="BQ355" i="1" s="1"/>
  <c r="FJ356" i="1"/>
  <c r="BQ356" i="1" s="1"/>
  <c r="FJ357" i="1"/>
  <c r="BQ357" i="1" s="1"/>
  <c r="FJ358" i="1"/>
  <c r="BQ358" i="1" s="1"/>
  <c r="FJ359" i="1"/>
  <c r="BQ359" i="1" s="1"/>
  <c r="FJ360" i="1"/>
  <c r="BQ360" i="1" s="1"/>
  <c r="FJ143" i="1"/>
  <c r="BQ143" i="1" s="1"/>
  <c r="FJ362" i="1"/>
  <c r="BQ362" i="1" s="1"/>
  <c r="FJ363" i="1"/>
  <c r="BQ363" i="1" s="1"/>
  <c r="FJ364" i="1"/>
  <c r="BQ364" i="1" s="1"/>
  <c r="FJ365" i="1"/>
  <c r="BQ365" i="1" s="1"/>
  <c r="FJ366" i="1"/>
  <c r="BQ366" i="1" s="1"/>
  <c r="FJ324" i="1"/>
  <c r="BQ324" i="1" s="1"/>
  <c r="FJ368" i="1"/>
  <c r="BQ368" i="1" s="1"/>
  <c r="FJ369" i="1"/>
  <c r="BQ369" i="1" s="1"/>
  <c r="FJ370" i="1"/>
  <c r="BQ370" i="1" s="1"/>
  <c r="FJ236" i="1"/>
  <c r="BQ236" i="1" s="1"/>
  <c r="FJ23" i="1"/>
  <c r="BQ23" i="1" s="1"/>
  <c r="GL3" i="1"/>
  <c r="BR3" i="1" s="1"/>
  <c r="GL4" i="1"/>
  <c r="BR4" i="1" s="1"/>
  <c r="GL136" i="1"/>
  <c r="BR136" i="1" s="1"/>
  <c r="GL6" i="1"/>
  <c r="BR6" i="1" s="1"/>
  <c r="GL120" i="1"/>
  <c r="BR120" i="1" s="1"/>
  <c r="GL8" i="1"/>
  <c r="BR8" i="1" s="1"/>
  <c r="GL9" i="1"/>
  <c r="BR9" i="1" s="1"/>
  <c r="GL10" i="1"/>
  <c r="BR10" i="1" s="1"/>
  <c r="GL11" i="1"/>
  <c r="BR11" i="1" s="1"/>
  <c r="GL12" i="1"/>
  <c r="BR12" i="1" s="1"/>
  <c r="GL13" i="1"/>
  <c r="BR13" i="1" s="1"/>
  <c r="GL14" i="1"/>
  <c r="BR14" i="1" s="1"/>
  <c r="GL15" i="1"/>
  <c r="BR15" i="1" s="1"/>
  <c r="GL16" i="1"/>
  <c r="BR16" i="1" s="1"/>
  <c r="GL17" i="1"/>
  <c r="BR17" i="1" s="1"/>
  <c r="GL108" i="1"/>
  <c r="BR108" i="1" s="1"/>
  <c r="GL19" i="1"/>
  <c r="BR19" i="1" s="1"/>
  <c r="GL20" i="1"/>
  <c r="BR20" i="1" s="1"/>
  <c r="GL21" i="1"/>
  <c r="BR21" i="1" s="1"/>
  <c r="GL104" i="1"/>
  <c r="BR104" i="1" s="1"/>
  <c r="GL141" i="1"/>
  <c r="BR141" i="1" s="1"/>
  <c r="GL24" i="1"/>
  <c r="BR24" i="1" s="1"/>
  <c r="GL25" i="1"/>
  <c r="BR25" i="1" s="1"/>
  <c r="GL26" i="1"/>
  <c r="BR26" i="1" s="1"/>
  <c r="GL185" i="1"/>
  <c r="BR185" i="1" s="1"/>
  <c r="GL28" i="1"/>
  <c r="BR28" i="1" s="1"/>
  <c r="GL29" i="1"/>
  <c r="BR29" i="1" s="1"/>
  <c r="GL30" i="1"/>
  <c r="BR30" i="1" s="1"/>
  <c r="GL31" i="1"/>
  <c r="BR31" i="1" s="1"/>
  <c r="GL32" i="1"/>
  <c r="BR32" i="1" s="1"/>
  <c r="GL33" i="1"/>
  <c r="BR33" i="1" s="1"/>
  <c r="GL78" i="1"/>
  <c r="BR78" i="1" s="1"/>
  <c r="GL35" i="1"/>
  <c r="BR35" i="1" s="1"/>
  <c r="GL36" i="1"/>
  <c r="BR36" i="1" s="1"/>
  <c r="GL37" i="1"/>
  <c r="BR37" i="1" s="1"/>
  <c r="GL38" i="1"/>
  <c r="BR38" i="1" s="1"/>
  <c r="GL168" i="1"/>
  <c r="BR168" i="1" s="1"/>
  <c r="GL40" i="1"/>
  <c r="BR40" i="1" s="1"/>
  <c r="GL41" i="1"/>
  <c r="BR41" i="1" s="1"/>
  <c r="GL42" i="1"/>
  <c r="BR42" i="1" s="1"/>
  <c r="GL43" i="1"/>
  <c r="BR43" i="1" s="1"/>
  <c r="GL44" i="1"/>
  <c r="BR44" i="1" s="1"/>
  <c r="GL45" i="1"/>
  <c r="BR45" i="1" s="1"/>
  <c r="GL46" i="1"/>
  <c r="BR46" i="1" s="1"/>
  <c r="GL135" i="1"/>
  <c r="BR135" i="1" s="1"/>
  <c r="GL48" i="1"/>
  <c r="BR48" i="1" s="1"/>
  <c r="GL49" i="1"/>
  <c r="BR49" i="1" s="1"/>
  <c r="GL50" i="1"/>
  <c r="BR50" i="1" s="1"/>
  <c r="GL51" i="1"/>
  <c r="BR51" i="1" s="1"/>
  <c r="GL52" i="1"/>
  <c r="BR52" i="1" s="1"/>
  <c r="GL53" i="1"/>
  <c r="BR53" i="1" s="1"/>
  <c r="GL54" i="1"/>
  <c r="BR54" i="1" s="1"/>
  <c r="GL55" i="1"/>
  <c r="BR55" i="1" s="1"/>
  <c r="GL56" i="1"/>
  <c r="BR56" i="1" s="1"/>
  <c r="GL197" i="1"/>
  <c r="BR197" i="1" s="1"/>
  <c r="GL58" i="1"/>
  <c r="BR58" i="1" s="1"/>
  <c r="GL59" i="1"/>
  <c r="BR59" i="1" s="1"/>
  <c r="GL60" i="1"/>
  <c r="BR60" i="1" s="1"/>
  <c r="GL61" i="1"/>
  <c r="BR61" i="1" s="1"/>
  <c r="GL62" i="1"/>
  <c r="BR62" i="1" s="1"/>
  <c r="GL63" i="1"/>
  <c r="BR63" i="1" s="1"/>
  <c r="GL64" i="1"/>
  <c r="BR64" i="1" s="1"/>
  <c r="GL65" i="1"/>
  <c r="BR65" i="1" s="1"/>
  <c r="GL66" i="1"/>
  <c r="BR66" i="1" s="1"/>
  <c r="GL67" i="1"/>
  <c r="BR67" i="1" s="1"/>
  <c r="GL68" i="1"/>
  <c r="BR68" i="1" s="1"/>
  <c r="GL69" i="1"/>
  <c r="BR69" i="1" s="1"/>
  <c r="GL70" i="1"/>
  <c r="BR70" i="1" s="1"/>
  <c r="GL71" i="1"/>
  <c r="BR71" i="1" s="1"/>
  <c r="GL72" i="1"/>
  <c r="BR72" i="1" s="1"/>
  <c r="GL18" i="1"/>
  <c r="BR18" i="1" s="1"/>
  <c r="GL74" i="1"/>
  <c r="BR74" i="1" s="1"/>
  <c r="GL75" i="1"/>
  <c r="BR75" i="1" s="1"/>
  <c r="GL76" i="1"/>
  <c r="BR76" i="1" s="1"/>
  <c r="GL77" i="1"/>
  <c r="BR77" i="1" s="1"/>
  <c r="GL175" i="1"/>
  <c r="BR175" i="1" s="1"/>
  <c r="GL278" i="1"/>
  <c r="BR278" i="1" s="1"/>
  <c r="GL80" i="1"/>
  <c r="BR80" i="1" s="1"/>
  <c r="GL81" i="1"/>
  <c r="BR81" i="1" s="1"/>
  <c r="GL82" i="1"/>
  <c r="BR82" i="1" s="1"/>
  <c r="GL83" i="1"/>
  <c r="BR83" i="1" s="1"/>
  <c r="GL84" i="1"/>
  <c r="BR84" i="1" s="1"/>
  <c r="GL85" i="1"/>
  <c r="BR85" i="1" s="1"/>
  <c r="GL86" i="1"/>
  <c r="BR86" i="1" s="1"/>
  <c r="GL87" i="1"/>
  <c r="BR87" i="1" s="1"/>
  <c r="GL88" i="1"/>
  <c r="BR88" i="1" s="1"/>
  <c r="GL89" i="1"/>
  <c r="BR89" i="1" s="1"/>
  <c r="GL90" i="1"/>
  <c r="BR90" i="1" s="1"/>
  <c r="GL91" i="1"/>
  <c r="BR91" i="1" s="1"/>
  <c r="GL92" i="1"/>
  <c r="BR92" i="1" s="1"/>
  <c r="GL93" i="1"/>
  <c r="BR93" i="1" s="1"/>
  <c r="GL361" i="1"/>
  <c r="BR361" i="1" s="1"/>
  <c r="GL95" i="1"/>
  <c r="BR95" i="1" s="1"/>
  <c r="GL96" i="1"/>
  <c r="BR96" i="1" s="1"/>
  <c r="GL97" i="1"/>
  <c r="BR97" i="1" s="1"/>
  <c r="GL98" i="1"/>
  <c r="BR98" i="1" s="1"/>
  <c r="GL99" i="1"/>
  <c r="BR99" i="1" s="1"/>
  <c r="GL100" i="1"/>
  <c r="BR100" i="1" s="1"/>
  <c r="GL101" i="1"/>
  <c r="BR101" i="1" s="1"/>
  <c r="GL102" i="1"/>
  <c r="BR102" i="1" s="1"/>
  <c r="GL207" i="1"/>
  <c r="BR207" i="1" s="1"/>
  <c r="GL57" i="1"/>
  <c r="BR57" i="1" s="1"/>
  <c r="GL105" i="1"/>
  <c r="BR105" i="1" s="1"/>
  <c r="GL106" i="1"/>
  <c r="BR106" i="1" s="1"/>
  <c r="GL107" i="1"/>
  <c r="BR107" i="1" s="1"/>
  <c r="GL94" i="1"/>
  <c r="BR94" i="1" s="1"/>
  <c r="GL109" i="1"/>
  <c r="BR109" i="1" s="1"/>
  <c r="GL110" i="1"/>
  <c r="BR110" i="1" s="1"/>
  <c r="GL111" i="1"/>
  <c r="BR111" i="1" s="1"/>
  <c r="GL112" i="1"/>
  <c r="BR112" i="1" s="1"/>
  <c r="GL240" i="1"/>
  <c r="BR240" i="1" s="1"/>
  <c r="GL114" i="1"/>
  <c r="BR114" i="1" s="1"/>
  <c r="GL115" i="1"/>
  <c r="BR115" i="1" s="1"/>
  <c r="GL116" i="1"/>
  <c r="BR116" i="1" s="1"/>
  <c r="GL117" i="1"/>
  <c r="BR117" i="1" s="1"/>
  <c r="GL118" i="1"/>
  <c r="BR118" i="1" s="1"/>
  <c r="GL119" i="1"/>
  <c r="BR119" i="1" s="1"/>
  <c r="GL209" i="1"/>
  <c r="BR209" i="1" s="1"/>
  <c r="GL121" i="1"/>
  <c r="BR121" i="1" s="1"/>
  <c r="GL122" i="1"/>
  <c r="BR122" i="1" s="1"/>
  <c r="GL123" i="1"/>
  <c r="BR123" i="1" s="1"/>
  <c r="GL124" i="1"/>
  <c r="BR124" i="1" s="1"/>
  <c r="GL125" i="1"/>
  <c r="BR125" i="1" s="1"/>
  <c r="GL22" i="1"/>
  <c r="BR22" i="1" s="1"/>
  <c r="GL127" i="1"/>
  <c r="BR127" i="1" s="1"/>
  <c r="GL128" i="1"/>
  <c r="BR128" i="1" s="1"/>
  <c r="GL129" i="1"/>
  <c r="BR129" i="1" s="1"/>
  <c r="GL130" i="1"/>
  <c r="BR130" i="1" s="1"/>
  <c r="GL131" i="1"/>
  <c r="BR131" i="1" s="1"/>
  <c r="GL132" i="1"/>
  <c r="BR132" i="1" s="1"/>
  <c r="GL133" i="1"/>
  <c r="BR133" i="1" s="1"/>
  <c r="GL5" i="1"/>
  <c r="BR5" i="1" s="1"/>
  <c r="GL221" i="1"/>
  <c r="BR221" i="1" s="1"/>
  <c r="GL134" i="1"/>
  <c r="BR134" i="1" s="1"/>
  <c r="GL7" i="1"/>
  <c r="BR7" i="1" s="1"/>
  <c r="GL138" i="1"/>
  <c r="BR138" i="1" s="1"/>
  <c r="GL139" i="1"/>
  <c r="BR139" i="1" s="1"/>
  <c r="GL140" i="1"/>
  <c r="BR140" i="1" s="1"/>
  <c r="GL266" i="1"/>
  <c r="BR266" i="1" s="1"/>
  <c r="GL142" i="1"/>
  <c r="BR142" i="1" s="1"/>
  <c r="GL216" i="1"/>
  <c r="BR216" i="1" s="1"/>
  <c r="GL144" i="1"/>
  <c r="BR144" i="1" s="1"/>
  <c r="GL145" i="1"/>
  <c r="BR145" i="1" s="1"/>
  <c r="GL146" i="1"/>
  <c r="BR146" i="1" s="1"/>
  <c r="GL147" i="1"/>
  <c r="BR147" i="1" s="1"/>
  <c r="GL148" i="1"/>
  <c r="BR148" i="1" s="1"/>
  <c r="GL149" i="1"/>
  <c r="BR149" i="1" s="1"/>
  <c r="GL150" i="1"/>
  <c r="BR150" i="1" s="1"/>
  <c r="GL151" i="1"/>
  <c r="BR151" i="1" s="1"/>
  <c r="GL152" i="1"/>
  <c r="BR152" i="1" s="1"/>
  <c r="GL153" i="1"/>
  <c r="BR153" i="1" s="1"/>
  <c r="GL154" i="1"/>
  <c r="BR154" i="1" s="1"/>
  <c r="GL155" i="1"/>
  <c r="BR155" i="1" s="1"/>
  <c r="GL156" i="1"/>
  <c r="BR156" i="1" s="1"/>
  <c r="GL157" i="1"/>
  <c r="BR157" i="1" s="1"/>
  <c r="GL158" i="1"/>
  <c r="BR158" i="1" s="1"/>
  <c r="GL159" i="1"/>
  <c r="BR159" i="1" s="1"/>
  <c r="GL233" i="1"/>
  <c r="BR233" i="1" s="1"/>
  <c r="GL294" i="1"/>
  <c r="BR294" i="1" s="1"/>
  <c r="GL162" i="1"/>
  <c r="BR162" i="1" s="1"/>
  <c r="GL163" i="1"/>
  <c r="BR163" i="1" s="1"/>
  <c r="GL164" i="1"/>
  <c r="BR164" i="1" s="1"/>
  <c r="GL165" i="1"/>
  <c r="BR165" i="1" s="1"/>
  <c r="GL166" i="1"/>
  <c r="BR166" i="1" s="1"/>
  <c r="GL27" i="1"/>
  <c r="BR27" i="1" s="1"/>
  <c r="GL215" i="1"/>
  <c r="BR215" i="1" s="1"/>
  <c r="GL169" i="1"/>
  <c r="BR169" i="1" s="1"/>
  <c r="GL170" i="1"/>
  <c r="BR170" i="1" s="1"/>
  <c r="GL73" i="1"/>
  <c r="BR73" i="1" s="1"/>
  <c r="GL172" i="1"/>
  <c r="BR172" i="1" s="1"/>
  <c r="GL173" i="1"/>
  <c r="BR173" i="1" s="1"/>
  <c r="GL113" i="1"/>
  <c r="BR113" i="1" s="1"/>
  <c r="GL299" i="1"/>
  <c r="BR299" i="1" s="1"/>
  <c r="GL338" i="1"/>
  <c r="BR338" i="1" s="1"/>
  <c r="GL177" i="1"/>
  <c r="BR177" i="1" s="1"/>
  <c r="GL178" i="1"/>
  <c r="BR178" i="1" s="1"/>
  <c r="GL179" i="1"/>
  <c r="BR179" i="1" s="1"/>
  <c r="GL47" i="1"/>
  <c r="BR47" i="1" s="1"/>
  <c r="GL181" i="1"/>
  <c r="BR181" i="1" s="1"/>
  <c r="GL182" i="1"/>
  <c r="BR182" i="1" s="1"/>
  <c r="GL183" i="1"/>
  <c r="BR183" i="1" s="1"/>
  <c r="GL184" i="1"/>
  <c r="BR184" i="1" s="1"/>
  <c r="GL242" i="1"/>
  <c r="BR242" i="1" s="1"/>
  <c r="GL186" i="1"/>
  <c r="BR186" i="1" s="1"/>
  <c r="GL187" i="1"/>
  <c r="BR187" i="1" s="1"/>
  <c r="GL188" i="1"/>
  <c r="BR188" i="1" s="1"/>
  <c r="GL325" i="1"/>
  <c r="BR325" i="1" s="1"/>
  <c r="GL190" i="1"/>
  <c r="BR190" i="1" s="1"/>
  <c r="GL191" i="1"/>
  <c r="BR191" i="1" s="1"/>
  <c r="GL192" i="1"/>
  <c r="BR192" i="1" s="1"/>
  <c r="GL193" i="1"/>
  <c r="BR193" i="1" s="1"/>
  <c r="GL194" i="1"/>
  <c r="BR194" i="1" s="1"/>
  <c r="GL195" i="1"/>
  <c r="BR195" i="1" s="1"/>
  <c r="GL196" i="1"/>
  <c r="BR196" i="1" s="1"/>
  <c r="GL79" i="1"/>
  <c r="BR79" i="1" s="1"/>
  <c r="GL198" i="1"/>
  <c r="BR198" i="1" s="1"/>
  <c r="GL199" i="1"/>
  <c r="BR199" i="1" s="1"/>
  <c r="GL200" i="1"/>
  <c r="BR200" i="1" s="1"/>
  <c r="GL201" i="1"/>
  <c r="BR201" i="1" s="1"/>
  <c r="GL202" i="1"/>
  <c r="BR202" i="1" s="1"/>
  <c r="GL203" i="1"/>
  <c r="BR203" i="1" s="1"/>
  <c r="GL204" i="1"/>
  <c r="BR204" i="1" s="1"/>
  <c r="GL161" i="1"/>
  <c r="BR161" i="1" s="1"/>
  <c r="GL206" i="1"/>
  <c r="BR206" i="1" s="1"/>
  <c r="GL39" i="1"/>
  <c r="BR39" i="1" s="1"/>
  <c r="GL208" i="1"/>
  <c r="BR208" i="1" s="1"/>
  <c r="GL176" i="1"/>
  <c r="BR176" i="1" s="1"/>
  <c r="GL210" i="1"/>
  <c r="BR210" i="1" s="1"/>
  <c r="GL344" i="1"/>
  <c r="BR344" i="1" s="1"/>
  <c r="GL212" i="1"/>
  <c r="BR212" i="1" s="1"/>
  <c r="GL174" i="1"/>
  <c r="BR174" i="1" s="1"/>
  <c r="GL214" i="1"/>
  <c r="BR214" i="1" s="1"/>
  <c r="GL256" i="1"/>
  <c r="BR256" i="1" s="1"/>
  <c r="GL222" i="1"/>
  <c r="BR222" i="1" s="1"/>
  <c r="GL217" i="1"/>
  <c r="BR217" i="1" s="1"/>
  <c r="GL218" i="1"/>
  <c r="BR218" i="1" s="1"/>
  <c r="GL219" i="1"/>
  <c r="BR219" i="1" s="1"/>
  <c r="GL220" i="1"/>
  <c r="BR220" i="1" s="1"/>
  <c r="GL205" i="1"/>
  <c r="BR205" i="1" s="1"/>
  <c r="GL103" i="1"/>
  <c r="BR103" i="1" s="1"/>
  <c r="GL223" i="1"/>
  <c r="BR223" i="1" s="1"/>
  <c r="GL224" i="1"/>
  <c r="BR224" i="1" s="1"/>
  <c r="GL225" i="1"/>
  <c r="BR225" i="1" s="1"/>
  <c r="GL226" i="1"/>
  <c r="BR226" i="1" s="1"/>
  <c r="GL227" i="1"/>
  <c r="BR227" i="1" s="1"/>
  <c r="GL228" i="1"/>
  <c r="BR228" i="1" s="1"/>
  <c r="GL229" i="1"/>
  <c r="BR229" i="1" s="1"/>
  <c r="GL230" i="1"/>
  <c r="BR230" i="1" s="1"/>
  <c r="GL231" i="1"/>
  <c r="BR231" i="1" s="1"/>
  <c r="GL232" i="1"/>
  <c r="BR232" i="1" s="1"/>
  <c r="GL292" i="1"/>
  <c r="BR292" i="1" s="1"/>
  <c r="GL234" i="1"/>
  <c r="BR234" i="1" s="1"/>
  <c r="GL235" i="1"/>
  <c r="BR235" i="1" s="1"/>
  <c r="GL371" i="1"/>
  <c r="BR371" i="1" s="1"/>
  <c r="GL237" i="1"/>
  <c r="BR237" i="1" s="1"/>
  <c r="GL238" i="1"/>
  <c r="BR238" i="1" s="1"/>
  <c r="GL2" i="1"/>
  <c r="BR2" i="1" s="1"/>
  <c r="GL189" i="1"/>
  <c r="BR189" i="1" s="1"/>
  <c r="GL241" i="1"/>
  <c r="BR241" i="1" s="1"/>
  <c r="GL160" i="1"/>
  <c r="BR160" i="1" s="1"/>
  <c r="GL243" i="1"/>
  <c r="BR243" i="1" s="1"/>
  <c r="GL244" i="1"/>
  <c r="BR244" i="1" s="1"/>
  <c r="GL245" i="1"/>
  <c r="BR245" i="1" s="1"/>
  <c r="GL246" i="1"/>
  <c r="BR246" i="1" s="1"/>
  <c r="GL247" i="1"/>
  <c r="BR247" i="1" s="1"/>
  <c r="GL248" i="1"/>
  <c r="BR248" i="1" s="1"/>
  <c r="GL249" i="1"/>
  <c r="BR249" i="1" s="1"/>
  <c r="GL250" i="1"/>
  <c r="BR250" i="1" s="1"/>
  <c r="GL251" i="1"/>
  <c r="BR251" i="1" s="1"/>
  <c r="GL252" i="1"/>
  <c r="BR252" i="1" s="1"/>
  <c r="GL253" i="1"/>
  <c r="BR253" i="1" s="1"/>
  <c r="GL254" i="1"/>
  <c r="BR254" i="1" s="1"/>
  <c r="GL255" i="1"/>
  <c r="BR255" i="1" s="1"/>
  <c r="GL213" i="1"/>
  <c r="BR213" i="1" s="1"/>
  <c r="GL257" i="1"/>
  <c r="BR257" i="1" s="1"/>
  <c r="GL258" i="1"/>
  <c r="BR258" i="1" s="1"/>
  <c r="GL259" i="1"/>
  <c r="BR259" i="1" s="1"/>
  <c r="GL260" i="1"/>
  <c r="BR260" i="1" s="1"/>
  <c r="GL261" i="1"/>
  <c r="BR261" i="1" s="1"/>
  <c r="GL262" i="1"/>
  <c r="BR262" i="1" s="1"/>
  <c r="GL263" i="1"/>
  <c r="BR263" i="1" s="1"/>
  <c r="GL264" i="1"/>
  <c r="BR264" i="1" s="1"/>
  <c r="GL265" i="1"/>
  <c r="BR265" i="1" s="1"/>
  <c r="GL34" i="1"/>
  <c r="BR34" i="1" s="1"/>
  <c r="GL267" i="1"/>
  <c r="BR267" i="1" s="1"/>
  <c r="GL268" i="1"/>
  <c r="BR268" i="1" s="1"/>
  <c r="GL269" i="1"/>
  <c r="BR269" i="1" s="1"/>
  <c r="GL270" i="1"/>
  <c r="BR270" i="1" s="1"/>
  <c r="GL271" i="1"/>
  <c r="BR271" i="1" s="1"/>
  <c r="GL272" i="1"/>
  <c r="BR272" i="1" s="1"/>
  <c r="GL273" i="1"/>
  <c r="BR273" i="1" s="1"/>
  <c r="GL274" i="1"/>
  <c r="BR274" i="1" s="1"/>
  <c r="GL275" i="1"/>
  <c r="BR275" i="1" s="1"/>
  <c r="GL276" i="1"/>
  <c r="BR276" i="1" s="1"/>
  <c r="GL277" i="1"/>
  <c r="BR277" i="1" s="1"/>
  <c r="GL171" i="1"/>
  <c r="BR171" i="1" s="1"/>
  <c r="GL279" i="1"/>
  <c r="BR279" i="1" s="1"/>
  <c r="GL280" i="1"/>
  <c r="BR280" i="1" s="1"/>
  <c r="GL281" i="1"/>
  <c r="BR281" i="1" s="1"/>
  <c r="GL126" i="1"/>
  <c r="BR126" i="1" s="1"/>
  <c r="GL283" i="1"/>
  <c r="BR283" i="1" s="1"/>
  <c r="GL284" i="1"/>
  <c r="BR284" i="1" s="1"/>
  <c r="GL285" i="1"/>
  <c r="BR285" i="1" s="1"/>
  <c r="GL286" i="1"/>
  <c r="BR286" i="1" s="1"/>
  <c r="GL287" i="1"/>
  <c r="BR287" i="1" s="1"/>
  <c r="GL288" i="1"/>
  <c r="BR288" i="1" s="1"/>
  <c r="GL289" i="1"/>
  <c r="BR289" i="1" s="1"/>
  <c r="GL290" i="1"/>
  <c r="BR290" i="1" s="1"/>
  <c r="GL291" i="1"/>
  <c r="BR291" i="1" s="1"/>
  <c r="GL354" i="1"/>
  <c r="BR354" i="1" s="1"/>
  <c r="GL293" i="1"/>
  <c r="BR293" i="1" s="1"/>
  <c r="GL180" i="1"/>
  <c r="BR180" i="1" s="1"/>
  <c r="GL295" i="1"/>
  <c r="BR295" i="1" s="1"/>
  <c r="GL296" i="1"/>
  <c r="BR296" i="1" s="1"/>
  <c r="GL297" i="1"/>
  <c r="BR297" i="1" s="1"/>
  <c r="GL298" i="1"/>
  <c r="BR298" i="1" s="1"/>
  <c r="GL167" i="1"/>
  <c r="BR167" i="1" s="1"/>
  <c r="GL300" i="1"/>
  <c r="BR300" i="1" s="1"/>
  <c r="GL301" i="1"/>
  <c r="BR301" i="1" s="1"/>
  <c r="GL302" i="1"/>
  <c r="BR302" i="1" s="1"/>
  <c r="GL303" i="1"/>
  <c r="BR303" i="1" s="1"/>
  <c r="GL304" i="1"/>
  <c r="BR304" i="1" s="1"/>
  <c r="GL305" i="1"/>
  <c r="BR305" i="1" s="1"/>
  <c r="GL306" i="1"/>
  <c r="BR306" i="1" s="1"/>
  <c r="GL307" i="1"/>
  <c r="BR307" i="1" s="1"/>
  <c r="GL308" i="1"/>
  <c r="BR308" i="1" s="1"/>
  <c r="GL309" i="1"/>
  <c r="BR309" i="1" s="1"/>
  <c r="GL310" i="1"/>
  <c r="BR310" i="1" s="1"/>
  <c r="GL311" i="1"/>
  <c r="BR311" i="1" s="1"/>
  <c r="GL312" i="1"/>
  <c r="BR312" i="1" s="1"/>
  <c r="GL313" i="1"/>
  <c r="BR313" i="1" s="1"/>
  <c r="GL314" i="1"/>
  <c r="BR314" i="1" s="1"/>
  <c r="GL315" i="1"/>
  <c r="BR315" i="1" s="1"/>
  <c r="GL316" i="1"/>
  <c r="BR316" i="1" s="1"/>
  <c r="GL317" i="1"/>
  <c r="BR317" i="1" s="1"/>
  <c r="GL318" i="1"/>
  <c r="BR318" i="1" s="1"/>
  <c r="GL319" i="1"/>
  <c r="BR319" i="1" s="1"/>
  <c r="GL320" i="1"/>
  <c r="BR320" i="1" s="1"/>
  <c r="GL321" i="1"/>
  <c r="BR321" i="1" s="1"/>
  <c r="GL322" i="1"/>
  <c r="BR322" i="1" s="1"/>
  <c r="GL323" i="1"/>
  <c r="BR323" i="1" s="1"/>
  <c r="GL367" i="1"/>
  <c r="BR367" i="1" s="1"/>
  <c r="GL349" i="1"/>
  <c r="BR349" i="1" s="1"/>
  <c r="GL326" i="1"/>
  <c r="BR326" i="1" s="1"/>
  <c r="GL327" i="1"/>
  <c r="BR327" i="1" s="1"/>
  <c r="GL328" i="1"/>
  <c r="BR328" i="1" s="1"/>
  <c r="GL329" i="1"/>
  <c r="BR329" i="1" s="1"/>
  <c r="GL330" i="1"/>
  <c r="BR330" i="1" s="1"/>
  <c r="GL331" i="1"/>
  <c r="BR331" i="1" s="1"/>
  <c r="GL332" i="1"/>
  <c r="BR332" i="1" s="1"/>
  <c r="GL333" i="1"/>
  <c r="BR333" i="1" s="1"/>
  <c r="GL334" i="1"/>
  <c r="BR334" i="1" s="1"/>
  <c r="GL335" i="1"/>
  <c r="BR335" i="1" s="1"/>
  <c r="GL336" i="1"/>
  <c r="BR336" i="1" s="1"/>
  <c r="GL337" i="1"/>
  <c r="BR337" i="1" s="1"/>
  <c r="GL211" i="1"/>
  <c r="BR211" i="1" s="1"/>
  <c r="GL339" i="1"/>
  <c r="BR339" i="1" s="1"/>
  <c r="GL340" i="1"/>
  <c r="BR340" i="1" s="1"/>
  <c r="GL341" i="1"/>
  <c r="BR341" i="1" s="1"/>
  <c r="GL342" i="1"/>
  <c r="BR342" i="1" s="1"/>
  <c r="GL343" i="1"/>
  <c r="BR343" i="1" s="1"/>
  <c r="GL346" i="1"/>
  <c r="BR346" i="1" s="1"/>
  <c r="GL345" i="1"/>
  <c r="BR345" i="1" s="1"/>
  <c r="GL282" i="1"/>
  <c r="BR282" i="1" s="1"/>
  <c r="GL347" i="1"/>
  <c r="BR347" i="1" s="1"/>
  <c r="GL348" i="1"/>
  <c r="BR348" i="1" s="1"/>
  <c r="GL239" i="1"/>
  <c r="BR239" i="1" s="1"/>
  <c r="GL350" i="1"/>
  <c r="BR350" i="1" s="1"/>
  <c r="GL351" i="1"/>
  <c r="BR351" i="1" s="1"/>
  <c r="GL352" i="1"/>
  <c r="BR352" i="1" s="1"/>
  <c r="GL353" i="1"/>
  <c r="BR353" i="1" s="1"/>
  <c r="GL137" i="1"/>
  <c r="BR137" i="1" s="1"/>
  <c r="GL355" i="1"/>
  <c r="BR355" i="1" s="1"/>
  <c r="GL356" i="1"/>
  <c r="BR356" i="1" s="1"/>
  <c r="GL357" i="1"/>
  <c r="BR357" i="1" s="1"/>
  <c r="GL358" i="1"/>
  <c r="BR358" i="1" s="1"/>
  <c r="GL359" i="1"/>
  <c r="BR359" i="1" s="1"/>
  <c r="GL360" i="1"/>
  <c r="BR360" i="1" s="1"/>
  <c r="GL143" i="1"/>
  <c r="BR143" i="1" s="1"/>
  <c r="GL362" i="1"/>
  <c r="BR362" i="1" s="1"/>
  <c r="GL363" i="1"/>
  <c r="BR363" i="1" s="1"/>
  <c r="GL364" i="1"/>
  <c r="BR364" i="1" s="1"/>
  <c r="GL365" i="1"/>
  <c r="BR365" i="1" s="1"/>
  <c r="GL366" i="1"/>
  <c r="BR366" i="1" s="1"/>
  <c r="GL324" i="1"/>
  <c r="BR324" i="1" s="1"/>
  <c r="GL368" i="1"/>
  <c r="BR368" i="1" s="1"/>
  <c r="GL369" i="1"/>
  <c r="BR369" i="1" s="1"/>
  <c r="GL370" i="1"/>
  <c r="BR370" i="1" s="1"/>
  <c r="GL236" i="1"/>
  <c r="BR236" i="1" s="1"/>
  <c r="GL23" i="1"/>
  <c r="BR23" i="1" s="1"/>
  <c r="GG236" i="1"/>
  <c r="GF236" i="1"/>
  <c r="GE236" i="1"/>
  <c r="GD236" i="1"/>
  <c r="GC236" i="1"/>
  <c r="GG370" i="1"/>
  <c r="GF370" i="1"/>
  <c r="GE370" i="1"/>
  <c r="GD370" i="1"/>
  <c r="GC370" i="1"/>
  <c r="GG369" i="1"/>
  <c r="GF369" i="1"/>
  <c r="GE369" i="1"/>
  <c r="GD369" i="1"/>
  <c r="GC369" i="1"/>
  <c r="GG368" i="1"/>
  <c r="GF368" i="1"/>
  <c r="GE368" i="1"/>
  <c r="GD368" i="1"/>
  <c r="GC368" i="1"/>
  <c r="GG324" i="1"/>
  <c r="GF324" i="1"/>
  <c r="GE324" i="1"/>
  <c r="GD324" i="1"/>
  <c r="GC324" i="1"/>
  <c r="GG366" i="1"/>
  <c r="GF366" i="1"/>
  <c r="GE366" i="1"/>
  <c r="GD366" i="1"/>
  <c r="GC366" i="1"/>
  <c r="GG365" i="1"/>
  <c r="GF365" i="1"/>
  <c r="GE365" i="1"/>
  <c r="GD365" i="1"/>
  <c r="GC365" i="1"/>
  <c r="GG364" i="1"/>
  <c r="GF364" i="1"/>
  <c r="GE364" i="1"/>
  <c r="GD364" i="1"/>
  <c r="GC364" i="1"/>
  <c r="GG363" i="1"/>
  <c r="GF363" i="1"/>
  <c r="GE363" i="1"/>
  <c r="GD363" i="1"/>
  <c r="GC363" i="1"/>
  <c r="GG362" i="1"/>
  <c r="GF362" i="1"/>
  <c r="GE362" i="1"/>
  <c r="GD362" i="1"/>
  <c r="GC362" i="1"/>
  <c r="GG143" i="1"/>
  <c r="GF143" i="1"/>
  <c r="GE143" i="1"/>
  <c r="GD143" i="1"/>
  <c r="GC143" i="1"/>
  <c r="GG360" i="1"/>
  <c r="GF360" i="1"/>
  <c r="GE360" i="1"/>
  <c r="GD360" i="1"/>
  <c r="GC360" i="1"/>
  <c r="GG359" i="1"/>
  <c r="GF359" i="1"/>
  <c r="GE359" i="1"/>
  <c r="GD359" i="1"/>
  <c r="GC359" i="1"/>
  <c r="GG358" i="1"/>
  <c r="GF358" i="1"/>
  <c r="GE358" i="1"/>
  <c r="GD358" i="1"/>
  <c r="GC358" i="1"/>
  <c r="GG357" i="1"/>
  <c r="GF357" i="1"/>
  <c r="GE357" i="1"/>
  <c r="GD357" i="1"/>
  <c r="GC357" i="1"/>
  <c r="GG356" i="1"/>
  <c r="GF356" i="1"/>
  <c r="GE356" i="1"/>
  <c r="GD356" i="1"/>
  <c r="GC356" i="1"/>
  <c r="GG355" i="1"/>
  <c r="GF355" i="1"/>
  <c r="GE355" i="1"/>
  <c r="GD355" i="1"/>
  <c r="GC355" i="1"/>
  <c r="GG137" i="1"/>
  <c r="GF137" i="1"/>
  <c r="GE137" i="1"/>
  <c r="GD137" i="1"/>
  <c r="GC137" i="1"/>
  <c r="GG353" i="1"/>
  <c r="GF353" i="1"/>
  <c r="GE353" i="1"/>
  <c r="GD353" i="1"/>
  <c r="GC353" i="1"/>
  <c r="GG352" i="1"/>
  <c r="GF352" i="1"/>
  <c r="GE352" i="1"/>
  <c r="GD352" i="1"/>
  <c r="GC352" i="1"/>
  <c r="GG351" i="1"/>
  <c r="GF351" i="1"/>
  <c r="GE351" i="1"/>
  <c r="GD351" i="1"/>
  <c r="GC351" i="1"/>
  <c r="GG350" i="1"/>
  <c r="GF350" i="1"/>
  <c r="GE350" i="1"/>
  <c r="GD350" i="1"/>
  <c r="GC350" i="1"/>
  <c r="GG239" i="1"/>
  <c r="GF239" i="1"/>
  <c r="GE239" i="1"/>
  <c r="GD239" i="1"/>
  <c r="GC239" i="1"/>
  <c r="GG348" i="1"/>
  <c r="GF348" i="1"/>
  <c r="GE348" i="1"/>
  <c r="GD348" i="1"/>
  <c r="GC348" i="1"/>
  <c r="GG347" i="1"/>
  <c r="GF347" i="1"/>
  <c r="GE347" i="1"/>
  <c r="GD347" i="1"/>
  <c r="GC347" i="1"/>
  <c r="GG282" i="1"/>
  <c r="GF282" i="1"/>
  <c r="GE282" i="1"/>
  <c r="GD282" i="1"/>
  <c r="GC282" i="1"/>
  <c r="GG345" i="1"/>
  <c r="GF345" i="1"/>
  <c r="GE345" i="1"/>
  <c r="GD345" i="1"/>
  <c r="GC345" i="1"/>
  <c r="GG346" i="1"/>
  <c r="GF346" i="1"/>
  <c r="GE346" i="1"/>
  <c r="GD346" i="1"/>
  <c r="GC346" i="1"/>
  <c r="GG343" i="1"/>
  <c r="GF343" i="1"/>
  <c r="GE343" i="1"/>
  <c r="GD343" i="1"/>
  <c r="GC343" i="1"/>
  <c r="GG342" i="1"/>
  <c r="GF342" i="1"/>
  <c r="GE342" i="1"/>
  <c r="GD342" i="1"/>
  <c r="GC342" i="1"/>
  <c r="GG341" i="1"/>
  <c r="GF341" i="1"/>
  <c r="GE341" i="1"/>
  <c r="GD341" i="1"/>
  <c r="GC341" i="1"/>
  <c r="GG340" i="1"/>
  <c r="GF340" i="1"/>
  <c r="GE340" i="1"/>
  <c r="GD340" i="1"/>
  <c r="GC340" i="1"/>
  <c r="GG339" i="1"/>
  <c r="GF339" i="1"/>
  <c r="GE339" i="1"/>
  <c r="GD339" i="1"/>
  <c r="GC339" i="1"/>
  <c r="GG211" i="1"/>
  <c r="GF211" i="1"/>
  <c r="GE211" i="1"/>
  <c r="GD211" i="1"/>
  <c r="GC211" i="1"/>
  <c r="GG337" i="1"/>
  <c r="GF337" i="1"/>
  <c r="GE337" i="1"/>
  <c r="GD337" i="1"/>
  <c r="GC337" i="1"/>
  <c r="GG336" i="1"/>
  <c r="GF336" i="1"/>
  <c r="GE336" i="1"/>
  <c r="GD336" i="1"/>
  <c r="GC336" i="1"/>
  <c r="GG335" i="1"/>
  <c r="GF335" i="1"/>
  <c r="GE335" i="1"/>
  <c r="GD335" i="1"/>
  <c r="GC335" i="1"/>
  <c r="GG334" i="1"/>
  <c r="GF334" i="1"/>
  <c r="GE334" i="1"/>
  <c r="GD334" i="1"/>
  <c r="GC334" i="1"/>
  <c r="GG333" i="1"/>
  <c r="GF333" i="1"/>
  <c r="GE333" i="1"/>
  <c r="GD333" i="1"/>
  <c r="GC333" i="1"/>
  <c r="GG332" i="1"/>
  <c r="GF332" i="1"/>
  <c r="GE332" i="1"/>
  <c r="GD332" i="1"/>
  <c r="GC332" i="1"/>
  <c r="GG331" i="1"/>
  <c r="GF331" i="1"/>
  <c r="GE331" i="1"/>
  <c r="GD331" i="1"/>
  <c r="GC331" i="1"/>
  <c r="GG330" i="1"/>
  <c r="GF330" i="1"/>
  <c r="GE330" i="1"/>
  <c r="GD330" i="1"/>
  <c r="GC330" i="1"/>
  <c r="GG329" i="1"/>
  <c r="GF329" i="1"/>
  <c r="GE329" i="1"/>
  <c r="GD329" i="1"/>
  <c r="GC329" i="1"/>
  <c r="GG328" i="1"/>
  <c r="GF328" i="1"/>
  <c r="GE328" i="1"/>
  <c r="GD328" i="1"/>
  <c r="GC328" i="1"/>
  <c r="GG327" i="1"/>
  <c r="GF327" i="1"/>
  <c r="GE327" i="1"/>
  <c r="GD327" i="1"/>
  <c r="GC327" i="1"/>
  <c r="GG326" i="1"/>
  <c r="GF326" i="1"/>
  <c r="GE326" i="1"/>
  <c r="GD326" i="1"/>
  <c r="GC326" i="1"/>
  <c r="GG349" i="1"/>
  <c r="GF349" i="1"/>
  <c r="GE349" i="1"/>
  <c r="GD349" i="1"/>
  <c r="GC349" i="1"/>
  <c r="GG367" i="1"/>
  <c r="GF367" i="1"/>
  <c r="GE367" i="1"/>
  <c r="GD367" i="1"/>
  <c r="GC367" i="1"/>
  <c r="GG323" i="1"/>
  <c r="GF323" i="1"/>
  <c r="GE323" i="1"/>
  <c r="GD323" i="1"/>
  <c r="GC323" i="1"/>
  <c r="GG322" i="1"/>
  <c r="GF322" i="1"/>
  <c r="GE322" i="1"/>
  <c r="GD322" i="1"/>
  <c r="GC322" i="1"/>
  <c r="GG321" i="1"/>
  <c r="GF321" i="1"/>
  <c r="GE321" i="1"/>
  <c r="GD321" i="1"/>
  <c r="GC321" i="1"/>
  <c r="GG320" i="1"/>
  <c r="GF320" i="1"/>
  <c r="GE320" i="1"/>
  <c r="GD320" i="1"/>
  <c r="GC320" i="1"/>
  <c r="GG319" i="1"/>
  <c r="GF319" i="1"/>
  <c r="GE319" i="1"/>
  <c r="GD319" i="1"/>
  <c r="GC319" i="1"/>
  <c r="GG318" i="1"/>
  <c r="GF318" i="1"/>
  <c r="GE318" i="1"/>
  <c r="GD318" i="1"/>
  <c r="GC318" i="1"/>
  <c r="GG317" i="1"/>
  <c r="GF317" i="1"/>
  <c r="GE317" i="1"/>
  <c r="GD317" i="1"/>
  <c r="GC317" i="1"/>
  <c r="GG316" i="1"/>
  <c r="GF316" i="1"/>
  <c r="GE316" i="1"/>
  <c r="GD316" i="1"/>
  <c r="GC316" i="1"/>
  <c r="GG315" i="1"/>
  <c r="GF315" i="1"/>
  <c r="GE315" i="1"/>
  <c r="GD315" i="1"/>
  <c r="GC315" i="1"/>
  <c r="GG314" i="1"/>
  <c r="GF314" i="1"/>
  <c r="GE314" i="1"/>
  <c r="GD314" i="1"/>
  <c r="GC314" i="1"/>
  <c r="GG313" i="1"/>
  <c r="GF313" i="1"/>
  <c r="GE313" i="1"/>
  <c r="GD313" i="1"/>
  <c r="GC313" i="1"/>
  <c r="GG312" i="1"/>
  <c r="GF312" i="1"/>
  <c r="GE312" i="1"/>
  <c r="GD312" i="1"/>
  <c r="GC312" i="1"/>
  <c r="GG311" i="1"/>
  <c r="GF311" i="1"/>
  <c r="GE311" i="1"/>
  <c r="GD311" i="1"/>
  <c r="GC311" i="1"/>
  <c r="GG310" i="1"/>
  <c r="GF310" i="1"/>
  <c r="GE310" i="1"/>
  <c r="GD310" i="1"/>
  <c r="GC310" i="1"/>
  <c r="GG309" i="1"/>
  <c r="GF309" i="1"/>
  <c r="GE309" i="1"/>
  <c r="GD309" i="1"/>
  <c r="GC309" i="1"/>
  <c r="GG308" i="1"/>
  <c r="GF308" i="1"/>
  <c r="GE308" i="1"/>
  <c r="GD308" i="1"/>
  <c r="GC308" i="1"/>
  <c r="GG307" i="1"/>
  <c r="GF307" i="1"/>
  <c r="GE307" i="1"/>
  <c r="GD307" i="1"/>
  <c r="GC307" i="1"/>
  <c r="GG306" i="1"/>
  <c r="GF306" i="1"/>
  <c r="GE306" i="1"/>
  <c r="GD306" i="1"/>
  <c r="GC306" i="1"/>
  <c r="GG305" i="1"/>
  <c r="GF305" i="1"/>
  <c r="GE305" i="1"/>
  <c r="GD305" i="1"/>
  <c r="GC305" i="1"/>
  <c r="GG304" i="1"/>
  <c r="GF304" i="1"/>
  <c r="GE304" i="1"/>
  <c r="GD304" i="1"/>
  <c r="GC304" i="1"/>
  <c r="GG303" i="1"/>
  <c r="GF303" i="1"/>
  <c r="GE303" i="1"/>
  <c r="GD303" i="1"/>
  <c r="GC303" i="1"/>
  <c r="GG302" i="1"/>
  <c r="GF302" i="1"/>
  <c r="GE302" i="1"/>
  <c r="GD302" i="1"/>
  <c r="GC302" i="1"/>
  <c r="GG301" i="1"/>
  <c r="GF301" i="1"/>
  <c r="GE301" i="1"/>
  <c r="GD301" i="1"/>
  <c r="GC301" i="1"/>
  <c r="GG300" i="1"/>
  <c r="GF300" i="1"/>
  <c r="GE300" i="1"/>
  <c r="GD300" i="1"/>
  <c r="GC300" i="1"/>
  <c r="GG167" i="1"/>
  <c r="GF167" i="1"/>
  <c r="GE167" i="1"/>
  <c r="GD167" i="1"/>
  <c r="GC167" i="1"/>
  <c r="GG298" i="1"/>
  <c r="GF298" i="1"/>
  <c r="GE298" i="1"/>
  <c r="GD298" i="1"/>
  <c r="GC298" i="1"/>
  <c r="GG297" i="1"/>
  <c r="GF297" i="1"/>
  <c r="GE297" i="1"/>
  <c r="GD297" i="1"/>
  <c r="GC297" i="1"/>
  <c r="GG296" i="1"/>
  <c r="GF296" i="1"/>
  <c r="GE296" i="1"/>
  <c r="GD296" i="1"/>
  <c r="GC296" i="1"/>
  <c r="GG295" i="1"/>
  <c r="GF295" i="1"/>
  <c r="GE295" i="1"/>
  <c r="GD295" i="1"/>
  <c r="GC295" i="1"/>
  <c r="GG180" i="1"/>
  <c r="GF180" i="1"/>
  <c r="GE180" i="1"/>
  <c r="GD180" i="1"/>
  <c r="GC180" i="1"/>
  <c r="GG293" i="1"/>
  <c r="GF293" i="1"/>
  <c r="GE293" i="1"/>
  <c r="GD293" i="1"/>
  <c r="GC293" i="1"/>
  <c r="GG354" i="1"/>
  <c r="GF354" i="1"/>
  <c r="GE354" i="1"/>
  <c r="GD354" i="1"/>
  <c r="GC354" i="1"/>
  <c r="GG291" i="1"/>
  <c r="GF291" i="1"/>
  <c r="GE291" i="1"/>
  <c r="GD291" i="1"/>
  <c r="GC291" i="1"/>
  <c r="GG290" i="1"/>
  <c r="GF290" i="1"/>
  <c r="GE290" i="1"/>
  <c r="GD290" i="1"/>
  <c r="GC290" i="1"/>
  <c r="GG289" i="1"/>
  <c r="GF289" i="1"/>
  <c r="GE289" i="1"/>
  <c r="GD289" i="1"/>
  <c r="GC289" i="1"/>
  <c r="GG288" i="1"/>
  <c r="GF288" i="1"/>
  <c r="GE288" i="1"/>
  <c r="GD288" i="1"/>
  <c r="GC288" i="1"/>
  <c r="GG287" i="1"/>
  <c r="GF287" i="1"/>
  <c r="GE287" i="1"/>
  <c r="GD287" i="1"/>
  <c r="GC287" i="1"/>
  <c r="GG286" i="1"/>
  <c r="GF286" i="1"/>
  <c r="GE286" i="1"/>
  <c r="GD286" i="1"/>
  <c r="GC286" i="1"/>
  <c r="GG285" i="1"/>
  <c r="GF285" i="1"/>
  <c r="GE285" i="1"/>
  <c r="GD285" i="1"/>
  <c r="GC285" i="1"/>
  <c r="GG284" i="1"/>
  <c r="GF284" i="1"/>
  <c r="GE284" i="1"/>
  <c r="GD284" i="1"/>
  <c r="GC284" i="1"/>
  <c r="GG283" i="1"/>
  <c r="GF283" i="1"/>
  <c r="GE283" i="1"/>
  <c r="GD283" i="1"/>
  <c r="GC283" i="1"/>
  <c r="GG126" i="1"/>
  <c r="GF126" i="1"/>
  <c r="GE126" i="1"/>
  <c r="GD126" i="1"/>
  <c r="GC126" i="1"/>
  <c r="GG281" i="1"/>
  <c r="GF281" i="1"/>
  <c r="GE281" i="1"/>
  <c r="GD281" i="1"/>
  <c r="GC281" i="1"/>
  <c r="GG280" i="1"/>
  <c r="GF280" i="1"/>
  <c r="GE280" i="1"/>
  <c r="GD280" i="1"/>
  <c r="GC280" i="1"/>
  <c r="GG279" i="1"/>
  <c r="GF279" i="1"/>
  <c r="GE279" i="1"/>
  <c r="GD279" i="1"/>
  <c r="GC279" i="1"/>
  <c r="GG171" i="1"/>
  <c r="GF171" i="1"/>
  <c r="GE171" i="1"/>
  <c r="GD171" i="1"/>
  <c r="GC171" i="1"/>
  <c r="GG277" i="1"/>
  <c r="GF277" i="1"/>
  <c r="GE277" i="1"/>
  <c r="GD277" i="1"/>
  <c r="GC277" i="1"/>
  <c r="GG276" i="1"/>
  <c r="GF276" i="1"/>
  <c r="GE276" i="1"/>
  <c r="GD276" i="1"/>
  <c r="GC276" i="1"/>
  <c r="GG275" i="1"/>
  <c r="GF275" i="1"/>
  <c r="GE275" i="1"/>
  <c r="GD275" i="1"/>
  <c r="GC275" i="1"/>
  <c r="GG274" i="1"/>
  <c r="GF274" i="1"/>
  <c r="GE274" i="1"/>
  <c r="GD274" i="1"/>
  <c r="GC274" i="1"/>
  <c r="GG273" i="1"/>
  <c r="GF273" i="1"/>
  <c r="GE273" i="1"/>
  <c r="GD273" i="1"/>
  <c r="GC273" i="1"/>
  <c r="GG272" i="1"/>
  <c r="GF272" i="1"/>
  <c r="GE272" i="1"/>
  <c r="GD272" i="1"/>
  <c r="GC272" i="1"/>
  <c r="GG271" i="1"/>
  <c r="GF271" i="1"/>
  <c r="GE271" i="1"/>
  <c r="GD271" i="1"/>
  <c r="GC271" i="1"/>
  <c r="GG270" i="1"/>
  <c r="GF270" i="1"/>
  <c r="GE270" i="1"/>
  <c r="GD270" i="1"/>
  <c r="GC270" i="1"/>
  <c r="GG269" i="1"/>
  <c r="GF269" i="1"/>
  <c r="GE269" i="1"/>
  <c r="GD269" i="1"/>
  <c r="GC269" i="1"/>
  <c r="GG268" i="1"/>
  <c r="GF268" i="1"/>
  <c r="GE268" i="1"/>
  <c r="GD268" i="1"/>
  <c r="GC268" i="1"/>
  <c r="GG267" i="1"/>
  <c r="GF267" i="1"/>
  <c r="GE267" i="1"/>
  <c r="GD267" i="1"/>
  <c r="GC267" i="1"/>
  <c r="GG34" i="1"/>
  <c r="GF34" i="1"/>
  <c r="GE34" i="1"/>
  <c r="GD34" i="1"/>
  <c r="GC34" i="1"/>
  <c r="GG265" i="1"/>
  <c r="GF265" i="1"/>
  <c r="GE265" i="1"/>
  <c r="GD265" i="1"/>
  <c r="GC265" i="1"/>
  <c r="GG264" i="1"/>
  <c r="GF264" i="1"/>
  <c r="GE264" i="1"/>
  <c r="GD264" i="1"/>
  <c r="GC264" i="1"/>
  <c r="GG263" i="1"/>
  <c r="GF263" i="1"/>
  <c r="GE263" i="1"/>
  <c r="GD263" i="1"/>
  <c r="GC263" i="1"/>
  <c r="GG262" i="1"/>
  <c r="GF262" i="1"/>
  <c r="GE262" i="1"/>
  <c r="GD262" i="1"/>
  <c r="GC262" i="1"/>
  <c r="GG261" i="1"/>
  <c r="GF261" i="1"/>
  <c r="GE261" i="1"/>
  <c r="GD261" i="1"/>
  <c r="GC261" i="1"/>
  <c r="GG260" i="1"/>
  <c r="GF260" i="1"/>
  <c r="GE260" i="1"/>
  <c r="GD260" i="1"/>
  <c r="GC260" i="1"/>
  <c r="GG259" i="1"/>
  <c r="GF259" i="1"/>
  <c r="GE259" i="1"/>
  <c r="GD259" i="1"/>
  <c r="GC259" i="1"/>
  <c r="GG258" i="1"/>
  <c r="GF258" i="1"/>
  <c r="GE258" i="1"/>
  <c r="GD258" i="1"/>
  <c r="GC258" i="1"/>
  <c r="GG257" i="1"/>
  <c r="GF257" i="1"/>
  <c r="GE257" i="1"/>
  <c r="GD257" i="1"/>
  <c r="GC257" i="1"/>
  <c r="GG213" i="1"/>
  <c r="GF213" i="1"/>
  <c r="GE213" i="1"/>
  <c r="GD213" i="1"/>
  <c r="GC213" i="1"/>
  <c r="GG255" i="1"/>
  <c r="GF255" i="1"/>
  <c r="GE255" i="1"/>
  <c r="GD255" i="1"/>
  <c r="GC255" i="1"/>
  <c r="GG254" i="1"/>
  <c r="GF254" i="1"/>
  <c r="GE254" i="1"/>
  <c r="GD254" i="1"/>
  <c r="GC254" i="1"/>
  <c r="GG253" i="1"/>
  <c r="GF253" i="1"/>
  <c r="GE253" i="1"/>
  <c r="GD253" i="1"/>
  <c r="GC253" i="1"/>
  <c r="GG252" i="1"/>
  <c r="GF252" i="1"/>
  <c r="GE252" i="1"/>
  <c r="GD252" i="1"/>
  <c r="GC252" i="1"/>
  <c r="GG251" i="1"/>
  <c r="GF251" i="1"/>
  <c r="GE251" i="1"/>
  <c r="GD251" i="1"/>
  <c r="GC251" i="1"/>
  <c r="GG250" i="1"/>
  <c r="GF250" i="1"/>
  <c r="GE250" i="1"/>
  <c r="GD250" i="1"/>
  <c r="GC250" i="1"/>
  <c r="GG249" i="1"/>
  <c r="GF249" i="1"/>
  <c r="GE249" i="1"/>
  <c r="GD249" i="1"/>
  <c r="GC249" i="1"/>
  <c r="GG248" i="1"/>
  <c r="GF248" i="1"/>
  <c r="GE248" i="1"/>
  <c r="GD248" i="1"/>
  <c r="GC248" i="1"/>
  <c r="GG247" i="1"/>
  <c r="GF247" i="1"/>
  <c r="GE247" i="1"/>
  <c r="GD247" i="1"/>
  <c r="GC247" i="1"/>
  <c r="GG246" i="1"/>
  <c r="GF246" i="1"/>
  <c r="GE246" i="1"/>
  <c r="GD246" i="1"/>
  <c r="GC246" i="1"/>
  <c r="GG245" i="1"/>
  <c r="GF245" i="1"/>
  <c r="GE245" i="1"/>
  <c r="GD245" i="1"/>
  <c r="GC245" i="1"/>
  <c r="GG244" i="1"/>
  <c r="GF244" i="1"/>
  <c r="GE244" i="1"/>
  <c r="GD244" i="1"/>
  <c r="GC244" i="1"/>
  <c r="GG243" i="1"/>
  <c r="GF243" i="1"/>
  <c r="GE243" i="1"/>
  <c r="GD243" i="1"/>
  <c r="GC243" i="1"/>
  <c r="GG160" i="1"/>
  <c r="GF160" i="1"/>
  <c r="GE160" i="1"/>
  <c r="GD160" i="1"/>
  <c r="GC160" i="1"/>
  <c r="GG241" i="1"/>
  <c r="GF241" i="1"/>
  <c r="GE241" i="1"/>
  <c r="GD241" i="1"/>
  <c r="GC241" i="1"/>
  <c r="GG189" i="1"/>
  <c r="GF189" i="1"/>
  <c r="GE189" i="1"/>
  <c r="GD189" i="1"/>
  <c r="GC189" i="1"/>
  <c r="GG2" i="1"/>
  <c r="GF2" i="1"/>
  <c r="GE2" i="1"/>
  <c r="GD2" i="1"/>
  <c r="GC2" i="1"/>
  <c r="GG238" i="1"/>
  <c r="GF238" i="1"/>
  <c r="GE238" i="1"/>
  <c r="GD238" i="1"/>
  <c r="GC238" i="1"/>
  <c r="GG237" i="1"/>
  <c r="GF237" i="1"/>
  <c r="GE237" i="1"/>
  <c r="GD237" i="1"/>
  <c r="GC237" i="1"/>
  <c r="GG371" i="1"/>
  <c r="GF371" i="1"/>
  <c r="GE371" i="1"/>
  <c r="GD371" i="1"/>
  <c r="GC371" i="1"/>
  <c r="GG235" i="1"/>
  <c r="GF235" i="1"/>
  <c r="GE235" i="1"/>
  <c r="GD235" i="1"/>
  <c r="GC235" i="1"/>
  <c r="GG234" i="1"/>
  <c r="GF234" i="1"/>
  <c r="GE234" i="1"/>
  <c r="GD234" i="1"/>
  <c r="GC234" i="1"/>
  <c r="GG292" i="1"/>
  <c r="GF292" i="1"/>
  <c r="GE292" i="1"/>
  <c r="GD292" i="1"/>
  <c r="GC292" i="1"/>
  <c r="GG232" i="1"/>
  <c r="GF232" i="1"/>
  <c r="GE232" i="1"/>
  <c r="GD232" i="1"/>
  <c r="GC232" i="1"/>
  <c r="GG231" i="1"/>
  <c r="GF231" i="1"/>
  <c r="GE231" i="1"/>
  <c r="GD231" i="1"/>
  <c r="GC231" i="1"/>
  <c r="GG230" i="1"/>
  <c r="GF230" i="1"/>
  <c r="GE230" i="1"/>
  <c r="GD230" i="1"/>
  <c r="GC230" i="1"/>
  <c r="GG229" i="1"/>
  <c r="GF229" i="1"/>
  <c r="GE229" i="1"/>
  <c r="GD229" i="1"/>
  <c r="GC229" i="1"/>
  <c r="GG228" i="1"/>
  <c r="GF228" i="1"/>
  <c r="GE228" i="1"/>
  <c r="GD228" i="1"/>
  <c r="GC228" i="1"/>
  <c r="GG227" i="1"/>
  <c r="GF227" i="1"/>
  <c r="GE227" i="1"/>
  <c r="GD227" i="1"/>
  <c r="GC227" i="1"/>
  <c r="GG226" i="1"/>
  <c r="GF226" i="1"/>
  <c r="GE226" i="1"/>
  <c r="GD226" i="1"/>
  <c r="GC226" i="1"/>
  <c r="GG225" i="1"/>
  <c r="GF225" i="1"/>
  <c r="GE225" i="1"/>
  <c r="GD225" i="1"/>
  <c r="GC225" i="1"/>
  <c r="GG224" i="1"/>
  <c r="GF224" i="1"/>
  <c r="GE224" i="1"/>
  <c r="GD224" i="1"/>
  <c r="GC224" i="1"/>
  <c r="GG223" i="1"/>
  <c r="GF223" i="1"/>
  <c r="GE223" i="1"/>
  <c r="GD223" i="1"/>
  <c r="GC223" i="1"/>
  <c r="GG103" i="1"/>
  <c r="GF103" i="1"/>
  <c r="GE103" i="1"/>
  <c r="GD103" i="1"/>
  <c r="GC103" i="1"/>
  <c r="GG205" i="1"/>
  <c r="GF205" i="1"/>
  <c r="GE205" i="1"/>
  <c r="GD205" i="1"/>
  <c r="GC205" i="1"/>
  <c r="GG220" i="1"/>
  <c r="GF220" i="1"/>
  <c r="GE220" i="1"/>
  <c r="GD220" i="1"/>
  <c r="GC220" i="1"/>
  <c r="GG219" i="1"/>
  <c r="GF219" i="1"/>
  <c r="GE219" i="1"/>
  <c r="GD219" i="1"/>
  <c r="GC219" i="1"/>
  <c r="GG218" i="1"/>
  <c r="GF218" i="1"/>
  <c r="GE218" i="1"/>
  <c r="GD218" i="1"/>
  <c r="GC218" i="1"/>
  <c r="GG217" i="1"/>
  <c r="GF217" i="1"/>
  <c r="GE217" i="1"/>
  <c r="GD217" i="1"/>
  <c r="GC217" i="1"/>
  <c r="GG222" i="1"/>
  <c r="GF222" i="1"/>
  <c r="GE222" i="1"/>
  <c r="GD222" i="1"/>
  <c r="GC222" i="1"/>
  <c r="GG256" i="1"/>
  <c r="GF256" i="1"/>
  <c r="GE256" i="1"/>
  <c r="GD256" i="1"/>
  <c r="GC256" i="1"/>
  <c r="GG214" i="1"/>
  <c r="GF214" i="1"/>
  <c r="GE214" i="1"/>
  <c r="GD214" i="1"/>
  <c r="GC214" i="1"/>
  <c r="GG174" i="1"/>
  <c r="GF174" i="1"/>
  <c r="GE174" i="1"/>
  <c r="GD174" i="1"/>
  <c r="GC174" i="1"/>
  <c r="GG212" i="1"/>
  <c r="GF212" i="1"/>
  <c r="GE212" i="1"/>
  <c r="GD212" i="1"/>
  <c r="GC212" i="1"/>
  <c r="GG344" i="1"/>
  <c r="GF344" i="1"/>
  <c r="GE344" i="1"/>
  <c r="GD344" i="1"/>
  <c r="GC344" i="1"/>
  <c r="GG210" i="1"/>
  <c r="GF210" i="1"/>
  <c r="GE210" i="1"/>
  <c r="GD210" i="1"/>
  <c r="GC210" i="1"/>
  <c r="GG176" i="1"/>
  <c r="GF176" i="1"/>
  <c r="GE176" i="1"/>
  <c r="GD176" i="1"/>
  <c r="GC176" i="1"/>
  <c r="GG208" i="1"/>
  <c r="GF208" i="1"/>
  <c r="GE208" i="1"/>
  <c r="GD208" i="1"/>
  <c r="GC208" i="1"/>
  <c r="GG39" i="1"/>
  <c r="GF39" i="1"/>
  <c r="GE39" i="1"/>
  <c r="GD39" i="1"/>
  <c r="GC39" i="1"/>
  <c r="GG206" i="1"/>
  <c r="GF206" i="1"/>
  <c r="GE206" i="1"/>
  <c r="GD206" i="1"/>
  <c r="GC206" i="1"/>
  <c r="GG161" i="1"/>
  <c r="GF161" i="1"/>
  <c r="GE161" i="1"/>
  <c r="GD161" i="1"/>
  <c r="GC161" i="1"/>
  <c r="GG204" i="1"/>
  <c r="GF204" i="1"/>
  <c r="GE204" i="1"/>
  <c r="GD204" i="1"/>
  <c r="GC204" i="1"/>
  <c r="GG203" i="1"/>
  <c r="GF203" i="1"/>
  <c r="GE203" i="1"/>
  <c r="GD203" i="1"/>
  <c r="GC203" i="1"/>
  <c r="GG202" i="1"/>
  <c r="GF202" i="1"/>
  <c r="GE202" i="1"/>
  <c r="GD202" i="1"/>
  <c r="GC202" i="1"/>
  <c r="GG201" i="1"/>
  <c r="GF201" i="1"/>
  <c r="GE201" i="1"/>
  <c r="GD201" i="1"/>
  <c r="GC201" i="1"/>
  <c r="GG200" i="1"/>
  <c r="GF200" i="1"/>
  <c r="GE200" i="1"/>
  <c r="GD200" i="1"/>
  <c r="GC200" i="1"/>
  <c r="GG199" i="1"/>
  <c r="GF199" i="1"/>
  <c r="GE199" i="1"/>
  <c r="GD199" i="1"/>
  <c r="GC199" i="1"/>
  <c r="GG198" i="1"/>
  <c r="GF198" i="1"/>
  <c r="GE198" i="1"/>
  <c r="GD198" i="1"/>
  <c r="GC198" i="1"/>
  <c r="GG79" i="1"/>
  <c r="GF79" i="1"/>
  <c r="GE79" i="1"/>
  <c r="GD79" i="1"/>
  <c r="GC79" i="1"/>
  <c r="GG196" i="1"/>
  <c r="GF196" i="1"/>
  <c r="GE196" i="1"/>
  <c r="GD196" i="1"/>
  <c r="GC196" i="1"/>
  <c r="GG195" i="1"/>
  <c r="GF195" i="1"/>
  <c r="GE195" i="1"/>
  <c r="GD195" i="1"/>
  <c r="GC195" i="1"/>
  <c r="GG194" i="1"/>
  <c r="GF194" i="1"/>
  <c r="GE194" i="1"/>
  <c r="GD194" i="1"/>
  <c r="GC194" i="1"/>
  <c r="GG193" i="1"/>
  <c r="GF193" i="1"/>
  <c r="GE193" i="1"/>
  <c r="GD193" i="1"/>
  <c r="GC193" i="1"/>
  <c r="GG192" i="1"/>
  <c r="GF192" i="1"/>
  <c r="GE192" i="1"/>
  <c r="GD192" i="1"/>
  <c r="GC192" i="1"/>
  <c r="GG191" i="1"/>
  <c r="GF191" i="1"/>
  <c r="GE191" i="1"/>
  <c r="GD191" i="1"/>
  <c r="GC191" i="1"/>
  <c r="GG190" i="1"/>
  <c r="GF190" i="1"/>
  <c r="GE190" i="1"/>
  <c r="GD190" i="1"/>
  <c r="GC190" i="1"/>
  <c r="GG325" i="1"/>
  <c r="GF325" i="1"/>
  <c r="GE325" i="1"/>
  <c r="GD325" i="1"/>
  <c r="GC325" i="1"/>
  <c r="GG188" i="1"/>
  <c r="GF188" i="1"/>
  <c r="GE188" i="1"/>
  <c r="GD188" i="1"/>
  <c r="GC188" i="1"/>
  <c r="GG187" i="1"/>
  <c r="GF187" i="1"/>
  <c r="GE187" i="1"/>
  <c r="GD187" i="1"/>
  <c r="GC187" i="1"/>
  <c r="GG186" i="1"/>
  <c r="GF186" i="1"/>
  <c r="GE186" i="1"/>
  <c r="GD186" i="1"/>
  <c r="GC186" i="1"/>
  <c r="GG242" i="1"/>
  <c r="GF242" i="1"/>
  <c r="GE242" i="1"/>
  <c r="GD242" i="1"/>
  <c r="GC242" i="1"/>
  <c r="GG184" i="1"/>
  <c r="GF184" i="1"/>
  <c r="GE184" i="1"/>
  <c r="GD184" i="1"/>
  <c r="GC184" i="1"/>
  <c r="GG183" i="1"/>
  <c r="GF183" i="1"/>
  <c r="GE183" i="1"/>
  <c r="GD183" i="1"/>
  <c r="GC183" i="1"/>
  <c r="GG182" i="1"/>
  <c r="GF182" i="1"/>
  <c r="GE182" i="1"/>
  <c r="GD182" i="1"/>
  <c r="GC182" i="1"/>
  <c r="GG181" i="1"/>
  <c r="GF181" i="1"/>
  <c r="GE181" i="1"/>
  <c r="GD181" i="1"/>
  <c r="GC181" i="1"/>
  <c r="GG47" i="1"/>
  <c r="GF47" i="1"/>
  <c r="GE47" i="1"/>
  <c r="GD47" i="1"/>
  <c r="GC47" i="1"/>
  <c r="GG179" i="1"/>
  <c r="GF179" i="1"/>
  <c r="GE179" i="1"/>
  <c r="GD179" i="1"/>
  <c r="GC179" i="1"/>
  <c r="GG178" i="1"/>
  <c r="GF178" i="1"/>
  <c r="GE178" i="1"/>
  <c r="GD178" i="1"/>
  <c r="GC178" i="1"/>
  <c r="GG177" i="1"/>
  <c r="GF177" i="1"/>
  <c r="GE177" i="1"/>
  <c r="GD177" i="1"/>
  <c r="GC177" i="1"/>
  <c r="GG338" i="1"/>
  <c r="GF338" i="1"/>
  <c r="GE338" i="1"/>
  <c r="GD338" i="1"/>
  <c r="GC338" i="1"/>
  <c r="GG299" i="1"/>
  <c r="GF299" i="1"/>
  <c r="GE299" i="1"/>
  <c r="GD299" i="1"/>
  <c r="GC299" i="1"/>
  <c r="GG113" i="1"/>
  <c r="GF113" i="1"/>
  <c r="GE113" i="1"/>
  <c r="GD113" i="1"/>
  <c r="GC113" i="1"/>
  <c r="GG173" i="1"/>
  <c r="GF173" i="1"/>
  <c r="GE173" i="1"/>
  <c r="GD173" i="1"/>
  <c r="GC173" i="1"/>
  <c r="GG172" i="1"/>
  <c r="GF172" i="1"/>
  <c r="GE172" i="1"/>
  <c r="GD172" i="1"/>
  <c r="GC172" i="1"/>
  <c r="GG73" i="1"/>
  <c r="GF73" i="1"/>
  <c r="GE73" i="1"/>
  <c r="GD73" i="1"/>
  <c r="GC73" i="1"/>
  <c r="GG170" i="1"/>
  <c r="GF170" i="1"/>
  <c r="GE170" i="1"/>
  <c r="GD170" i="1"/>
  <c r="GC170" i="1"/>
  <c r="GG169" i="1"/>
  <c r="GF169" i="1"/>
  <c r="GE169" i="1"/>
  <c r="GD169" i="1"/>
  <c r="GC169" i="1"/>
  <c r="GG215" i="1"/>
  <c r="GF215" i="1"/>
  <c r="GE215" i="1"/>
  <c r="GD215" i="1"/>
  <c r="GC215" i="1"/>
  <c r="GG27" i="1"/>
  <c r="GF27" i="1"/>
  <c r="GE27" i="1"/>
  <c r="GD27" i="1"/>
  <c r="GC27" i="1"/>
  <c r="GG166" i="1"/>
  <c r="GF166" i="1"/>
  <c r="GE166" i="1"/>
  <c r="GD166" i="1"/>
  <c r="GC166" i="1"/>
  <c r="GG165" i="1"/>
  <c r="GF165" i="1"/>
  <c r="GE165" i="1"/>
  <c r="GD165" i="1"/>
  <c r="GC165" i="1"/>
  <c r="GG164" i="1"/>
  <c r="GF164" i="1"/>
  <c r="GE164" i="1"/>
  <c r="GD164" i="1"/>
  <c r="GC164" i="1"/>
  <c r="GG163" i="1"/>
  <c r="GF163" i="1"/>
  <c r="GE163" i="1"/>
  <c r="GD163" i="1"/>
  <c r="GC163" i="1"/>
  <c r="GG162" i="1"/>
  <c r="GF162" i="1"/>
  <c r="GE162" i="1"/>
  <c r="GD162" i="1"/>
  <c r="GC162" i="1"/>
  <c r="GG294" i="1"/>
  <c r="GF294" i="1"/>
  <c r="GE294" i="1"/>
  <c r="GD294" i="1"/>
  <c r="GC294" i="1"/>
  <c r="GG233" i="1"/>
  <c r="GF233" i="1"/>
  <c r="GE233" i="1"/>
  <c r="GD233" i="1"/>
  <c r="GC233" i="1"/>
  <c r="GG159" i="1"/>
  <c r="GF159" i="1"/>
  <c r="GE159" i="1"/>
  <c r="GD159" i="1"/>
  <c r="GC159" i="1"/>
  <c r="GG158" i="1"/>
  <c r="GF158" i="1"/>
  <c r="GE158" i="1"/>
  <c r="GD158" i="1"/>
  <c r="GC158" i="1"/>
  <c r="GG157" i="1"/>
  <c r="GF157" i="1"/>
  <c r="GE157" i="1"/>
  <c r="GD157" i="1"/>
  <c r="GC157" i="1"/>
  <c r="GG156" i="1"/>
  <c r="GF156" i="1"/>
  <c r="GE156" i="1"/>
  <c r="GD156" i="1"/>
  <c r="GC156" i="1"/>
  <c r="GG155" i="1"/>
  <c r="GF155" i="1"/>
  <c r="GE155" i="1"/>
  <c r="GD155" i="1"/>
  <c r="GC155" i="1"/>
  <c r="GG154" i="1"/>
  <c r="GF154" i="1"/>
  <c r="GE154" i="1"/>
  <c r="GD154" i="1"/>
  <c r="GC154" i="1"/>
  <c r="GG153" i="1"/>
  <c r="GF153" i="1"/>
  <c r="GE153" i="1"/>
  <c r="GD153" i="1"/>
  <c r="GC153" i="1"/>
  <c r="GG152" i="1"/>
  <c r="GF152" i="1"/>
  <c r="GE152" i="1"/>
  <c r="GD152" i="1"/>
  <c r="GC152" i="1"/>
  <c r="GG151" i="1"/>
  <c r="GF151" i="1"/>
  <c r="GE151" i="1"/>
  <c r="GD151" i="1"/>
  <c r="GC151" i="1"/>
  <c r="GG150" i="1"/>
  <c r="GF150" i="1"/>
  <c r="GE150" i="1"/>
  <c r="GD150" i="1"/>
  <c r="GC150" i="1"/>
  <c r="GG149" i="1"/>
  <c r="GF149" i="1"/>
  <c r="GE149" i="1"/>
  <c r="GD149" i="1"/>
  <c r="GC149" i="1"/>
  <c r="GG148" i="1"/>
  <c r="GF148" i="1"/>
  <c r="GE148" i="1"/>
  <c r="GD148" i="1"/>
  <c r="GC148" i="1"/>
  <c r="GG147" i="1"/>
  <c r="GF147" i="1"/>
  <c r="GE147" i="1"/>
  <c r="GD147" i="1"/>
  <c r="GC147" i="1"/>
  <c r="GG146" i="1"/>
  <c r="GF146" i="1"/>
  <c r="GE146" i="1"/>
  <c r="GD146" i="1"/>
  <c r="GC146" i="1"/>
  <c r="GG145" i="1"/>
  <c r="GF145" i="1"/>
  <c r="GE145" i="1"/>
  <c r="GD145" i="1"/>
  <c r="GC145" i="1"/>
  <c r="GG144" i="1"/>
  <c r="GF144" i="1"/>
  <c r="GE144" i="1"/>
  <c r="GD144" i="1"/>
  <c r="GC144" i="1"/>
  <c r="GG216" i="1"/>
  <c r="GF216" i="1"/>
  <c r="GE216" i="1"/>
  <c r="GD216" i="1"/>
  <c r="GC216" i="1"/>
  <c r="GG142" i="1"/>
  <c r="GF142" i="1"/>
  <c r="GE142" i="1"/>
  <c r="GD142" i="1"/>
  <c r="GC142" i="1"/>
  <c r="GG266" i="1"/>
  <c r="GF266" i="1"/>
  <c r="GE266" i="1"/>
  <c r="GD266" i="1"/>
  <c r="GC266" i="1"/>
  <c r="GG140" i="1"/>
  <c r="GF140" i="1"/>
  <c r="GE140" i="1"/>
  <c r="GD140" i="1"/>
  <c r="GC140" i="1"/>
  <c r="GG139" i="1"/>
  <c r="GF139" i="1"/>
  <c r="GE139" i="1"/>
  <c r="GD139" i="1"/>
  <c r="GC139" i="1"/>
  <c r="GG138" i="1"/>
  <c r="GF138" i="1"/>
  <c r="GE138" i="1"/>
  <c r="GD138" i="1"/>
  <c r="GC138" i="1"/>
  <c r="GG7" i="1"/>
  <c r="GF7" i="1"/>
  <c r="GE7" i="1"/>
  <c r="GD7" i="1"/>
  <c r="GC7" i="1"/>
  <c r="GG134" i="1"/>
  <c r="GF134" i="1"/>
  <c r="GE134" i="1"/>
  <c r="GD134" i="1"/>
  <c r="GC134" i="1"/>
  <c r="GG221" i="1"/>
  <c r="GF221" i="1"/>
  <c r="GE221" i="1"/>
  <c r="GD221" i="1"/>
  <c r="GC221" i="1"/>
  <c r="GG5" i="1"/>
  <c r="GF5" i="1"/>
  <c r="GE5" i="1"/>
  <c r="GD5" i="1"/>
  <c r="GC5" i="1"/>
  <c r="GG133" i="1"/>
  <c r="GF133" i="1"/>
  <c r="GE133" i="1"/>
  <c r="GD133" i="1"/>
  <c r="GC133" i="1"/>
  <c r="GG132" i="1"/>
  <c r="GF132" i="1"/>
  <c r="GE132" i="1"/>
  <c r="GD132" i="1"/>
  <c r="GC132" i="1"/>
  <c r="GG131" i="1"/>
  <c r="GF131" i="1"/>
  <c r="GE131" i="1"/>
  <c r="GD131" i="1"/>
  <c r="GC131" i="1"/>
  <c r="GG130" i="1"/>
  <c r="GF130" i="1"/>
  <c r="GE130" i="1"/>
  <c r="GD130" i="1"/>
  <c r="GC130" i="1"/>
  <c r="GG129" i="1"/>
  <c r="GF129" i="1"/>
  <c r="GE129" i="1"/>
  <c r="GD129" i="1"/>
  <c r="GC129" i="1"/>
  <c r="GG128" i="1"/>
  <c r="GF128" i="1"/>
  <c r="GE128" i="1"/>
  <c r="GD128" i="1"/>
  <c r="GC128" i="1"/>
  <c r="GG127" i="1"/>
  <c r="GF127" i="1"/>
  <c r="GE127" i="1"/>
  <c r="GD127" i="1"/>
  <c r="GC127" i="1"/>
  <c r="GG22" i="1"/>
  <c r="GF22" i="1"/>
  <c r="GE22" i="1"/>
  <c r="GD22" i="1"/>
  <c r="GC22" i="1"/>
  <c r="GG125" i="1"/>
  <c r="GF125" i="1"/>
  <c r="GE125" i="1"/>
  <c r="GD125" i="1"/>
  <c r="GC125" i="1"/>
  <c r="GG124" i="1"/>
  <c r="GF124" i="1"/>
  <c r="GE124" i="1"/>
  <c r="GD124" i="1"/>
  <c r="GC124" i="1"/>
  <c r="GG123" i="1"/>
  <c r="GF123" i="1"/>
  <c r="GE123" i="1"/>
  <c r="GD123" i="1"/>
  <c r="GC123" i="1"/>
  <c r="GG122" i="1"/>
  <c r="GF122" i="1"/>
  <c r="GE122" i="1"/>
  <c r="GD122" i="1"/>
  <c r="GC122" i="1"/>
  <c r="GG121" i="1"/>
  <c r="GF121" i="1"/>
  <c r="GE121" i="1"/>
  <c r="GD121" i="1"/>
  <c r="GC121" i="1"/>
  <c r="GG209" i="1"/>
  <c r="GF209" i="1"/>
  <c r="GE209" i="1"/>
  <c r="GD209" i="1"/>
  <c r="GC209" i="1"/>
  <c r="GG119" i="1"/>
  <c r="GF119" i="1"/>
  <c r="GE119" i="1"/>
  <c r="GD119" i="1"/>
  <c r="GC119" i="1"/>
  <c r="GG118" i="1"/>
  <c r="GF118" i="1"/>
  <c r="GE118" i="1"/>
  <c r="GD118" i="1"/>
  <c r="GC118" i="1"/>
  <c r="GG117" i="1"/>
  <c r="GF117" i="1"/>
  <c r="GE117" i="1"/>
  <c r="GD117" i="1"/>
  <c r="GC117" i="1"/>
  <c r="GG116" i="1"/>
  <c r="GF116" i="1"/>
  <c r="GE116" i="1"/>
  <c r="GD116" i="1"/>
  <c r="GC116" i="1"/>
  <c r="GG115" i="1"/>
  <c r="GF115" i="1"/>
  <c r="GE115" i="1"/>
  <c r="GD115" i="1"/>
  <c r="GC115" i="1"/>
  <c r="GG114" i="1"/>
  <c r="GF114" i="1"/>
  <c r="GE114" i="1"/>
  <c r="GD114" i="1"/>
  <c r="GC114" i="1"/>
  <c r="GG240" i="1"/>
  <c r="GF240" i="1"/>
  <c r="GE240" i="1"/>
  <c r="GD240" i="1"/>
  <c r="GC240" i="1"/>
  <c r="GG112" i="1"/>
  <c r="GF112" i="1"/>
  <c r="GE112" i="1"/>
  <c r="GD112" i="1"/>
  <c r="GC112" i="1"/>
  <c r="GG111" i="1"/>
  <c r="GF111" i="1"/>
  <c r="GE111" i="1"/>
  <c r="GD111" i="1"/>
  <c r="GC111" i="1"/>
  <c r="GG110" i="1"/>
  <c r="GF110" i="1"/>
  <c r="GE110" i="1"/>
  <c r="GD110" i="1"/>
  <c r="GC110" i="1"/>
  <c r="GG109" i="1"/>
  <c r="GF109" i="1"/>
  <c r="GE109" i="1"/>
  <c r="GD109" i="1"/>
  <c r="GC109" i="1"/>
  <c r="GG94" i="1"/>
  <c r="GF94" i="1"/>
  <c r="GE94" i="1"/>
  <c r="GD94" i="1"/>
  <c r="GC94" i="1"/>
  <c r="GG107" i="1"/>
  <c r="GF107" i="1"/>
  <c r="GE107" i="1"/>
  <c r="GD107" i="1"/>
  <c r="GC107" i="1"/>
  <c r="GG106" i="1"/>
  <c r="GF106" i="1"/>
  <c r="GE106" i="1"/>
  <c r="GD106" i="1"/>
  <c r="GC106" i="1"/>
  <c r="GG105" i="1"/>
  <c r="GF105" i="1"/>
  <c r="GE105" i="1"/>
  <c r="GD105" i="1"/>
  <c r="GC105" i="1"/>
  <c r="GG57" i="1"/>
  <c r="GF57" i="1"/>
  <c r="GE57" i="1"/>
  <c r="GD57" i="1"/>
  <c r="GC57" i="1"/>
  <c r="GG207" i="1"/>
  <c r="GF207" i="1"/>
  <c r="GE207" i="1"/>
  <c r="GD207" i="1"/>
  <c r="GC207" i="1"/>
  <c r="GG102" i="1"/>
  <c r="GF102" i="1"/>
  <c r="GE102" i="1"/>
  <c r="GD102" i="1"/>
  <c r="GC102" i="1"/>
  <c r="GG101" i="1"/>
  <c r="GF101" i="1"/>
  <c r="GE101" i="1"/>
  <c r="GD101" i="1"/>
  <c r="GC101" i="1"/>
  <c r="GG100" i="1"/>
  <c r="GF100" i="1"/>
  <c r="GE100" i="1"/>
  <c r="GD100" i="1"/>
  <c r="GC100" i="1"/>
  <c r="GG99" i="1"/>
  <c r="GF99" i="1"/>
  <c r="GE99" i="1"/>
  <c r="GD99" i="1"/>
  <c r="GC99" i="1"/>
  <c r="GG98" i="1"/>
  <c r="GF98" i="1"/>
  <c r="GE98" i="1"/>
  <c r="GD98" i="1"/>
  <c r="GC98" i="1"/>
  <c r="GG97" i="1"/>
  <c r="GF97" i="1"/>
  <c r="GE97" i="1"/>
  <c r="GD97" i="1"/>
  <c r="GC97" i="1"/>
  <c r="GG96" i="1"/>
  <c r="GF96" i="1"/>
  <c r="GE96" i="1"/>
  <c r="GD96" i="1"/>
  <c r="GC96" i="1"/>
  <c r="GG95" i="1"/>
  <c r="GF95" i="1"/>
  <c r="GE95" i="1"/>
  <c r="GD95" i="1"/>
  <c r="GC95" i="1"/>
  <c r="GG361" i="1"/>
  <c r="GF361" i="1"/>
  <c r="GE361" i="1"/>
  <c r="GD361" i="1"/>
  <c r="GC361" i="1"/>
  <c r="GG93" i="1"/>
  <c r="GF93" i="1"/>
  <c r="GE93" i="1"/>
  <c r="GD93" i="1"/>
  <c r="GC93" i="1"/>
  <c r="GG92" i="1"/>
  <c r="GF92" i="1"/>
  <c r="GE92" i="1"/>
  <c r="GD92" i="1"/>
  <c r="GC92" i="1"/>
  <c r="GG91" i="1"/>
  <c r="GF91" i="1"/>
  <c r="GE91" i="1"/>
  <c r="GD91" i="1"/>
  <c r="GC91" i="1"/>
  <c r="GG90" i="1"/>
  <c r="GF90" i="1"/>
  <c r="GE90" i="1"/>
  <c r="GD90" i="1"/>
  <c r="GC90" i="1"/>
  <c r="GG89" i="1"/>
  <c r="GF89" i="1"/>
  <c r="GE89" i="1"/>
  <c r="GD89" i="1"/>
  <c r="GC89" i="1"/>
  <c r="GG88" i="1"/>
  <c r="GF88" i="1"/>
  <c r="GE88" i="1"/>
  <c r="GD88" i="1"/>
  <c r="GC88" i="1"/>
  <c r="GG87" i="1"/>
  <c r="GF87" i="1"/>
  <c r="GE87" i="1"/>
  <c r="GD87" i="1"/>
  <c r="GC87" i="1"/>
  <c r="GG86" i="1"/>
  <c r="GF86" i="1"/>
  <c r="GE86" i="1"/>
  <c r="GD86" i="1"/>
  <c r="GC86" i="1"/>
  <c r="GG85" i="1"/>
  <c r="GF85" i="1"/>
  <c r="GE85" i="1"/>
  <c r="GD85" i="1"/>
  <c r="GC85" i="1"/>
  <c r="GG84" i="1"/>
  <c r="GF84" i="1"/>
  <c r="GE84" i="1"/>
  <c r="GD84" i="1"/>
  <c r="GC84" i="1"/>
  <c r="GG83" i="1"/>
  <c r="GF83" i="1"/>
  <c r="GE83" i="1"/>
  <c r="GD83" i="1"/>
  <c r="GC83" i="1"/>
  <c r="GG82" i="1"/>
  <c r="GF82" i="1"/>
  <c r="GE82" i="1"/>
  <c r="GD82" i="1"/>
  <c r="GC82" i="1"/>
  <c r="GG81" i="1"/>
  <c r="GF81" i="1"/>
  <c r="GE81" i="1"/>
  <c r="GD81" i="1"/>
  <c r="GC81" i="1"/>
  <c r="GG80" i="1"/>
  <c r="GF80" i="1"/>
  <c r="GE80" i="1"/>
  <c r="GD80" i="1"/>
  <c r="GC80" i="1"/>
  <c r="GG278" i="1"/>
  <c r="GF278" i="1"/>
  <c r="GE278" i="1"/>
  <c r="GD278" i="1"/>
  <c r="GC278" i="1"/>
  <c r="GG175" i="1"/>
  <c r="GF175" i="1"/>
  <c r="GE175" i="1"/>
  <c r="GD175" i="1"/>
  <c r="GC175" i="1"/>
  <c r="GG77" i="1"/>
  <c r="GF77" i="1"/>
  <c r="GE77" i="1"/>
  <c r="GD77" i="1"/>
  <c r="GC77" i="1"/>
  <c r="GG76" i="1"/>
  <c r="GF76" i="1"/>
  <c r="GE76" i="1"/>
  <c r="GD76" i="1"/>
  <c r="GC76" i="1"/>
  <c r="GG75" i="1"/>
  <c r="GF75" i="1"/>
  <c r="GE75" i="1"/>
  <c r="GD75" i="1"/>
  <c r="GC75" i="1"/>
  <c r="GG74" i="1"/>
  <c r="GF74" i="1"/>
  <c r="GE74" i="1"/>
  <c r="GD74" i="1"/>
  <c r="GC74" i="1"/>
  <c r="GG18" i="1"/>
  <c r="GF18" i="1"/>
  <c r="GE18" i="1"/>
  <c r="GD18" i="1"/>
  <c r="GC18" i="1"/>
  <c r="GG72" i="1"/>
  <c r="GF72" i="1"/>
  <c r="GE72" i="1"/>
  <c r="GD72" i="1"/>
  <c r="GC72" i="1"/>
  <c r="GG71" i="1"/>
  <c r="GF71" i="1"/>
  <c r="GE71" i="1"/>
  <c r="GD71" i="1"/>
  <c r="GC71" i="1"/>
  <c r="GG70" i="1"/>
  <c r="GF70" i="1"/>
  <c r="GE70" i="1"/>
  <c r="GD70" i="1"/>
  <c r="GC70" i="1"/>
  <c r="GG69" i="1"/>
  <c r="GF69" i="1"/>
  <c r="GE69" i="1"/>
  <c r="GD69" i="1"/>
  <c r="GC69" i="1"/>
  <c r="GG68" i="1"/>
  <c r="GF68" i="1"/>
  <c r="GE68" i="1"/>
  <c r="GD68" i="1"/>
  <c r="GC68" i="1"/>
  <c r="GG67" i="1"/>
  <c r="GF67" i="1"/>
  <c r="GE67" i="1"/>
  <c r="GD67" i="1"/>
  <c r="GC67" i="1"/>
  <c r="GG66" i="1"/>
  <c r="GF66" i="1"/>
  <c r="GE66" i="1"/>
  <c r="GD66" i="1"/>
  <c r="GC66" i="1"/>
  <c r="GG65" i="1"/>
  <c r="GF65" i="1"/>
  <c r="GE65" i="1"/>
  <c r="GD65" i="1"/>
  <c r="GC65" i="1"/>
  <c r="GG64" i="1"/>
  <c r="GF64" i="1"/>
  <c r="GE64" i="1"/>
  <c r="GD64" i="1"/>
  <c r="GC64" i="1"/>
  <c r="GG63" i="1"/>
  <c r="GF63" i="1"/>
  <c r="GE63" i="1"/>
  <c r="GD63" i="1"/>
  <c r="GC63" i="1"/>
  <c r="GG62" i="1"/>
  <c r="GF62" i="1"/>
  <c r="GE62" i="1"/>
  <c r="GD62" i="1"/>
  <c r="GC62" i="1"/>
  <c r="GG61" i="1"/>
  <c r="GF61" i="1"/>
  <c r="GE61" i="1"/>
  <c r="GD61" i="1"/>
  <c r="GC61" i="1"/>
  <c r="GG60" i="1"/>
  <c r="GF60" i="1"/>
  <c r="GE60" i="1"/>
  <c r="GD60" i="1"/>
  <c r="GC60" i="1"/>
  <c r="GG59" i="1"/>
  <c r="GF59" i="1"/>
  <c r="GE59" i="1"/>
  <c r="GD59" i="1"/>
  <c r="GC59" i="1"/>
  <c r="GG58" i="1"/>
  <c r="GF58" i="1"/>
  <c r="GE58" i="1"/>
  <c r="GD58" i="1"/>
  <c r="GC58" i="1"/>
  <c r="GG197" i="1"/>
  <c r="GF197" i="1"/>
  <c r="GE197" i="1"/>
  <c r="GD197" i="1"/>
  <c r="GC197" i="1"/>
  <c r="GG56" i="1"/>
  <c r="GF56" i="1"/>
  <c r="GE56" i="1"/>
  <c r="GD56" i="1"/>
  <c r="GC56" i="1"/>
  <c r="GG55" i="1"/>
  <c r="GF55" i="1"/>
  <c r="GE55" i="1"/>
  <c r="GD55" i="1"/>
  <c r="GC55" i="1"/>
  <c r="GG54" i="1"/>
  <c r="GF54" i="1"/>
  <c r="GE54" i="1"/>
  <c r="GD54" i="1"/>
  <c r="GC54" i="1"/>
  <c r="GG53" i="1"/>
  <c r="GF53" i="1"/>
  <c r="GE53" i="1"/>
  <c r="GD53" i="1"/>
  <c r="GC53" i="1"/>
  <c r="GG52" i="1"/>
  <c r="GF52" i="1"/>
  <c r="GE52" i="1"/>
  <c r="GD52" i="1"/>
  <c r="GC52" i="1"/>
  <c r="GG51" i="1"/>
  <c r="GF51" i="1"/>
  <c r="GE51" i="1"/>
  <c r="GD51" i="1"/>
  <c r="GC51" i="1"/>
  <c r="GG50" i="1"/>
  <c r="GF50" i="1"/>
  <c r="GE50" i="1"/>
  <c r="GD50" i="1"/>
  <c r="GC50" i="1"/>
  <c r="GG49" i="1"/>
  <c r="GF49" i="1"/>
  <c r="GE49" i="1"/>
  <c r="GD49" i="1"/>
  <c r="GC49" i="1"/>
  <c r="GG48" i="1"/>
  <c r="GF48" i="1"/>
  <c r="GE48" i="1"/>
  <c r="GD48" i="1"/>
  <c r="GC48" i="1"/>
  <c r="GG135" i="1"/>
  <c r="GF135" i="1"/>
  <c r="GE135" i="1"/>
  <c r="GD135" i="1"/>
  <c r="GC135" i="1"/>
  <c r="GG46" i="1"/>
  <c r="GF46" i="1"/>
  <c r="GE46" i="1"/>
  <c r="GD46" i="1"/>
  <c r="GC46" i="1"/>
  <c r="GG45" i="1"/>
  <c r="GF45" i="1"/>
  <c r="GE45" i="1"/>
  <c r="GD45" i="1"/>
  <c r="GC45" i="1"/>
  <c r="GG44" i="1"/>
  <c r="GF44" i="1"/>
  <c r="GE44" i="1"/>
  <c r="GD44" i="1"/>
  <c r="GC44" i="1"/>
  <c r="GG43" i="1"/>
  <c r="GF43" i="1"/>
  <c r="GE43" i="1"/>
  <c r="GD43" i="1"/>
  <c r="GC43" i="1"/>
  <c r="GG42" i="1"/>
  <c r="GF42" i="1"/>
  <c r="GE42" i="1"/>
  <c r="GD42" i="1"/>
  <c r="GC42" i="1"/>
  <c r="GG41" i="1"/>
  <c r="GF41" i="1"/>
  <c r="GE41" i="1"/>
  <c r="GD41" i="1"/>
  <c r="GC41" i="1"/>
  <c r="GG40" i="1"/>
  <c r="GF40" i="1"/>
  <c r="GE40" i="1"/>
  <c r="GD40" i="1"/>
  <c r="GC40" i="1"/>
  <c r="GG168" i="1"/>
  <c r="GF168" i="1"/>
  <c r="GE168" i="1"/>
  <c r="GD168" i="1"/>
  <c r="GC168" i="1"/>
  <c r="GG38" i="1"/>
  <c r="GF38" i="1"/>
  <c r="GE38" i="1"/>
  <c r="GD38" i="1"/>
  <c r="GC38" i="1"/>
  <c r="GG37" i="1"/>
  <c r="GF37" i="1"/>
  <c r="GE37" i="1"/>
  <c r="GD37" i="1"/>
  <c r="GC37" i="1"/>
  <c r="GG36" i="1"/>
  <c r="GF36" i="1"/>
  <c r="GE36" i="1"/>
  <c r="GD36" i="1"/>
  <c r="GC36" i="1"/>
  <c r="GG35" i="1"/>
  <c r="GF35" i="1"/>
  <c r="GE35" i="1"/>
  <c r="GD35" i="1"/>
  <c r="GC35" i="1"/>
  <c r="GG78" i="1"/>
  <c r="GF78" i="1"/>
  <c r="GE78" i="1"/>
  <c r="GD78" i="1"/>
  <c r="GC78" i="1"/>
  <c r="GG33" i="1"/>
  <c r="GF33" i="1"/>
  <c r="GE33" i="1"/>
  <c r="GD33" i="1"/>
  <c r="GC33" i="1"/>
  <c r="GG32" i="1"/>
  <c r="GF32" i="1"/>
  <c r="GE32" i="1"/>
  <c r="GD32" i="1"/>
  <c r="GC32" i="1"/>
  <c r="GG31" i="1"/>
  <c r="GF31" i="1"/>
  <c r="GE31" i="1"/>
  <c r="GD31" i="1"/>
  <c r="GC31" i="1"/>
  <c r="GG30" i="1"/>
  <c r="GF30" i="1"/>
  <c r="GE30" i="1"/>
  <c r="GD30" i="1"/>
  <c r="GC30" i="1"/>
  <c r="GG29" i="1"/>
  <c r="GF29" i="1"/>
  <c r="GE29" i="1"/>
  <c r="GD29" i="1"/>
  <c r="GC29" i="1"/>
  <c r="GG28" i="1"/>
  <c r="GF28" i="1"/>
  <c r="GE28" i="1"/>
  <c r="GD28" i="1"/>
  <c r="GC28" i="1"/>
  <c r="GG185" i="1"/>
  <c r="GF185" i="1"/>
  <c r="GE185" i="1"/>
  <c r="GD185" i="1"/>
  <c r="GC185" i="1"/>
  <c r="GG26" i="1"/>
  <c r="GF26" i="1"/>
  <c r="GE26" i="1"/>
  <c r="GD26" i="1"/>
  <c r="GC26" i="1"/>
  <c r="GG25" i="1"/>
  <c r="GF25" i="1"/>
  <c r="GE25" i="1"/>
  <c r="GD25" i="1"/>
  <c r="GC25" i="1"/>
  <c r="GG24" i="1"/>
  <c r="GF24" i="1"/>
  <c r="GE24" i="1"/>
  <c r="GD24" i="1"/>
  <c r="GC24" i="1"/>
  <c r="GG141" i="1"/>
  <c r="GF141" i="1"/>
  <c r="GE141" i="1"/>
  <c r="GD141" i="1"/>
  <c r="GC141" i="1"/>
  <c r="GG104" i="1"/>
  <c r="GF104" i="1"/>
  <c r="GE104" i="1"/>
  <c r="GD104" i="1"/>
  <c r="GC104" i="1"/>
  <c r="GG21" i="1"/>
  <c r="GF21" i="1"/>
  <c r="GE21" i="1"/>
  <c r="GD21" i="1"/>
  <c r="GC21" i="1"/>
  <c r="GG20" i="1"/>
  <c r="GF20" i="1"/>
  <c r="GE20" i="1"/>
  <c r="GD20" i="1"/>
  <c r="GC20" i="1"/>
  <c r="GG19" i="1"/>
  <c r="GF19" i="1"/>
  <c r="GE19" i="1"/>
  <c r="GD19" i="1"/>
  <c r="GC19" i="1"/>
  <c r="GG108" i="1"/>
  <c r="GF108" i="1"/>
  <c r="GE108" i="1"/>
  <c r="GD108" i="1"/>
  <c r="GC108" i="1"/>
  <c r="GG17" i="1"/>
  <c r="GF17" i="1"/>
  <c r="GE17" i="1"/>
  <c r="GD17" i="1"/>
  <c r="GC17" i="1"/>
  <c r="GG16" i="1"/>
  <c r="GF16" i="1"/>
  <c r="GE16" i="1"/>
  <c r="GD16" i="1"/>
  <c r="GC16" i="1"/>
  <c r="GG15" i="1"/>
  <c r="GF15" i="1"/>
  <c r="GE15" i="1"/>
  <c r="GD15" i="1"/>
  <c r="GC15" i="1"/>
  <c r="GG14" i="1"/>
  <c r="GF14" i="1"/>
  <c r="GE14" i="1"/>
  <c r="GD14" i="1"/>
  <c r="GC14" i="1"/>
  <c r="GG13" i="1"/>
  <c r="GF13" i="1"/>
  <c r="GE13" i="1"/>
  <c r="GD13" i="1"/>
  <c r="GC13" i="1"/>
  <c r="GG12" i="1"/>
  <c r="GF12" i="1"/>
  <c r="GE12" i="1"/>
  <c r="GD12" i="1"/>
  <c r="GC12" i="1"/>
  <c r="GG11" i="1"/>
  <c r="GF11" i="1"/>
  <c r="GE11" i="1"/>
  <c r="GD11" i="1"/>
  <c r="GC11" i="1"/>
  <c r="GG10" i="1"/>
  <c r="GF10" i="1"/>
  <c r="GE10" i="1"/>
  <c r="GD10" i="1"/>
  <c r="GC10" i="1"/>
  <c r="GG9" i="1"/>
  <c r="GF9" i="1"/>
  <c r="GE9" i="1"/>
  <c r="GD9" i="1"/>
  <c r="GC9" i="1"/>
  <c r="GG8" i="1"/>
  <c r="GF8" i="1"/>
  <c r="GE8" i="1"/>
  <c r="GD8" i="1"/>
  <c r="GC8" i="1"/>
  <c r="GG120" i="1"/>
  <c r="GF120" i="1"/>
  <c r="GE120" i="1"/>
  <c r="GD120" i="1"/>
  <c r="GC120" i="1"/>
  <c r="GG6" i="1"/>
  <c r="GF6" i="1"/>
  <c r="GE6" i="1"/>
  <c r="GD6" i="1"/>
  <c r="GC6" i="1"/>
  <c r="GG136" i="1"/>
  <c r="GF136" i="1"/>
  <c r="GE136" i="1"/>
  <c r="GD136" i="1"/>
  <c r="GC136" i="1"/>
  <c r="GG4" i="1"/>
  <c r="GF4" i="1"/>
  <c r="GE4" i="1"/>
  <c r="GD4" i="1"/>
  <c r="GC4" i="1"/>
  <c r="GG3" i="1"/>
  <c r="GF3" i="1"/>
  <c r="GE3" i="1"/>
  <c r="GD3" i="1"/>
  <c r="GC3" i="1"/>
  <c r="GG23" i="1"/>
  <c r="GF23" i="1"/>
  <c r="GE23" i="1"/>
  <c r="GD23" i="1"/>
  <c r="GC23" i="1"/>
  <c r="FE3" i="1"/>
  <c r="FE4" i="1"/>
  <c r="FE136" i="1"/>
  <c r="FE6" i="1"/>
  <c r="FE120" i="1"/>
  <c r="FE8" i="1"/>
  <c r="FE9" i="1"/>
  <c r="FE10" i="1"/>
  <c r="FE11" i="1"/>
  <c r="FE12" i="1"/>
  <c r="FE13" i="1"/>
  <c r="FE14" i="1"/>
  <c r="FE15" i="1"/>
  <c r="FE16" i="1"/>
  <c r="FE17" i="1"/>
  <c r="FE108" i="1"/>
  <c r="FE19" i="1"/>
  <c r="FE20" i="1"/>
  <c r="FE21" i="1"/>
  <c r="FE104" i="1"/>
  <c r="FE141" i="1"/>
  <c r="FE24" i="1"/>
  <c r="FE25" i="1"/>
  <c r="FE26" i="1"/>
  <c r="FE185" i="1"/>
  <c r="FE28" i="1"/>
  <c r="FE29" i="1"/>
  <c r="FE30" i="1"/>
  <c r="FE31" i="1"/>
  <c r="FE32" i="1"/>
  <c r="FE33" i="1"/>
  <c r="FE78" i="1"/>
  <c r="FE35" i="1"/>
  <c r="FE36" i="1"/>
  <c r="FE37" i="1"/>
  <c r="FE38" i="1"/>
  <c r="FE168" i="1"/>
  <c r="FE40" i="1"/>
  <c r="FE41" i="1"/>
  <c r="FE42" i="1"/>
  <c r="FE43" i="1"/>
  <c r="FE44" i="1"/>
  <c r="FE45" i="1"/>
  <c r="FE46" i="1"/>
  <c r="FE135" i="1"/>
  <c r="FE48" i="1"/>
  <c r="FE49" i="1"/>
  <c r="FE50" i="1"/>
  <c r="FE51" i="1"/>
  <c r="FE52" i="1"/>
  <c r="FE53" i="1"/>
  <c r="FE54" i="1"/>
  <c r="FE55" i="1"/>
  <c r="FE56" i="1"/>
  <c r="FE197" i="1"/>
  <c r="FE58" i="1"/>
  <c r="FE59" i="1"/>
  <c r="FE60" i="1"/>
  <c r="FE61" i="1"/>
  <c r="FE62" i="1"/>
  <c r="FE63" i="1"/>
  <c r="FE64" i="1"/>
  <c r="FE65" i="1"/>
  <c r="FE66" i="1"/>
  <c r="FE67" i="1"/>
  <c r="FE68" i="1"/>
  <c r="FE69" i="1"/>
  <c r="FE70" i="1"/>
  <c r="FE71" i="1"/>
  <c r="FE72" i="1"/>
  <c r="FE18" i="1"/>
  <c r="FE74" i="1"/>
  <c r="FE75" i="1"/>
  <c r="FE76" i="1"/>
  <c r="FE77" i="1"/>
  <c r="FE175" i="1"/>
  <c r="FE278" i="1"/>
  <c r="FE80" i="1"/>
  <c r="FE81" i="1"/>
  <c r="FE82" i="1"/>
  <c r="FE83" i="1"/>
  <c r="FE84" i="1"/>
  <c r="FE85" i="1"/>
  <c r="FE86" i="1"/>
  <c r="FE87" i="1"/>
  <c r="FE88" i="1"/>
  <c r="FE89" i="1"/>
  <c r="FE90" i="1"/>
  <c r="FE91" i="1"/>
  <c r="FE92" i="1"/>
  <c r="FE93" i="1"/>
  <c r="FE361" i="1"/>
  <c r="FE95" i="1"/>
  <c r="FE96" i="1"/>
  <c r="FE97" i="1"/>
  <c r="FE98" i="1"/>
  <c r="FE99" i="1"/>
  <c r="FE100" i="1"/>
  <c r="FE101" i="1"/>
  <c r="FE102" i="1"/>
  <c r="FE207" i="1"/>
  <c r="FE57" i="1"/>
  <c r="FE105" i="1"/>
  <c r="FE106" i="1"/>
  <c r="FE107" i="1"/>
  <c r="FE94" i="1"/>
  <c r="FE109" i="1"/>
  <c r="FE110" i="1"/>
  <c r="FE111" i="1"/>
  <c r="FE112" i="1"/>
  <c r="FE240" i="1"/>
  <c r="FE114" i="1"/>
  <c r="FE115" i="1"/>
  <c r="FE116" i="1"/>
  <c r="FE117" i="1"/>
  <c r="FE118" i="1"/>
  <c r="FE119" i="1"/>
  <c r="FE209" i="1"/>
  <c r="FE121" i="1"/>
  <c r="FE122" i="1"/>
  <c r="FE123" i="1"/>
  <c r="FE124" i="1"/>
  <c r="FE125" i="1"/>
  <c r="FE22" i="1"/>
  <c r="FE127" i="1"/>
  <c r="FE128" i="1"/>
  <c r="FE129" i="1"/>
  <c r="FE130" i="1"/>
  <c r="FE131" i="1"/>
  <c r="FE132" i="1"/>
  <c r="FE133" i="1"/>
  <c r="FE5" i="1"/>
  <c r="FE221" i="1"/>
  <c r="FE134" i="1"/>
  <c r="FE7" i="1"/>
  <c r="FE138" i="1"/>
  <c r="FE139" i="1"/>
  <c r="FE140" i="1"/>
  <c r="FE266" i="1"/>
  <c r="FE142" i="1"/>
  <c r="FE216" i="1"/>
  <c r="FE144" i="1"/>
  <c r="FE145" i="1"/>
  <c r="FE146" i="1"/>
  <c r="FE147" i="1"/>
  <c r="FE148" i="1"/>
  <c r="FE149" i="1"/>
  <c r="FE150" i="1"/>
  <c r="FE151" i="1"/>
  <c r="FE152" i="1"/>
  <c r="FE153" i="1"/>
  <c r="FE154" i="1"/>
  <c r="FE155" i="1"/>
  <c r="FE156" i="1"/>
  <c r="FE157" i="1"/>
  <c r="FE158" i="1"/>
  <c r="FE159" i="1"/>
  <c r="FE233" i="1"/>
  <c r="FE294" i="1"/>
  <c r="FE162" i="1"/>
  <c r="FE163" i="1"/>
  <c r="FE164" i="1"/>
  <c r="FE165" i="1"/>
  <c r="FE166" i="1"/>
  <c r="FE27" i="1"/>
  <c r="FE215" i="1"/>
  <c r="FE169" i="1"/>
  <c r="FE170" i="1"/>
  <c r="FE73" i="1"/>
  <c r="FE172" i="1"/>
  <c r="FE173" i="1"/>
  <c r="FE113" i="1"/>
  <c r="FE299" i="1"/>
  <c r="FE338" i="1"/>
  <c r="FE177" i="1"/>
  <c r="FE178" i="1"/>
  <c r="FE179" i="1"/>
  <c r="FE47" i="1"/>
  <c r="FE181" i="1"/>
  <c r="FE182" i="1"/>
  <c r="FE183" i="1"/>
  <c r="FE184" i="1"/>
  <c r="FE242" i="1"/>
  <c r="FE186" i="1"/>
  <c r="FE187" i="1"/>
  <c r="FE188" i="1"/>
  <c r="FE325" i="1"/>
  <c r="FE190" i="1"/>
  <c r="FE191" i="1"/>
  <c r="FE192" i="1"/>
  <c r="FE193" i="1"/>
  <c r="FE194" i="1"/>
  <c r="FE195" i="1"/>
  <c r="FE196" i="1"/>
  <c r="FE79" i="1"/>
  <c r="FE198" i="1"/>
  <c r="FE199" i="1"/>
  <c r="FE200" i="1"/>
  <c r="FE201" i="1"/>
  <c r="FE202" i="1"/>
  <c r="FE203" i="1"/>
  <c r="FE204" i="1"/>
  <c r="FE161" i="1"/>
  <c r="FE206" i="1"/>
  <c r="FE39" i="1"/>
  <c r="FE208" i="1"/>
  <c r="FE176" i="1"/>
  <c r="FE210" i="1"/>
  <c r="FE344" i="1"/>
  <c r="FE212" i="1"/>
  <c r="FE174" i="1"/>
  <c r="FE214" i="1"/>
  <c r="FE256" i="1"/>
  <c r="FE222" i="1"/>
  <c r="FE217" i="1"/>
  <c r="FE218" i="1"/>
  <c r="FE219" i="1"/>
  <c r="FE220" i="1"/>
  <c r="FE205" i="1"/>
  <c r="FE103" i="1"/>
  <c r="FE223" i="1"/>
  <c r="FE224" i="1"/>
  <c r="FE225" i="1"/>
  <c r="FE226" i="1"/>
  <c r="FE227" i="1"/>
  <c r="FE228" i="1"/>
  <c r="FE229" i="1"/>
  <c r="FE230" i="1"/>
  <c r="FE231" i="1"/>
  <c r="FE232" i="1"/>
  <c r="FE292" i="1"/>
  <c r="FE234" i="1"/>
  <c r="FE235" i="1"/>
  <c r="FE371" i="1"/>
  <c r="FE237" i="1"/>
  <c r="FE238" i="1"/>
  <c r="FE2" i="1"/>
  <c r="FE189" i="1"/>
  <c r="FE241" i="1"/>
  <c r="FE160" i="1"/>
  <c r="FE243" i="1"/>
  <c r="FE244" i="1"/>
  <c r="FE245" i="1"/>
  <c r="FE246" i="1"/>
  <c r="FE247" i="1"/>
  <c r="FE248" i="1"/>
  <c r="FE249" i="1"/>
  <c r="FE250" i="1"/>
  <c r="FE251" i="1"/>
  <c r="FE252" i="1"/>
  <c r="FE253" i="1"/>
  <c r="FE254" i="1"/>
  <c r="FE255" i="1"/>
  <c r="FE213" i="1"/>
  <c r="FE257" i="1"/>
  <c r="FE258" i="1"/>
  <c r="FE259" i="1"/>
  <c r="FE260" i="1"/>
  <c r="FE261" i="1"/>
  <c r="FE262" i="1"/>
  <c r="FE263" i="1"/>
  <c r="FE264" i="1"/>
  <c r="FE265" i="1"/>
  <c r="FE34" i="1"/>
  <c r="FE267" i="1"/>
  <c r="FE268" i="1"/>
  <c r="FE269" i="1"/>
  <c r="FE270" i="1"/>
  <c r="FE271" i="1"/>
  <c r="FE272" i="1"/>
  <c r="FE273" i="1"/>
  <c r="FE274" i="1"/>
  <c r="FE275" i="1"/>
  <c r="FE276" i="1"/>
  <c r="FE277" i="1"/>
  <c r="FE171" i="1"/>
  <c r="FE279" i="1"/>
  <c r="FE280" i="1"/>
  <c r="FE281" i="1"/>
  <c r="FE126" i="1"/>
  <c r="FE283" i="1"/>
  <c r="FE284" i="1"/>
  <c r="FE285" i="1"/>
  <c r="FE286" i="1"/>
  <c r="FE287" i="1"/>
  <c r="FE288" i="1"/>
  <c r="FE289" i="1"/>
  <c r="FE290" i="1"/>
  <c r="FE291" i="1"/>
  <c r="FE354" i="1"/>
  <c r="FE293" i="1"/>
  <c r="FE180" i="1"/>
  <c r="FE295" i="1"/>
  <c r="FE296" i="1"/>
  <c r="FE297" i="1"/>
  <c r="FE298" i="1"/>
  <c r="FE167" i="1"/>
  <c r="FE300" i="1"/>
  <c r="FE301" i="1"/>
  <c r="FE302" i="1"/>
  <c r="FE303" i="1"/>
  <c r="FE304" i="1"/>
  <c r="FE305" i="1"/>
  <c r="FE306" i="1"/>
  <c r="FE307" i="1"/>
  <c r="FE308" i="1"/>
  <c r="FE309" i="1"/>
  <c r="FE310" i="1"/>
  <c r="FE311" i="1"/>
  <c r="FE312" i="1"/>
  <c r="FE313" i="1"/>
  <c r="FE314" i="1"/>
  <c r="FE315" i="1"/>
  <c r="FE316" i="1"/>
  <c r="FE317" i="1"/>
  <c r="FE318" i="1"/>
  <c r="FE319" i="1"/>
  <c r="FE320" i="1"/>
  <c r="FE321" i="1"/>
  <c r="FE322" i="1"/>
  <c r="FE323" i="1"/>
  <c r="FE367" i="1"/>
  <c r="FE349" i="1"/>
  <c r="FE326" i="1"/>
  <c r="FE327" i="1"/>
  <c r="FE328" i="1"/>
  <c r="FE329" i="1"/>
  <c r="FE330" i="1"/>
  <c r="FE331" i="1"/>
  <c r="FE332" i="1"/>
  <c r="FE333" i="1"/>
  <c r="FE334" i="1"/>
  <c r="FE335" i="1"/>
  <c r="FE336" i="1"/>
  <c r="FE337" i="1"/>
  <c r="FE211" i="1"/>
  <c r="FE339" i="1"/>
  <c r="FE340" i="1"/>
  <c r="FE341" i="1"/>
  <c r="FE342" i="1"/>
  <c r="FE343" i="1"/>
  <c r="FE346" i="1"/>
  <c r="FE345" i="1"/>
  <c r="FE282" i="1"/>
  <c r="FE347" i="1"/>
  <c r="FE348" i="1"/>
  <c r="FE239" i="1"/>
  <c r="FE350" i="1"/>
  <c r="FE351" i="1"/>
  <c r="FE352" i="1"/>
  <c r="FE353" i="1"/>
  <c r="FE137" i="1"/>
  <c r="FE355" i="1"/>
  <c r="FE356" i="1"/>
  <c r="FE357" i="1"/>
  <c r="FE358" i="1"/>
  <c r="FE359" i="1"/>
  <c r="FE360" i="1"/>
  <c r="FE143" i="1"/>
  <c r="FE362" i="1"/>
  <c r="FE363" i="1"/>
  <c r="FE364" i="1"/>
  <c r="FE365" i="1"/>
  <c r="FE366" i="1"/>
  <c r="FE324" i="1"/>
  <c r="FE368" i="1"/>
  <c r="FE369" i="1"/>
  <c r="FE370" i="1"/>
  <c r="FE236" i="1"/>
  <c r="FD3" i="1"/>
  <c r="FD4" i="1"/>
  <c r="FD136" i="1"/>
  <c r="FD6" i="1"/>
  <c r="FD120" i="1"/>
  <c r="FD8" i="1"/>
  <c r="FD9" i="1"/>
  <c r="FD10" i="1"/>
  <c r="FD11" i="1"/>
  <c r="FD12" i="1"/>
  <c r="FD13" i="1"/>
  <c r="FD14" i="1"/>
  <c r="FD15" i="1"/>
  <c r="FD16" i="1"/>
  <c r="FD17" i="1"/>
  <c r="FD108" i="1"/>
  <c r="FD19" i="1"/>
  <c r="FD20" i="1"/>
  <c r="FD21" i="1"/>
  <c r="FD104" i="1"/>
  <c r="FD141" i="1"/>
  <c r="FD24" i="1"/>
  <c r="FD25" i="1"/>
  <c r="FD26" i="1"/>
  <c r="FD185" i="1"/>
  <c r="FD28" i="1"/>
  <c r="FD29" i="1"/>
  <c r="FD30" i="1"/>
  <c r="FD31" i="1"/>
  <c r="FD32" i="1"/>
  <c r="FD33" i="1"/>
  <c r="FD78" i="1"/>
  <c r="FD35" i="1"/>
  <c r="FD36" i="1"/>
  <c r="FD37" i="1"/>
  <c r="FD38" i="1"/>
  <c r="FD168" i="1"/>
  <c r="FD40" i="1"/>
  <c r="FD41" i="1"/>
  <c r="FD42" i="1"/>
  <c r="FD43" i="1"/>
  <c r="FD44" i="1"/>
  <c r="FD45" i="1"/>
  <c r="FD46" i="1"/>
  <c r="FD135" i="1"/>
  <c r="FD48" i="1"/>
  <c r="FD49" i="1"/>
  <c r="FD50" i="1"/>
  <c r="FD51" i="1"/>
  <c r="FD52" i="1"/>
  <c r="FD53" i="1"/>
  <c r="FD54" i="1"/>
  <c r="FD55" i="1"/>
  <c r="FD56" i="1"/>
  <c r="FD197" i="1"/>
  <c r="FD58" i="1"/>
  <c r="FD59" i="1"/>
  <c r="FD60" i="1"/>
  <c r="FD61" i="1"/>
  <c r="FD62" i="1"/>
  <c r="FD63" i="1"/>
  <c r="FD64" i="1"/>
  <c r="FD65" i="1"/>
  <c r="FD66" i="1"/>
  <c r="FD67" i="1"/>
  <c r="FD68" i="1"/>
  <c r="FD69" i="1"/>
  <c r="FD70" i="1"/>
  <c r="FD71" i="1"/>
  <c r="FD72" i="1"/>
  <c r="FD18" i="1"/>
  <c r="FD74" i="1"/>
  <c r="FD75" i="1"/>
  <c r="FD76" i="1"/>
  <c r="FD77" i="1"/>
  <c r="FD175" i="1"/>
  <c r="FD278" i="1"/>
  <c r="FD80" i="1"/>
  <c r="FD81" i="1"/>
  <c r="FD82" i="1"/>
  <c r="FD83" i="1"/>
  <c r="FD84" i="1"/>
  <c r="FD85" i="1"/>
  <c r="FD86" i="1"/>
  <c r="FD87" i="1"/>
  <c r="FD88" i="1"/>
  <c r="FD89" i="1"/>
  <c r="FD90" i="1"/>
  <c r="FD91" i="1"/>
  <c r="FD92" i="1"/>
  <c r="FD93" i="1"/>
  <c r="FD361" i="1"/>
  <c r="FD95" i="1"/>
  <c r="FD96" i="1"/>
  <c r="FD97" i="1"/>
  <c r="FD98" i="1"/>
  <c r="FD99" i="1"/>
  <c r="FD100" i="1"/>
  <c r="FD101" i="1"/>
  <c r="FD102" i="1"/>
  <c r="FD207" i="1"/>
  <c r="FD57" i="1"/>
  <c r="FD105" i="1"/>
  <c r="FD106" i="1"/>
  <c r="FD107" i="1"/>
  <c r="FD94" i="1"/>
  <c r="FD109" i="1"/>
  <c r="FD110" i="1"/>
  <c r="FD111" i="1"/>
  <c r="FD112" i="1"/>
  <c r="FD240" i="1"/>
  <c r="FD114" i="1"/>
  <c r="FD115" i="1"/>
  <c r="FD116" i="1"/>
  <c r="FD117" i="1"/>
  <c r="FD118" i="1"/>
  <c r="FD119" i="1"/>
  <c r="FD209" i="1"/>
  <c r="FD121" i="1"/>
  <c r="FD122" i="1"/>
  <c r="FD123" i="1"/>
  <c r="FD124" i="1"/>
  <c r="FD125" i="1"/>
  <c r="FD22" i="1"/>
  <c r="FD127" i="1"/>
  <c r="FD128" i="1"/>
  <c r="FD129" i="1"/>
  <c r="FD130" i="1"/>
  <c r="FD131" i="1"/>
  <c r="FD132" i="1"/>
  <c r="FD133" i="1"/>
  <c r="FD5" i="1"/>
  <c r="FD221" i="1"/>
  <c r="FD134" i="1"/>
  <c r="FD7" i="1"/>
  <c r="FD138" i="1"/>
  <c r="FD139" i="1"/>
  <c r="FD140" i="1"/>
  <c r="FD266" i="1"/>
  <c r="FD142" i="1"/>
  <c r="FD216" i="1"/>
  <c r="FD144" i="1"/>
  <c r="FD145" i="1"/>
  <c r="FD146" i="1"/>
  <c r="FD147" i="1"/>
  <c r="FD148" i="1"/>
  <c r="FD149" i="1"/>
  <c r="FD150" i="1"/>
  <c r="FD151" i="1"/>
  <c r="FD152" i="1"/>
  <c r="FD153" i="1"/>
  <c r="FD154" i="1"/>
  <c r="FD155" i="1"/>
  <c r="FD156" i="1"/>
  <c r="FD157" i="1"/>
  <c r="FD158" i="1"/>
  <c r="FD159" i="1"/>
  <c r="FD233" i="1"/>
  <c r="FD294" i="1"/>
  <c r="FD162" i="1"/>
  <c r="FD163" i="1"/>
  <c r="FD164" i="1"/>
  <c r="FD165" i="1"/>
  <c r="FD166" i="1"/>
  <c r="FD27" i="1"/>
  <c r="FD215" i="1"/>
  <c r="FD169" i="1"/>
  <c r="FD170" i="1"/>
  <c r="FD73" i="1"/>
  <c r="FD172" i="1"/>
  <c r="FD173" i="1"/>
  <c r="FD113" i="1"/>
  <c r="FD299" i="1"/>
  <c r="FD338" i="1"/>
  <c r="FD177" i="1"/>
  <c r="FD178" i="1"/>
  <c r="FD179" i="1"/>
  <c r="FD47" i="1"/>
  <c r="FD181" i="1"/>
  <c r="FD182" i="1"/>
  <c r="FD183" i="1"/>
  <c r="FD184" i="1"/>
  <c r="FD242" i="1"/>
  <c r="FD186" i="1"/>
  <c r="FD187" i="1"/>
  <c r="FD188" i="1"/>
  <c r="FD325" i="1"/>
  <c r="FD190" i="1"/>
  <c r="FD191" i="1"/>
  <c r="FD192" i="1"/>
  <c r="FD193" i="1"/>
  <c r="FD194" i="1"/>
  <c r="FD195" i="1"/>
  <c r="FD196" i="1"/>
  <c r="FD79" i="1"/>
  <c r="FD198" i="1"/>
  <c r="FD199" i="1"/>
  <c r="FD200" i="1"/>
  <c r="FD201" i="1"/>
  <c r="FD202" i="1"/>
  <c r="FD203" i="1"/>
  <c r="FD204" i="1"/>
  <c r="FD161" i="1"/>
  <c r="FD206" i="1"/>
  <c r="FD39" i="1"/>
  <c r="FD208" i="1"/>
  <c r="FD176" i="1"/>
  <c r="FD210" i="1"/>
  <c r="FD344" i="1"/>
  <c r="FD212" i="1"/>
  <c r="FD174" i="1"/>
  <c r="FD214" i="1"/>
  <c r="FD256" i="1"/>
  <c r="FD222" i="1"/>
  <c r="FD217" i="1"/>
  <c r="FD218" i="1"/>
  <c r="FD219" i="1"/>
  <c r="FD220" i="1"/>
  <c r="FD205" i="1"/>
  <c r="FD103" i="1"/>
  <c r="FD223" i="1"/>
  <c r="FD224" i="1"/>
  <c r="FD225" i="1"/>
  <c r="FD226" i="1"/>
  <c r="FD227" i="1"/>
  <c r="FD228" i="1"/>
  <c r="FD229" i="1"/>
  <c r="FD230" i="1"/>
  <c r="FD231" i="1"/>
  <c r="FD232" i="1"/>
  <c r="FD292" i="1"/>
  <c r="FD234" i="1"/>
  <c r="FD235" i="1"/>
  <c r="FD371" i="1"/>
  <c r="FD237" i="1"/>
  <c r="FD238" i="1"/>
  <c r="FD2" i="1"/>
  <c r="FD189" i="1"/>
  <c r="FD241" i="1"/>
  <c r="FD160" i="1"/>
  <c r="FD243" i="1"/>
  <c r="FD244" i="1"/>
  <c r="FD245" i="1"/>
  <c r="FD246" i="1"/>
  <c r="FD247" i="1"/>
  <c r="FD248" i="1"/>
  <c r="FD249" i="1"/>
  <c r="FD250" i="1"/>
  <c r="FD251" i="1"/>
  <c r="FD252" i="1"/>
  <c r="FD253" i="1"/>
  <c r="FD254" i="1"/>
  <c r="FD255" i="1"/>
  <c r="FD213" i="1"/>
  <c r="FD257" i="1"/>
  <c r="FD258" i="1"/>
  <c r="FD259" i="1"/>
  <c r="FD260" i="1"/>
  <c r="FD261" i="1"/>
  <c r="FD262" i="1"/>
  <c r="FD263" i="1"/>
  <c r="FD264" i="1"/>
  <c r="FD265" i="1"/>
  <c r="FD34" i="1"/>
  <c r="FD267" i="1"/>
  <c r="FD268" i="1"/>
  <c r="FD269" i="1"/>
  <c r="FD270" i="1"/>
  <c r="FD271" i="1"/>
  <c r="FD272" i="1"/>
  <c r="FD273" i="1"/>
  <c r="FD274" i="1"/>
  <c r="FD275" i="1"/>
  <c r="FD276" i="1"/>
  <c r="FD277" i="1"/>
  <c r="FD171" i="1"/>
  <c r="FD279" i="1"/>
  <c r="FD280" i="1"/>
  <c r="FD281" i="1"/>
  <c r="FD126" i="1"/>
  <c r="FD283" i="1"/>
  <c r="FD284" i="1"/>
  <c r="FD285" i="1"/>
  <c r="FD286" i="1"/>
  <c r="FD287" i="1"/>
  <c r="FD288" i="1"/>
  <c r="FD289" i="1"/>
  <c r="FD290" i="1"/>
  <c r="FD291" i="1"/>
  <c r="FD354" i="1"/>
  <c r="FD293" i="1"/>
  <c r="FD180" i="1"/>
  <c r="FD295" i="1"/>
  <c r="FD296" i="1"/>
  <c r="FD297" i="1"/>
  <c r="FD298" i="1"/>
  <c r="FD167" i="1"/>
  <c r="FD300" i="1"/>
  <c r="FD301" i="1"/>
  <c r="FD302" i="1"/>
  <c r="FD303" i="1"/>
  <c r="FD304" i="1"/>
  <c r="FD305" i="1"/>
  <c r="FD306" i="1"/>
  <c r="FD307" i="1"/>
  <c r="FD308" i="1"/>
  <c r="FD309" i="1"/>
  <c r="FD310" i="1"/>
  <c r="FD311" i="1"/>
  <c r="FD312" i="1"/>
  <c r="FD313" i="1"/>
  <c r="FD314" i="1"/>
  <c r="FD315" i="1"/>
  <c r="FD316" i="1"/>
  <c r="FD317" i="1"/>
  <c r="FD318" i="1"/>
  <c r="FD319" i="1"/>
  <c r="FD320" i="1"/>
  <c r="FD321" i="1"/>
  <c r="FD322" i="1"/>
  <c r="FD323" i="1"/>
  <c r="FD367" i="1"/>
  <c r="FD349" i="1"/>
  <c r="FD326" i="1"/>
  <c r="FD327" i="1"/>
  <c r="FD328" i="1"/>
  <c r="FD329" i="1"/>
  <c r="FD330" i="1"/>
  <c r="FD331" i="1"/>
  <c r="FD332" i="1"/>
  <c r="FD333" i="1"/>
  <c r="FD334" i="1"/>
  <c r="FD335" i="1"/>
  <c r="FD336" i="1"/>
  <c r="FD337" i="1"/>
  <c r="FD211" i="1"/>
  <c r="FD339" i="1"/>
  <c r="FD340" i="1"/>
  <c r="FD341" i="1"/>
  <c r="FD342" i="1"/>
  <c r="FD343" i="1"/>
  <c r="FD346" i="1"/>
  <c r="FD345" i="1"/>
  <c r="FD282" i="1"/>
  <c r="FD347" i="1"/>
  <c r="FD348" i="1"/>
  <c r="FD239" i="1"/>
  <c r="FD350" i="1"/>
  <c r="FD351" i="1"/>
  <c r="FD352" i="1"/>
  <c r="FD353" i="1"/>
  <c r="FD137" i="1"/>
  <c r="FD355" i="1"/>
  <c r="FD356" i="1"/>
  <c r="FD357" i="1"/>
  <c r="FD358" i="1"/>
  <c r="FD359" i="1"/>
  <c r="FD360" i="1"/>
  <c r="FD143" i="1"/>
  <c r="FD362" i="1"/>
  <c r="FD363" i="1"/>
  <c r="FD364" i="1"/>
  <c r="FD365" i="1"/>
  <c r="FD366" i="1"/>
  <c r="FD324" i="1"/>
  <c r="FD368" i="1"/>
  <c r="FD369" i="1"/>
  <c r="FD370" i="1"/>
  <c r="FD236" i="1"/>
  <c r="FC3" i="1"/>
  <c r="FC4" i="1"/>
  <c r="FC136" i="1"/>
  <c r="FC6" i="1"/>
  <c r="FC120" i="1"/>
  <c r="FC8" i="1"/>
  <c r="FC9" i="1"/>
  <c r="FC10" i="1"/>
  <c r="FC11" i="1"/>
  <c r="FC12" i="1"/>
  <c r="FC13" i="1"/>
  <c r="FC14" i="1"/>
  <c r="FC15" i="1"/>
  <c r="FC16" i="1"/>
  <c r="FC17" i="1"/>
  <c r="FC108" i="1"/>
  <c r="FC19" i="1"/>
  <c r="FC20" i="1"/>
  <c r="FC21" i="1"/>
  <c r="FC104" i="1"/>
  <c r="FC141" i="1"/>
  <c r="FC24" i="1"/>
  <c r="FC25" i="1"/>
  <c r="FC26" i="1"/>
  <c r="FC185" i="1"/>
  <c r="FC28" i="1"/>
  <c r="FC29" i="1"/>
  <c r="FC30" i="1"/>
  <c r="FC31" i="1"/>
  <c r="FC32" i="1"/>
  <c r="FC33" i="1"/>
  <c r="FC78" i="1"/>
  <c r="FC35" i="1"/>
  <c r="FC36" i="1"/>
  <c r="FC37" i="1"/>
  <c r="FC38" i="1"/>
  <c r="FC168" i="1"/>
  <c r="FC40" i="1"/>
  <c r="FC41" i="1"/>
  <c r="FC42" i="1"/>
  <c r="FC43" i="1"/>
  <c r="FC44" i="1"/>
  <c r="FC45" i="1"/>
  <c r="FC46" i="1"/>
  <c r="FC135" i="1"/>
  <c r="FC48" i="1"/>
  <c r="FC49" i="1"/>
  <c r="FC50" i="1"/>
  <c r="FC51" i="1"/>
  <c r="FC52" i="1"/>
  <c r="FC53" i="1"/>
  <c r="FC54" i="1"/>
  <c r="FC55" i="1"/>
  <c r="FC56" i="1"/>
  <c r="FC197" i="1"/>
  <c r="FC58" i="1"/>
  <c r="FC59" i="1"/>
  <c r="FC60" i="1"/>
  <c r="FC61" i="1"/>
  <c r="FC62" i="1"/>
  <c r="FC63" i="1"/>
  <c r="FC64" i="1"/>
  <c r="FC65" i="1"/>
  <c r="FC66" i="1"/>
  <c r="FC67" i="1"/>
  <c r="FC68" i="1"/>
  <c r="FC69" i="1"/>
  <c r="FC70" i="1"/>
  <c r="FC71" i="1"/>
  <c r="FC72" i="1"/>
  <c r="FC18" i="1"/>
  <c r="FC74" i="1"/>
  <c r="FC75" i="1"/>
  <c r="FC76" i="1"/>
  <c r="FC77" i="1"/>
  <c r="FC175" i="1"/>
  <c r="FC278" i="1"/>
  <c r="FC80" i="1"/>
  <c r="FC81" i="1"/>
  <c r="FC82" i="1"/>
  <c r="FC83" i="1"/>
  <c r="FC84" i="1"/>
  <c r="FC85" i="1"/>
  <c r="FC86" i="1"/>
  <c r="FC87" i="1"/>
  <c r="FC88" i="1"/>
  <c r="FC89" i="1"/>
  <c r="FC90" i="1"/>
  <c r="FC91" i="1"/>
  <c r="FC92" i="1"/>
  <c r="FC93" i="1"/>
  <c r="FC361" i="1"/>
  <c r="FC95" i="1"/>
  <c r="FC96" i="1"/>
  <c r="FC97" i="1"/>
  <c r="FC98" i="1"/>
  <c r="FC99" i="1"/>
  <c r="FC100" i="1"/>
  <c r="FC101" i="1"/>
  <c r="FC102" i="1"/>
  <c r="FC207" i="1"/>
  <c r="FC57" i="1"/>
  <c r="FC105" i="1"/>
  <c r="FC106" i="1"/>
  <c r="FC107" i="1"/>
  <c r="FC94" i="1"/>
  <c r="FC109" i="1"/>
  <c r="FC110" i="1"/>
  <c r="FC111" i="1"/>
  <c r="FC112" i="1"/>
  <c r="FC240" i="1"/>
  <c r="FC114" i="1"/>
  <c r="FC115" i="1"/>
  <c r="FC116" i="1"/>
  <c r="FC117" i="1"/>
  <c r="FC118" i="1"/>
  <c r="FC119" i="1"/>
  <c r="FC209" i="1"/>
  <c r="FC121" i="1"/>
  <c r="FC122" i="1"/>
  <c r="FC123" i="1"/>
  <c r="FC124" i="1"/>
  <c r="FC125" i="1"/>
  <c r="FC22" i="1"/>
  <c r="FC127" i="1"/>
  <c r="FC128" i="1"/>
  <c r="FC129" i="1"/>
  <c r="FC130" i="1"/>
  <c r="FC131" i="1"/>
  <c r="FC132" i="1"/>
  <c r="FC133" i="1"/>
  <c r="FC5" i="1"/>
  <c r="FC221" i="1"/>
  <c r="FC134" i="1"/>
  <c r="FC7" i="1"/>
  <c r="FC138" i="1"/>
  <c r="FC139" i="1"/>
  <c r="FC140" i="1"/>
  <c r="FC266" i="1"/>
  <c r="FC142" i="1"/>
  <c r="FC216" i="1"/>
  <c r="FC144" i="1"/>
  <c r="FC145" i="1"/>
  <c r="FC146" i="1"/>
  <c r="FC147" i="1"/>
  <c r="FC148" i="1"/>
  <c r="FC149" i="1"/>
  <c r="FC150" i="1"/>
  <c r="FC151" i="1"/>
  <c r="FC152" i="1"/>
  <c r="FC153" i="1"/>
  <c r="FC154" i="1"/>
  <c r="FC155" i="1"/>
  <c r="FC156" i="1"/>
  <c r="FC157" i="1"/>
  <c r="FC158" i="1"/>
  <c r="FC159" i="1"/>
  <c r="FC233" i="1"/>
  <c r="FC294" i="1"/>
  <c r="FC162" i="1"/>
  <c r="FC163" i="1"/>
  <c r="FC164" i="1"/>
  <c r="FC165" i="1"/>
  <c r="FC166" i="1"/>
  <c r="FC27" i="1"/>
  <c r="FC215" i="1"/>
  <c r="FC169" i="1"/>
  <c r="FC170" i="1"/>
  <c r="FC73" i="1"/>
  <c r="FC172" i="1"/>
  <c r="FC173" i="1"/>
  <c r="FC113" i="1"/>
  <c r="FC299" i="1"/>
  <c r="FC338" i="1"/>
  <c r="FC177" i="1"/>
  <c r="FC178" i="1"/>
  <c r="FC179" i="1"/>
  <c r="FC47" i="1"/>
  <c r="FC181" i="1"/>
  <c r="FC182" i="1"/>
  <c r="FC183" i="1"/>
  <c r="FC184" i="1"/>
  <c r="FC242" i="1"/>
  <c r="FC186" i="1"/>
  <c r="FC187" i="1"/>
  <c r="FC188" i="1"/>
  <c r="FC325" i="1"/>
  <c r="FC190" i="1"/>
  <c r="FC191" i="1"/>
  <c r="FC192" i="1"/>
  <c r="FC193" i="1"/>
  <c r="FC194" i="1"/>
  <c r="FC195" i="1"/>
  <c r="FC196" i="1"/>
  <c r="FC79" i="1"/>
  <c r="FC198" i="1"/>
  <c r="FC199" i="1"/>
  <c r="FC200" i="1"/>
  <c r="FC201" i="1"/>
  <c r="FC202" i="1"/>
  <c r="FC203" i="1"/>
  <c r="FC204" i="1"/>
  <c r="FC161" i="1"/>
  <c r="FC206" i="1"/>
  <c r="FC39" i="1"/>
  <c r="FC208" i="1"/>
  <c r="FC176" i="1"/>
  <c r="FC210" i="1"/>
  <c r="FC344" i="1"/>
  <c r="FC212" i="1"/>
  <c r="FC174" i="1"/>
  <c r="FC214" i="1"/>
  <c r="FC256" i="1"/>
  <c r="FC222" i="1"/>
  <c r="FC217" i="1"/>
  <c r="FC218" i="1"/>
  <c r="FC219" i="1"/>
  <c r="FC220" i="1"/>
  <c r="FC205" i="1"/>
  <c r="FC103" i="1"/>
  <c r="FC223" i="1"/>
  <c r="FC224" i="1"/>
  <c r="FC225" i="1"/>
  <c r="FC226" i="1"/>
  <c r="FC227" i="1"/>
  <c r="FC228" i="1"/>
  <c r="FC229" i="1"/>
  <c r="FC230" i="1"/>
  <c r="FC231" i="1"/>
  <c r="FC232" i="1"/>
  <c r="FC292" i="1"/>
  <c r="FC234" i="1"/>
  <c r="FC235" i="1"/>
  <c r="FC371" i="1"/>
  <c r="FC237" i="1"/>
  <c r="FC238" i="1"/>
  <c r="FC2" i="1"/>
  <c r="FC189" i="1"/>
  <c r="FC241" i="1"/>
  <c r="FC160" i="1"/>
  <c r="FC243" i="1"/>
  <c r="FC244" i="1"/>
  <c r="FC245" i="1"/>
  <c r="FC246" i="1"/>
  <c r="FC247" i="1"/>
  <c r="FC248" i="1"/>
  <c r="FC249" i="1"/>
  <c r="FC250" i="1"/>
  <c r="FC251" i="1"/>
  <c r="FC252" i="1"/>
  <c r="FC253" i="1"/>
  <c r="FC254" i="1"/>
  <c r="FC255" i="1"/>
  <c r="FC213" i="1"/>
  <c r="FC257" i="1"/>
  <c r="FC258" i="1"/>
  <c r="FC259" i="1"/>
  <c r="FC260" i="1"/>
  <c r="FC261" i="1"/>
  <c r="FC262" i="1"/>
  <c r="FC263" i="1"/>
  <c r="FC264" i="1"/>
  <c r="FC265" i="1"/>
  <c r="FC34" i="1"/>
  <c r="FC267" i="1"/>
  <c r="FC268" i="1"/>
  <c r="FC269" i="1"/>
  <c r="FC270" i="1"/>
  <c r="FC271" i="1"/>
  <c r="FC272" i="1"/>
  <c r="FC273" i="1"/>
  <c r="FC274" i="1"/>
  <c r="FC275" i="1"/>
  <c r="FC276" i="1"/>
  <c r="FC277" i="1"/>
  <c r="FC171" i="1"/>
  <c r="FC279" i="1"/>
  <c r="FC280" i="1"/>
  <c r="FC281" i="1"/>
  <c r="FC126" i="1"/>
  <c r="FC283" i="1"/>
  <c r="FC284" i="1"/>
  <c r="FC285" i="1"/>
  <c r="FC286" i="1"/>
  <c r="FC287" i="1"/>
  <c r="FC288" i="1"/>
  <c r="FC289" i="1"/>
  <c r="FC290" i="1"/>
  <c r="FC291" i="1"/>
  <c r="FC354" i="1"/>
  <c r="FC293" i="1"/>
  <c r="FC180" i="1"/>
  <c r="FC295" i="1"/>
  <c r="FC296" i="1"/>
  <c r="FC297" i="1"/>
  <c r="FC298" i="1"/>
  <c r="FC167" i="1"/>
  <c r="FC300" i="1"/>
  <c r="FC301" i="1"/>
  <c r="FC302" i="1"/>
  <c r="FC303" i="1"/>
  <c r="FC304" i="1"/>
  <c r="FC305" i="1"/>
  <c r="FC306" i="1"/>
  <c r="FC307" i="1"/>
  <c r="FC308" i="1"/>
  <c r="FC309" i="1"/>
  <c r="FC310" i="1"/>
  <c r="FC311" i="1"/>
  <c r="FC312" i="1"/>
  <c r="FC313" i="1"/>
  <c r="FC314" i="1"/>
  <c r="FC315" i="1"/>
  <c r="FC316" i="1"/>
  <c r="FC317" i="1"/>
  <c r="FC318" i="1"/>
  <c r="FC319" i="1"/>
  <c r="FC320" i="1"/>
  <c r="FC321" i="1"/>
  <c r="FC322" i="1"/>
  <c r="FC323" i="1"/>
  <c r="FC367" i="1"/>
  <c r="FC349" i="1"/>
  <c r="FC326" i="1"/>
  <c r="FC327" i="1"/>
  <c r="FC328" i="1"/>
  <c r="FC329" i="1"/>
  <c r="FC330" i="1"/>
  <c r="FC331" i="1"/>
  <c r="FC332" i="1"/>
  <c r="FC333" i="1"/>
  <c r="FC334" i="1"/>
  <c r="FC335" i="1"/>
  <c r="FC336" i="1"/>
  <c r="FC337" i="1"/>
  <c r="FC211" i="1"/>
  <c r="FC339" i="1"/>
  <c r="FC340" i="1"/>
  <c r="FC341" i="1"/>
  <c r="FC342" i="1"/>
  <c r="FC343" i="1"/>
  <c r="FC346" i="1"/>
  <c r="FC345" i="1"/>
  <c r="FC282" i="1"/>
  <c r="FC347" i="1"/>
  <c r="FC348" i="1"/>
  <c r="FC239" i="1"/>
  <c r="FC350" i="1"/>
  <c r="FC351" i="1"/>
  <c r="FC352" i="1"/>
  <c r="FC353" i="1"/>
  <c r="FC137" i="1"/>
  <c r="FC355" i="1"/>
  <c r="FC356" i="1"/>
  <c r="FC357" i="1"/>
  <c r="FC358" i="1"/>
  <c r="FC359" i="1"/>
  <c r="FC360" i="1"/>
  <c r="FC143" i="1"/>
  <c r="FC362" i="1"/>
  <c r="FC363" i="1"/>
  <c r="FC364" i="1"/>
  <c r="FC365" i="1"/>
  <c r="FC366" i="1"/>
  <c r="FC324" i="1"/>
  <c r="FC368" i="1"/>
  <c r="FC369" i="1"/>
  <c r="FC370" i="1"/>
  <c r="FC236" i="1"/>
  <c r="FB3" i="1"/>
  <c r="FB4" i="1"/>
  <c r="FB136" i="1"/>
  <c r="FB6" i="1"/>
  <c r="FB120" i="1"/>
  <c r="FB8" i="1"/>
  <c r="FB9" i="1"/>
  <c r="FB10" i="1"/>
  <c r="FB11" i="1"/>
  <c r="FB12" i="1"/>
  <c r="FB13" i="1"/>
  <c r="FB14" i="1"/>
  <c r="FB15" i="1"/>
  <c r="FB16" i="1"/>
  <c r="FB17" i="1"/>
  <c r="FB108" i="1"/>
  <c r="FB19" i="1"/>
  <c r="FB20" i="1"/>
  <c r="FB21" i="1"/>
  <c r="FB104" i="1"/>
  <c r="FB141" i="1"/>
  <c r="FB24" i="1"/>
  <c r="FB25" i="1"/>
  <c r="FB26" i="1"/>
  <c r="FB185" i="1"/>
  <c r="FB28" i="1"/>
  <c r="FB29" i="1"/>
  <c r="FB30" i="1"/>
  <c r="FB31" i="1"/>
  <c r="FB32" i="1"/>
  <c r="FB33" i="1"/>
  <c r="FB78" i="1"/>
  <c r="FB35" i="1"/>
  <c r="FB36" i="1"/>
  <c r="FB37" i="1"/>
  <c r="FB38" i="1"/>
  <c r="FB168" i="1"/>
  <c r="FB40" i="1"/>
  <c r="FB41" i="1"/>
  <c r="FB42" i="1"/>
  <c r="FB43" i="1"/>
  <c r="FB44" i="1"/>
  <c r="FB45" i="1"/>
  <c r="FB46" i="1"/>
  <c r="FB135" i="1"/>
  <c r="FB48" i="1"/>
  <c r="FB49" i="1"/>
  <c r="FB50" i="1"/>
  <c r="FB51" i="1"/>
  <c r="FB52" i="1"/>
  <c r="FB53" i="1"/>
  <c r="FB54" i="1"/>
  <c r="FB55" i="1"/>
  <c r="FB56" i="1"/>
  <c r="FB197" i="1"/>
  <c r="FB58" i="1"/>
  <c r="FB59" i="1"/>
  <c r="FB60" i="1"/>
  <c r="FB61" i="1"/>
  <c r="FB62" i="1"/>
  <c r="FB63" i="1"/>
  <c r="FB64" i="1"/>
  <c r="FB65" i="1"/>
  <c r="FB66" i="1"/>
  <c r="FB67" i="1"/>
  <c r="FB68" i="1"/>
  <c r="FB69" i="1"/>
  <c r="FB70" i="1"/>
  <c r="FB71" i="1"/>
  <c r="FB72" i="1"/>
  <c r="FB18" i="1"/>
  <c r="FB74" i="1"/>
  <c r="FB75" i="1"/>
  <c r="FB76" i="1"/>
  <c r="FB77" i="1"/>
  <c r="FB175" i="1"/>
  <c r="FB278" i="1"/>
  <c r="FB80" i="1"/>
  <c r="FB81" i="1"/>
  <c r="FB82" i="1"/>
  <c r="FB83" i="1"/>
  <c r="FB84" i="1"/>
  <c r="FB85" i="1"/>
  <c r="FB86" i="1"/>
  <c r="FB87" i="1"/>
  <c r="FB88" i="1"/>
  <c r="FB89" i="1"/>
  <c r="FB90" i="1"/>
  <c r="FB91" i="1"/>
  <c r="FB92" i="1"/>
  <c r="FB93" i="1"/>
  <c r="FB361" i="1"/>
  <c r="FB95" i="1"/>
  <c r="FB96" i="1"/>
  <c r="FB97" i="1"/>
  <c r="FB98" i="1"/>
  <c r="FB99" i="1"/>
  <c r="FB100" i="1"/>
  <c r="FB101" i="1"/>
  <c r="FB102" i="1"/>
  <c r="FB207" i="1"/>
  <c r="FB57" i="1"/>
  <c r="FB105" i="1"/>
  <c r="FB106" i="1"/>
  <c r="FB107" i="1"/>
  <c r="FB94" i="1"/>
  <c r="FB109" i="1"/>
  <c r="FB110" i="1"/>
  <c r="FB111" i="1"/>
  <c r="FB112" i="1"/>
  <c r="FB240" i="1"/>
  <c r="FB114" i="1"/>
  <c r="FB115" i="1"/>
  <c r="FB116" i="1"/>
  <c r="FB117" i="1"/>
  <c r="FB118" i="1"/>
  <c r="FB119" i="1"/>
  <c r="FB209" i="1"/>
  <c r="FB121" i="1"/>
  <c r="FB122" i="1"/>
  <c r="FB123" i="1"/>
  <c r="FB124" i="1"/>
  <c r="FB125" i="1"/>
  <c r="FB22" i="1"/>
  <c r="FB127" i="1"/>
  <c r="FB128" i="1"/>
  <c r="FB129" i="1"/>
  <c r="FB130" i="1"/>
  <c r="FB131" i="1"/>
  <c r="FB132" i="1"/>
  <c r="FB133" i="1"/>
  <c r="FB5" i="1"/>
  <c r="FB221" i="1"/>
  <c r="FB134" i="1"/>
  <c r="FB7" i="1"/>
  <c r="FB138" i="1"/>
  <c r="FB139" i="1"/>
  <c r="FB140" i="1"/>
  <c r="FB266" i="1"/>
  <c r="FB142" i="1"/>
  <c r="FB216" i="1"/>
  <c r="FB144" i="1"/>
  <c r="FB145" i="1"/>
  <c r="FB146" i="1"/>
  <c r="FB147" i="1"/>
  <c r="FB148" i="1"/>
  <c r="FB149" i="1"/>
  <c r="FB150" i="1"/>
  <c r="FB151" i="1"/>
  <c r="FB152" i="1"/>
  <c r="FB153" i="1"/>
  <c r="FB154" i="1"/>
  <c r="FB155" i="1"/>
  <c r="FB156" i="1"/>
  <c r="FB157" i="1"/>
  <c r="FB158" i="1"/>
  <c r="FB159" i="1"/>
  <c r="FB233" i="1"/>
  <c r="FB294" i="1"/>
  <c r="FB162" i="1"/>
  <c r="FB163" i="1"/>
  <c r="FB164" i="1"/>
  <c r="FB165" i="1"/>
  <c r="FB166" i="1"/>
  <c r="FB27" i="1"/>
  <c r="FB215" i="1"/>
  <c r="FB169" i="1"/>
  <c r="FB170" i="1"/>
  <c r="FB73" i="1"/>
  <c r="FB172" i="1"/>
  <c r="FB173" i="1"/>
  <c r="FB113" i="1"/>
  <c r="FB299" i="1"/>
  <c r="FB338" i="1"/>
  <c r="FB177" i="1"/>
  <c r="FB178" i="1"/>
  <c r="FB179" i="1"/>
  <c r="FB47" i="1"/>
  <c r="FB181" i="1"/>
  <c r="FB182" i="1"/>
  <c r="FB183" i="1"/>
  <c r="FB184" i="1"/>
  <c r="FB242" i="1"/>
  <c r="FB186" i="1"/>
  <c r="FB187" i="1"/>
  <c r="FB188" i="1"/>
  <c r="FB325" i="1"/>
  <c r="FB190" i="1"/>
  <c r="FB191" i="1"/>
  <c r="FB192" i="1"/>
  <c r="FB193" i="1"/>
  <c r="FB194" i="1"/>
  <c r="FB195" i="1"/>
  <c r="FB196" i="1"/>
  <c r="FB79" i="1"/>
  <c r="FB198" i="1"/>
  <c r="FB199" i="1"/>
  <c r="FB200" i="1"/>
  <c r="FB201" i="1"/>
  <c r="FB202" i="1"/>
  <c r="FB203" i="1"/>
  <c r="FB204" i="1"/>
  <c r="FB161" i="1"/>
  <c r="FB206" i="1"/>
  <c r="FB39" i="1"/>
  <c r="FB208" i="1"/>
  <c r="FB176" i="1"/>
  <c r="FB210" i="1"/>
  <c r="FB344" i="1"/>
  <c r="FB212" i="1"/>
  <c r="FB174" i="1"/>
  <c r="FB214" i="1"/>
  <c r="FB256" i="1"/>
  <c r="FB222" i="1"/>
  <c r="FB217" i="1"/>
  <c r="FB218" i="1"/>
  <c r="FB219" i="1"/>
  <c r="FB220" i="1"/>
  <c r="FB205" i="1"/>
  <c r="FB103" i="1"/>
  <c r="FB223" i="1"/>
  <c r="FB224" i="1"/>
  <c r="FB225" i="1"/>
  <c r="FB226" i="1"/>
  <c r="FB227" i="1"/>
  <c r="FB228" i="1"/>
  <c r="FB229" i="1"/>
  <c r="FB230" i="1"/>
  <c r="FB231" i="1"/>
  <c r="FB232" i="1"/>
  <c r="FB292" i="1"/>
  <c r="FB234" i="1"/>
  <c r="FB235" i="1"/>
  <c r="FB371" i="1"/>
  <c r="FB237" i="1"/>
  <c r="FB238" i="1"/>
  <c r="FB2" i="1"/>
  <c r="FB189" i="1"/>
  <c r="FB241" i="1"/>
  <c r="FB160" i="1"/>
  <c r="FB243" i="1"/>
  <c r="FB244" i="1"/>
  <c r="FB245" i="1"/>
  <c r="FB246" i="1"/>
  <c r="FB247" i="1"/>
  <c r="FB248" i="1"/>
  <c r="FB249" i="1"/>
  <c r="FB250" i="1"/>
  <c r="FB251" i="1"/>
  <c r="FB252" i="1"/>
  <c r="FB253" i="1"/>
  <c r="FB254" i="1"/>
  <c r="FB255" i="1"/>
  <c r="FB213" i="1"/>
  <c r="FB257" i="1"/>
  <c r="FB258" i="1"/>
  <c r="FB259" i="1"/>
  <c r="FB260" i="1"/>
  <c r="FB261" i="1"/>
  <c r="FB262" i="1"/>
  <c r="FB263" i="1"/>
  <c r="FB264" i="1"/>
  <c r="FB265" i="1"/>
  <c r="FB34" i="1"/>
  <c r="FB267" i="1"/>
  <c r="FB268" i="1"/>
  <c r="FB269" i="1"/>
  <c r="FB270" i="1"/>
  <c r="FB271" i="1"/>
  <c r="FB272" i="1"/>
  <c r="FB273" i="1"/>
  <c r="FB274" i="1"/>
  <c r="FB275" i="1"/>
  <c r="FB276" i="1"/>
  <c r="FB277" i="1"/>
  <c r="FB171" i="1"/>
  <c r="FB279" i="1"/>
  <c r="FB280" i="1"/>
  <c r="FB281" i="1"/>
  <c r="FB126" i="1"/>
  <c r="FB283" i="1"/>
  <c r="FB284" i="1"/>
  <c r="FB285" i="1"/>
  <c r="FB286" i="1"/>
  <c r="FB287" i="1"/>
  <c r="FB288" i="1"/>
  <c r="FB289" i="1"/>
  <c r="FB290" i="1"/>
  <c r="FB291" i="1"/>
  <c r="FB354" i="1"/>
  <c r="FB293" i="1"/>
  <c r="FB180" i="1"/>
  <c r="FB295" i="1"/>
  <c r="FB296" i="1"/>
  <c r="FB297" i="1"/>
  <c r="FB298" i="1"/>
  <c r="FB167" i="1"/>
  <c r="FB300" i="1"/>
  <c r="FB301" i="1"/>
  <c r="FB302" i="1"/>
  <c r="FB303" i="1"/>
  <c r="FB304" i="1"/>
  <c r="FB305" i="1"/>
  <c r="FB306" i="1"/>
  <c r="FB307" i="1"/>
  <c r="FB308" i="1"/>
  <c r="FB309" i="1"/>
  <c r="FB310" i="1"/>
  <c r="FB311" i="1"/>
  <c r="FB312" i="1"/>
  <c r="FB313" i="1"/>
  <c r="FB314" i="1"/>
  <c r="FB315" i="1"/>
  <c r="FB316" i="1"/>
  <c r="FB317" i="1"/>
  <c r="FB318" i="1"/>
  <c r="FB319" i="1"/>
  <c r="FB320" i="1"/>
  <c r="FB321" i="1"/>
  <c r="FB322" i="1"/>
  <c r="FB323" i="1"/>
  <c r="FB367" i="1"/>
  <c r="FB349" i="1"/>
  <c r="FB326" i="1"/>
  <c r="FB327" i="1"/>
  <c r="FB328" i="1"/>
  <c r="FB329" i="1"/>
  <c r="FB330" i="1"/>
  <c r="FB331" i="1"/>
  <c r="FB332" i="1"/>
  <c r="FB333" i="1"/>
  <c r="FB334" i="1"/>
  <c r="FB335" i="1"/>
  <c r="FB336" i="1"/>
  <c r="FB337" i="1"/>
  <c r="FB211" i="1"/>
  <c r="FB339" i="1"/>
  <c r="FB340" i="1"/>
  <c r="FB341" i="1"/>
  <c r="FB342" i="1"/>
  <c r="FB343" i="1"/>
  <c r="FB346" i="1"/>
  <c r="FB345" i="1"/>
  <c r="FB282" i="1"/>
  <c r="FB347" i="1"/>
  <c r="FB348" i="1"/>
  <c r="FB239" i="1"/>
  <c r="FB350" i="1"/>
  <c r="FB351" i="1"/>
  <c r="FB352" i="1"/>
  <c r="FB353" i="1"/>
  <c r="FB137" i="1"/>
  <c r="FB355" i="1"/>
  <c r="FB356" i="1"/>
  <c r="FB357" i="1"/>
  <c r="FB358" i="1"/>
  <c r="FB359" i="1"/>
  <c r="FB360" i="1"/>
  <c r="FB143" i="1"/>
  <c r="FB362" i="1"/>
  <c r="FB363" i="1"/>
  <c r="FB364" i="1"/>
  <c r="FB365" i="1"/>
  <c r="FB366" i="1"/>
  <c r="FB324" i="1"/>
  <c r="FB368" i="1"/>
  <c r="FB369" i="1"/>
  <c r="FB370" i="1"/>
  <c r="FB236" i="1"/>
  <c r="FE23" i="1"/>
  <c r="FD23" i="1"/>
  <c r="FC23" i="1"/>
  <c r="FB23" i="1"/>
  <c r="FA3" i="1"/>
  <c r="FA4" i="1"/>
  <c r="FA136" i="1"/>
  <c r="FA6" i="1"/>
  <c r="FA120" i="1"/>
  <c r="FA8" i="1"/>
  <c r="FA9" i="1"/>
  <c r="FA10" i="1"/>
  <c r="FA11" i="1"/>
  <c r="FA12" i="1"/>
  <c r="FA13" i="1"/>
  <c r="FA14" i="1"/>
  <c r="FA15" i="1"/>
  <c r="FA16" i="1"/>
  <c r="FA17" i="1"/>
  <c r="FA108" i="1"/>
  <c r="FA19" i="1"/>
  <c r="FA20" i="1"/>
  <c r="FA21" i="1"/>
  <c r="FA104" i="1"/>
  <c r="FA141" i="1"/>
  <c r="FA24" i="1"/>
  <c r="FA25" i="1"/>
  <c r="FA26" i="1"/>
  <c r="FA185" i="1"/>
  <c r="FA28" i="1"/>
  <c r="FA29" i="1"/>
  <c r="FA30" i="1"/>
  <c r="FA31" i="1"/>
  <c r="FA32" i="1"/>
  <c r="FA33" i="1"/>
  <c r="FA78" i="1"/>
  <c r="FA35" i="1"/>
  <c r="FA36" i="1"/>
  <c r="FA37" i="1"/>
  <c r="FA38" i="1"/>
  <c r="FA168" i="1"/>
  <c r="FA40" i="1"/>
  <c r="FA41" i="1"/>
  <c r="FA42" i="1"/>
  <c r="FA43" i="1"/>
  <c r="FA44" i="1"/>
  <c r="FA45" i="1"/>
  <c r="FA46" i="1"/>
  <c r="FA135" i="1"/>
  <c r="FA48" i="1"/>
  <c r="FA49" i="1"/>
  <c r="FA50" i="1"/>
  <c r="FA51" i="1"/>
  <c r="FA52" i="1"/>
  <c r="FA53" i="1"/>
  <c r="FA54" i="1"/>
  <c r="FA55" i="1"/>
  <c r="FA56" i="1"/>
  <c r="FA197" i="1"/>
  <c r="FA58" i="1"/>
  <c r="FA59" i="1"/>
  <c r="FA60" i="1"/>
  <c r="FA61" i="1"/>
  <c r="FA62" i="1"/>
  <c r="FA63" i="1"/>
  <c r="FA64" i="1"/>
  <c r="FA65" i="1"/>
  <c r="FA66" i="1"/>
  <c r="FA67" i="1"/>
  <c r="FA68" i="1"/>
  <c r="FA69" i="1"/>
  <c r="FA70" i="1"/>
  <c r="FA71" i="1"/>
  <c r="FA72" i="1"/>
  <c r="FA18" i="1"/>
  <c r="FA74" i="1"/>
  <c r="FA75" i="1"/>
  <c r="FA76" i="1"/>
  <c r="FA77" i="1"/>
  <c r="FA175" i="1"/>
  <c r="FA278" i="1"/>
  <c r="FA80" i="1"/>
  <c r="FA81" i="1"/>
  <c r="FA82" i="1"/>
  <c r="FA83" i="1"/>
  <c r="FA84" i="1"/>
  <c r="FA85" i="1"/>
  <c r="FA86" i="1"/>
  <c r="FA87" i="1"/>
  <c r="FA88" i="1"/>
  <c r="FA89" i="1"/>
  <c r="FA90" i="1"/>
  <c r="FA91" i="1"/>
  <c r="FA92" i="1"/>
  <c r="FA93" i="1"/>
  <c r="FA361" i="1"/>
  <c r="FA95" i="1"/>
  <c r="FA96" i="1"/>
  <c r="FA97" i="1"/>
  <c r="FA98" i="1"/>
  <c r="FA99" i="1"/>
  <c r="FA100" i="1"/>
  <c r="FA101" i="1"/>
  <c r="FA102" i="1"/>
  <c r="FA207" i="1"/>
  <c r="FA57" i="1"/>
  <c r="FA105" i="1"/>
  <c r="FA106" i="1"/>
  <c r="FA107" i="1"/>
  <c r="FA94" i="1"/>
  <c r="FA109" i="1"/>
  <c r="FA110" i="1"/>
  <c r="FA111" i="1"/>
  <c r="FA112" i="1"/>
  <c r="FA240" i="1"/>
  <c r="FA114" i="1"/>
  <c r="FA115" i="1"/>
  <c r="FA116" i="1"/>
  <c r="FA117" i="1"/>
  <c r="FA118" i="1"/>
  <c r="FA119" i="1"/>
  <c r="FA209" i="1"/>
  <c r="FA121" i="1"/>
  <c r="FA122" i="1"/>
  <c r="FA123" i="1"/>
  <c r="FA124" i="1"/>
  <c r="FA125" i="1"/>
  <c r="FA22" i="1"/>
  <c r="FA127" i="1"/>
  <c r="FA128" i="1"/>
  <c r="FA129" i="1"/>
  <c r="FA130" i="1"/>
  <c r="FA131" i="1"/>
  <c r="FA132" i="1"/>
  <c r="FA133" i="1"/>
  <c r="FA5" i="1"/>
  <c r="FA221" i="1"/>
  <c r="FA134" i="1"/>
  <c r="FA7" i="1"/>
  <c r="FA138" i="1"/>
  <c r="FA139" i="1"/>
  <c r="FA140" i="1"/>
  <c r="FA266" i="1"/>
  <c r="FA142" i="1"/>
  <c r="FA216" i="1"/>
  <c r="FA144" i="1"/>
  <c r="FA145" i="1"/>
  <c r="FA146" i="1"/>
  <c r="FA147" i="1"/>
  <c r="FA148" i="1"/>
  <c r="FA149" i="1"/>
  <c r="FA150" i="1"/>
  <c r="FA151" i="1"/>
  <c r="FA152" i="1"/>
  <c r="FA153" i="1"/>
  <c r="FA154" i="1"/>
  <c r="FA155" i="1"/>
  <c r="FA156" i="1"/>
  <c r="FA157" i="1"/>
  <c r="FA158" i="1"/>
  <c r="FA159" i="1"/>
  <c r="FA233" i="1"/>
  <c r="FA294" i="1"/>
  <c r="FA162" i="1"/>
  <c r="FA163" i="1"/>
  <c r="FA164" i="1"/>
  <c r="FA165" i="1"/>
  <c r="FA166" i="1"/>
  <c r="FA27" i="1"/>
  <c r="FA215" i="1"/>
  <c r="FA169" i="1"/>
  <c r="FA170" i="1"/>
  <c r="FA73" i="1"/>
  <c r="FA172" i="1"/>
  <c r="FA173" i="1"/>
  <c r="FA113" i="1"/>
  <c r="FA299" i="1"/>
  <c r="FA338" i="1"/>
  <c r="FA177" i="1"/>
  <c r="FA178" i="1"/>
  <c r="FA179" i="1"/>
  <c r="FA47" i="1"/>
  <c r="FA181" i="1"/>
  <c r="FA182" i="1"/>
  <c r="FA183" i="1"/>
  <c r="FA184" i="1"/>
  <c r="FA242" i="1"/>
  <c r="FA186" i="1"/>
  <c r="FA187" i="1"/>
  <c r="FA188" i="1"/>
  <c r="FA325" i="1"/>
  <c r="FA190" i="1"/>
  <c r="FA191" i="1"/>
  <c r="FA192" i="1"/>
  <c r="FA193" i="1"/>
  <c r="FA194" i="1"/>
  <c r="FA195" i="1"/>
  <c r="FA196" i="1"/>
  <c r="FA79" i="1"/>
  <c r="FA198" i="1"/>
  <c r="FA199" i="1"/>
  <c r="FA200" i="1"/>
  <c r="FA201" i="1"/>
  <c r="FA202" i="1"/>
  <c r="FA203" i="1"/>
  <c r="FA204" i="1"/>
  <c r="FA161" i="1"/>
  <c r="FA206" i="1"/>
  <c r="FA39" i="1"/>
  <c r="FA208" i="1"/>
  <c r="FA176" i="1"/>
  <c r="FA210" i="1"/>
  <c r="FA344" i="1"/>
  <c r="FA212" i="1"/>
  <c r="FA174" i="1"/>
  <c r="FA214" i="1"/>
  <c r="FA256" i="1"/>
  <c r="FA222" i="1"/>
  <c r="FA217" i="1"/>
  <c r="FA218" i="1"/>
  <c r="FA219" i="1"/>
  <c r="FA220" i="1"/>
  <c r="FA205" i="1"/>
  <c r="FA103" i="1"/>
  <c r="FA223" i="1"/>
  <c r="FA224" i="1"/>
  <c r="FA225" i="1"/>
  <c r="FA226" i="1"/>
  <c r="FA227" i="1"/>
  <c r="FA228" i="1"/>
  <c r="FA229" i="1"/>
  <c r="FA230" i="1"/>
  <c r="FA231" i="1"/>
  <c r="FA232" i="1"/>
  <c r="FA292" i="1"/>
  <c r="FA234" i="1"/>
  <c r="FA235" i="1"/>
  <c r="FA371" i="1"/>
  <c r="FA237" i="1"/>
  <c r="FA238" i="1"/>
  <c r="FA2" i="1"/>
  <c r="FA189" i="1"/>
  <c r="FA241" i="1"/>
  <c r="FA160" i="1"/>
  <c r="FA243" i="1"/>
  <c r="FA244" i="1"/>
  <c r="FA245" i="1"/>
  <c r="FA246" i="1"/>
  <c r="FA247" i="1"/>
  <c r="FA248" i="1"/>
  <c r="FA249" i="1"/>
  <c r="FA250" i="1"/>
  <c r="FA251" i="1"/>
  <c r="FA252" i="1"/>
  <c r="FA253" i="1"/>
  <c r="FA254" i="1"/>
  <c r="FA255" i="1"/>
  <c r="FA213" i="1"/>
  <c r="FA257" i="1"/>
  <c r="FA258" i="1"/>
  <c r="FA259" i="1"/>
  <c r="FA260" i="1"/>
  <c r="FA261" i="1"/>
  <c r="FA262" i="1"/>
  <c r="FA263" i="1"/>
  <c r="FA264" i="1"/>
  <c r="FA265" i="1"/>
  <c r="FA34" i="1"/>
  <c r="FA267" i="1"/>
  <c r="FA268" i="1"/>
  <c r="FA269" i="1"/>
  <c r="FA270" i="1"/>
  <c r="FA271" i="1"/>
  <c r="FA272" i="1"/>
  <c r="FA273" i="1"/>
  <c r="FA274" i="1"/>
  <c r="FA275" i="1"/>
  <c r="FA276" i="1"/>
  <c r="FA277" i="1"/>
  <c r="FA171" i="1"/>
  <c r="FA279" i="1"/>
  <c r="FA280" i="1"/>
  <c r="FA281" i="1"/>
  <c r="FA126" i="1"/>
  <c r="FA283" i="1"/>
  <c r="FA284" i="1"/>
  <c r="FA285" i="1"/>
  <c r="FA286" i="1"/>
  <c r="FA287" i="1"/>
  <c r="FA288" i="1"/>
  <c r="FA289" i="1"/>
  <c r="FA290" i="1"/>
  <c r="FA291" i="1"/>
  <c r="FA354" i="1"/>
  <c r="FA293" i="1"/>
  <c r="FA180" i="1"/>
  <c r="FA295" i="1"/>
  <c r="FA296" i="1"/>
  <c r="FA297" i="1"/>
  <c r="FA298" i="1"/>
  <c r="FA167" i="1"/>
  <c r="FA300" i="1"/>
  <c r="FA301" i="1"/>
  <c r="FA302" i="1"/>
  <c r="FA303" i="1"/>
  <c r="FA304" i="1"/>
  <c r="FA305" i="1"/>
  <c r="FA306" i="1"/>
  <c r="FA307" i="1"/>
  <c r="FA308" i="1"/>
  <c r="FA309" i="1"/>
  <c r="FA310" i="1"/>
  <c r="FA311" i="1"/>
  <c r="FA312" i="1"/>
  <c r="FA313" i="1"/>
  <c r="FA314" i="1"/>
  <c r="FA315" i="1"/>
  <c r="FA316" i="1"/>
  <c r="FA317" i="1"/>
  <c r="FA318" i="1"/>
  <c r="FA319" i="1"/>
  <c r="FA320" i="1"/>
  <c r="FA321" i="1"/>
  <c r="FA322" i="1"/>
  <c r="FA323" i="1"/>
  <c r="FA367" i="1"/>
  <c r="FA349" i="1"/>
  <c r="FA326" i="1"/>
  <c r="FA327" i="1"/>
  <c r="FA328" i="1"/>
  <c r="FA329" i="1"/>
  <c r="FA330" i="1"/>
  <c r="FA331" i="1"/>
  <c r="FA332" i="1"/>
  <c r="FA333" i="1"/>
  <c r="FA334" i="1"/>
  <c r="FA335" i="1"/>
  <c r="FA336" i="1"/>
  <c r="FA337" i="1"/>
  <c r="FA211" i="1"/>
  <c r="FA339" i="1"/>
  <c r="FA340" i="1"/>
  <c r="FA341" i="1"/>
  <c r="FA342" i="1"/>
  <c r="FA343" i="1"/>
  <c r="FA346" i="1"/>
  <c r="FA345" i="1"/>
  <c r="FA282" i="1"/>
  <c r="FA347" i="1"/>
  <c r="FA348" i="1"/>
  <c r="FA239" i="1"/>
  <c r="FA350" i="1"/>
  <c r="FA351" i="1"/>
  <c r="FA352" i="1"/>
  <c r="FA353" i="1"/>
  <c r="FA137" i="1"/>
  <c r="FA355" i="1"/>
  <c r="FA356" i="1"/>
  <c r="FA357" i="1"/>
  <c r="FA358" i="1"/>
  <c r="FA359" i="1"/>
  <c r="FA360" i="1"/>
  <c r="FA143" i="1"/>
  <c r="FA362" i="1"/>
  <c r="FA363" i="1"/>
  <c r="FA364" i="1"/>
  <c r="FA365" i="1"/>
  <c r="FA366" i="1"/>
  <c r="FA324" i="1"/>
  <c r="FA368" i="1"/>
  <c r="FA369" i="1"/>
  <c r="FA370" i="1"/>
  <c r="FA236" i="1"/>
  <c r="BH255" i="1" l="1"/>
  <c r="BH143" i="1"/>
  <c r="BH341" i="1"/>
  <c r="BH321" i="1"/>
  <c r="BH301" i="1"/>
  <c r="BH281" i="1"/>
  <c r="BH261" i="1"/>
  <c r="BH241" i="1"/>
  <c r="BH205" i="1"/>
  <c r="BH201" i="1"/>
  <c r="BH181" i="1"/>
  <c r="BH294" i="1"/>
  <c r="BH266" i="1"/>
  <c r="BH121" i="1"/>
  <c r="BH101" i="1"/>
  <c r="BH81" i="1"/>
  <c r="BH61" i="1"/>
  <c r="BH41" i="1"/>
  <c r="BH21" i="1"/>
  <c r="BH357" i="1"/>
  <c r="BH337" i="1"/>
  <c r="BH317" i="1"/>
  <c r="BH297" i="1"/>
  <c r="BH277" i="1"/>
  <c r="BH257" i="1"/>
  <c r="BH237" i="1"/>
  <c r="BH217" i="1"/>
  <c r="BH79" i="1"/>
  <c r="BH177" i="1"/>
  <c r="BH157" i="1"/>
  <c r="BH7" i="1"/>
  <c r="BH117" i="1"/>
  <c r="BH97" i="1"/>
  <c r="BH77" i="1"/>
  <c r="BH197" i="1"/>
  <c r="BH37" i="1"/>
  <c r="BH17" i="1"/>
  <c r="BH290" i="1"/>
  <c r="BH190" i="1"/>
  <c r="BH90" i="1"/>
  <c r="BH356" i="1"/>
  <c r="BH336" i="1"/>
  <c r="BH316" i="1"/>
  <c r="BH296" i="1"/>
  <c r="BH276" i="1"/>
  <c r="BH213" i="1"/>
  <c r="BH371" i="1"/>
  <c r="BH222" i="1"/>
  <c r="BH196" i="1"/>
  <c r="BH338" i="1"/>
  <c r="BH156" i="1"/>
  <c r="BH134" i="1"/>
  <c r="BH116" i="1"/>
  <c r="BH96" i="1"/>
  <c r="BH76" i="1"/>
  <c r="BH56" i="1"/>
  <c r="BH36" i="1"/>
  <c r="BH16" i="1"/>
  <c r="BH350" i="1"/>
  <c r="BH210" i="1"/>
  <c r="BH150" i="1"/>
  <c r="BH130" i="1"/>
  <c r="BH110" i="1"/>
  <c r="BH50" i="1"/>
  <c r="BH30" i="1"/>
  <c r="BH10" i="1"/>
  <c r="BH137" i="1"/>
  <c r="BH334" i="1"/>
  <c r="BH314" i="1"/>
  <c r="BH180" i="1"/>
  <c r="BH274" i="1"/>
  <c r="BH254" i="1"/>
  <c r="BH234" i="1"/>
  <c r="BH214" i="1"/>
  <c r="BH194" i="1"/>
  <c r="BH154" i="1"/>
  <c r="BH5" i="1"/>
  <c r="BH114" i="1"/>
  <c r="BH361" i="1"/>
  <c r="BH74" i="1"/>
  <c r="BH54" i="1"/>
  <c r="BH78" i="1"/>
  <c r="BH14" i="1"/>
  <c r="BH353" i="1"/>
  <c r="BH333" i="1"/>
  <c r="BH313" i="1"/>
  <c r="BH293" i="1"/>
  <c r="BH273" i="1"/>
  <c r="BH253" i="1"/>
  <c r="BH292" i="1"/>
  <c r="BH173" i="1"/>
  <c r="BH153" i="1"/>
  <c r="BH133" i="1"/>
  <c r="BH240" i="1"/>
  <c r="BH93" i="1"/>
  <c r="BH18" i="1"/>
  <c r="BH53" i="1"/>
  <c r="BH33" i="1"/>
  <c r="BH13" i="1"/>
  <c r="BH23" i="1"/>
  <c r="BH352" i="1"/>
  <c r="BH332" i="1"/>
  <c r="BH312" i="1"/>
  <c r="BH354" i="1"/>
  <c r="BH272" i="1"/>
  <c r="BH252" i="1"/>
  <c r="BH232" i="1"/>
  <c r="BH212" i="1"/>
  <c r="BH192" i="1"/>
  <c r="BH172" i="1"/>
  <c r="BH152" i="1"/>
  <c r="BH132" i="1"/>
  <c r="BH112" i="1"/>
  <c r="BH92" i="1"/>
  <c r="BH72" i="1"/>
  <c r="BH52" i="1"/>
  <c r="BH32" i="1"/>
  <c r="BH12" i="1"/>
  <c r="BH236" i="1"/>
  <c r="BH351" i="1"/>
  <c r="BH331" i="1"/>
  <c r="BH311" i="1"/>
  <c r="BH291" i="1"/>
  <c r="BH271" i="1"/>
  <c r="BH251" i="1"/>
  <c r="BH231" i="1"/>
  <c r="BH344" i="1"/>
  <c r="BH191" i="1"/>
  <c r="BH73" i="1"/>
  <c r="BH151" i="1"/>
  <c r="BH131" i="1"/>
  <c r="BH111" i="1"/>
  <c r="BH91" i="1"/>
  <c r="BH71" i="1"/>
  <c r="BH51" i="1"/>
  <c r="BH31" i="1"/>
  <c r="BH11" i="1"/>
  <c r="BH330" i="1"/>
  <c r="BH369" i="1"/>
  <c r="BH239" i="1"/>
  <c r="BH329" i="1"/>
  <c r="BH309" i="1"/>
  <c r="BH289" i="1"/>
  <c r="BH269" i="1"/>
  <c r="BH249" i="1"/>
  <c r="BH229" i="1"/>
  <c r="BH176" i="1"/>
  <c r="BH325" i="1"/>
  <c r="BH169" i="1"/>
  <c r="BH149" i="1"/>
  <c r="BH129" i="1"/>
  <c r="BH109" i="1"/>
  <c r="BH89" i="1"/>
  <c r="BH69" i="1"/>
  <c r="BH49" i="1"/>
  <c r="BH29" i="1"/>
  <c r="BH9" i="1"/>
  <c r="BH368" i="1"/>
  <c r="BH348" i="1"/>
  <c r="BH328" i="1"/>
  <c r="BH308" i="1"/>
  <c r="BH288" i="1"/>
  <c r="BH268" i="1"/>
  <c r="BH248" i="1"/>
  <c r="BH228" i="1"/>
  <c r="BH208" i="1"/>
  <c r="BH188" i="1"/>
  <c r="BH215" i="1"/>
  <c r="BH148" i="1"/>
  <c r="BH128" i="1"/>
  <c r="BH94" i="1"/>
  <c r="BH88" i="1"/>
  <c r="BH68" i="1"/>
  <c r="BH48" i="1"/>
  <c r="BH28" i="1"/>
  <c r="BH8" i="1"/>
  <c r="BH310" i="1"/>
  <c r="BH324" i="1"/>
  <c r="BH347" i="1"/>
  <c r="BH327" i="1"/>
  <c r="BH307" i="1"/>
  <c r="BH287" i="1"/>
  <c r="BH267" i="1"/>
  <c r="BH247" i="1"/>
  <c r="BH227" i="1"/>
  <c r="BH39" i="1"/>
  <c r="BH187" i="1"/>
  <c r="BH27" i="1"/>
  <c r="BH147" i="1"/>
  <c r="BH127" i="1"/>
  <c r="BH107" i="1"/>
  <c r="BH87" i="1"/>
  <c r="BH67" i="1"/>
  <c r="BH135" i="1"/>
  <c r="BH185" i="1"/>
  <c r="BH120" i="1"/>
  <c r="BH230" i="1"/>
  <c r="BH366" i="1"/>
  <c r="BH282" i="1"/>
  <c r="BH326" i="1"/>
  <c r="BH306" i="1"/>
  <c r="BH286" i="1"/>
  <c r="BH34" i="1"/>
  <c r="BH246" i="1"/>
  <c r="BH226" i="1"/>
  <c r="BH206" i="1"/>
  <c r="BH186" i="1"/>
  <c r="BH166" i="1"/>
  <c r="BH146" i="1"/>
  <c r="BH22" i="1"/>
  <c r="BH106" i="1"/>
  <c r="BH86" i="1"/>
  <c r="BH66" i="1"/>
  <c r="BH46" i="1"/>
  <c r="BH26" i="1"/>
  <c r="BH6" i="1"/>
  <c r="BH270" i="1"/>
  <c r="BH364" i="1"/>
  <c r="BH346" i="1"/>
  <c r="BH367" i="1"/>
  <c r="BH304" i="1"/>
  <c r="BH284" i="1"/>
  <c r="BH264" i="1"/>
  <c r="BH244" i="1"/>
  <c r="BH224" i="1"/>
  <c r="BH204" i="1"/>
  <c r="BH184" i="1"/>
  <c r="BH164" i="1"/>
  <c r="BH144" i="1"/>
  <c r="BH124" i="1"/>
  <c r="BH57" i="1"/>
  <c r="BH84" i="1"/>
  <c r="BH64" i="1"/>
  <c r="BH44" i="1"/>
  <c r="BH24" i="1"/>
  <c r="BH4" i="1"/>
  <c r="BH370" i="1"/>
  <c r="BH250" i="1"/>
  <c r="BH170" i="1"/>
  <c r="BH70" i="1"/>
  <c r="BH363" i="1"/>
  <c r="BH343" i="1"/>
  <c r="BH323" i="1"/>
  <c r="BH303" i="1"/>
  <c r="BH283" i="1"/>
  <c r="BH263" i="1"/>
  <c r="BH243" i="1"/>
  <c r="BH223" i="1"/>
  <c r="BH203" i="1"/>
  <c r="BH183" i="1"/>
  <c r="BH163" i="1"/>
  <c r="BH216" i="1"/>
  <c r="BH123" i="1"/>
  <c r="BH207" i="1"/>
  <c r="BH83" i="1"/>
  <c r="BH63" i="1"/>
  <c r="BH43" i="1"/>
  <c r="BH141" i="1"/>
  <c r="BH3" i="1"/>
  <c r="BH362" i="1"/>
  <c r="BH342" i="1"/>
  <c r="BH322" i="1"/>
  <c r="BH302" i="1"/>
  <c r="BH126" i="1"/>
  <c r="BH262" i="1"/>
  <c r="BH160" i="1"/>
  <c r="BH103" i="1"/>
  <c r="BH202" i="1"/>
  <c r="BH182" i="1"/>
  <c r="BH162" i="1"/>
  <c r="BH142" i="1"/>
  <c r="BH122" i="1"/>
  <c r="BH102" i="1"/>
  <c r="BH82" i="1"/>
  <c r="BH62" i="1"/>
  <c r="BH42" i="1"/>
  <c r="BH104" i="1"/>
  <c r="BH360" i="1"/>
  <c r="BH340" i="1"/>
  <c r="BH320" i="1"/>
  <c r="BH300" i="1"/>
  <c r="BH280" i="1"/>
  <c r="BH260" i="1"/>
  <c r="BH189" i="1"/>
  <c r="BH220" i="1"/>
  <c r="BH200" i="1"/>
  <c r="BH47" i="1"/>
  <c r="BH233" i="1"/>
  <c r="BH140" i="1"/>
  <c r="BH209" i="1"/>
  <c r="BH100" i="1"/>
  <c r="BH80" i="1"/>
  <c r="BH60" i="1"/>
  <c r="BH40" i="1"/>
  <c r="BH20" i="1"/>
  <c r="BH359" i="1"/>
  <c r="BH339" i="1"/>
  <c r="BH319" i="1"/>
  <c r="BH167" i="1"/>
  <c r="BH279" i="1"/>
  <c r="BH259" i="1"/>
  <c r="BH2" i="1"/>
  <c r="BH219" i="1"/>
  <c r="BH199" i="1"/>
  <c r="BH179" i="1"/>
  <c r="BH159" i="1"/>
  <c r="BH139" i="1"/>
  <c r="BH119" i="1"/>
  <c r="BH99" i="1"/>
  <c r="BH278" i="1"/>
  <c r="BH59" i="1"/>
  <c r="BH168" i="1"/>
  <c r="BH19" i="1"/>
  <c r="BH358" i="1"/>
  <c r="BH211" i="1"/>
  <c r="BH318" i="1"/>
  <c r="BH298" i="1"/>
  <c r="BH171" i="1"/>
  <c r="BH258" i="1"/>
  <c r="BH238" i="1"/>
  <c r="BH218" i="1"/>
  <c r="BH198" i="1"/>
  <c r="BH178" i="1"/>
  <c r="BH158" i="1"/>
  <c r="BH138" i="1"/>
  <c r="BH118" i="1"/>
  <c r="BH98" i="1"/>
  <c r="BH175" i="1"/>
  <c r="BH58" i="1"/>
  <c r="BH38" i="1"/>
  <c r="BH108" i="1"/>
  <c r="BH365" i="1"/>
  <c r="BH345" i="1"/>
  <c r="BH349" i="1"/>
  <c r="BH305" i="1"/>
  <c r="BH285" i="1"/>
  <c r="BH265" i="1"/>
  <c r="BH245" i="1"/>
  <c r="BH225" i="1"/>
  <c r="BH161" i="1"/>
  <c r="BH242" i="1"/>
  <c r="BH165" i="1"/>
  <c r="BH145" i="1"/>
  <c r="BH125" i="1"/>
  <c r="BH105" i="1"/>
  <c r="BH85" i="1"/>
  <c r="BH65" i="1"/>
  <c r="BH45" i="1"/>
  <c r="BH25" i="1"/>
  <c r="BH136" i="1"/>
  <c r="BH355" i="1"/>
  <c r="BH335" i="1"/>
  <c r="BH315" i="1"/>
  <c r="BH295" i="1"/>
  <c r="BH275" i="1"/>
  <c r="BH235" i="1"/>
  <c r="BH256" i="1"/>
  <c r="BH195" i="1"/>
  <c r="BH299" i="1"/>
  <c r="BH155" i="1"/>
  <c r="BH221" i="1"/>
  <c r="BH115" i="1"/>
  <c r="BH95" i="1"/>
  <c r="BH75" i="1"/>
  <c r="BH55" i="1"/>
  <c r="BH35" i="1"/>
  <c r="BH15" i="1"/>
  <c r="BH113" i="1"/>
  <c r="BH174" i="1"/>
  <c r="BH193" i="1"/>
  <c r="GK187" i="1"/>
  <c r="BO187" i="1" s="1"/>
  <c r="GK87" i="1"/>
  <c r="BO87" i="1" s="1"/>
  <c r="GK264" i="1"/>
  <c r="BO264" i="1" s="1"/>
  <c r="GK354" i="1"/>
  <c r="BO354" i="1" s="1"/>
  <c r="GK320" i="1"/>
  <c r="BO320" i="1" s="1"/>
  <c r="GK367" i="1"/>
  <c r="BO367" i="1" s="1"/>
  <c r="GK332" i="1"/>
  <c r="BO332" i="1" s="1"/>
  <c r="GK336" i="1"/>
  <c r="BO336" i="1" s="1"/>
  <c r="GK340" i="1"/>
  <c r="BO340" i="1" s="1"/>
  <c r="GK346" i="1"/>
  <c r="BO346" i="1" s="1"/>
  <c r="GK44" i="1"/>
  <c r="BO44" i="1" s="1"/>
  <c r="GK66" i="1"/>
  <c r="BO66" i="1" s="1"/>
  <c r="GK70" i="1"/>
  <c r="BO70" i="1" s="1"/>
  <c r="GK74" i="1"/>
  <c r="BO74" i="1" s="1"/>
  <c r="GK86" i="1"/>
  <c r="BO86" i="1" s="1"/>
  <c r="GK114" i="1"/>
  <c r="BO114" i="1" s="1"/>
  <c r="GK166" i="1"/>
  <c r="BO166" i="1" s="1"/>
  <c r="GK170" i="1"/>
  <c r="BO170" i="1" s="1"/>
  <c r="GK113" i="1"/>
  <c r="BO113" i="1" s="1"/>
  <c r="GK214" i="1"/>
  <c r="BO214" i="1" s="1"/>
  <c r="GK287" i="1"/>
  <c r="BO287" i="1" s="1"/>
  <c r="GK37" i="1"/>
  <c r="BO37" i="1" s="1"/>
  <c r="GK77" i="1"/>
  <c r="BO77" i="1" s="1"/>
  <c r="GK7" i="1"/>
  <c r="BO7" i="1" s="1"/>
  <c r="GK325" i="1"/>
  <c r="BO325" i="1" s="1"/>
  <c r="GK193" i="1"/>
  <c r="BO193" i="1" s="1"/>
  <c r="GK79" i="1"/>
  <c r="BO79" i="1" s="1"/>
  <c r="GK201" i="1"/>
  <c r="BO201" i="1" s="1"/>
  <c r="GK176" i="1"/>
  <c r="BO176" i="1" s="1"/>
  <c r="GK174" i="1"/>
  <c r="BO174" i="1" s="1"/>
  <c r="GK17" i="1"/>
  <c r="BO17" i="1" s="1"/>
  <c r="GK237" i="1"/>
  <c r="BO237" i="1" s="1"/>
  <c r="GK289" i="1"/>
  <c r="BO289" i="1" s="1"/>
  <c r="GK293" i="1"/>
  <c r="BO293" i="1" s="1"/>
  <c r="GK297" i="1"/>
  <c r="BO297" i="1" s="1"/>
  <c r="GK301" i="1"/>
  <c r="BO301" i="1" s="1"/>
  <c r="GK309" i="1"/>
  <c r="BO309" i="1" s="1"/>
  <c r="GK14" i="1"/>
  <c r="BO14" i="1" s="1"/>
  <c r="GK58" i="1"/>
  <c r="BO58" i="1" s="1"/>
  <c r="GK158" i="1"/>
  <c r="BO158" i="1" s="1"/>
  <c r="GK168" i="1"/>
  <c r="BO168" i="1" s="1"/>
  <c r="GK43" i="1"/>
  <c r="BO43" i="1" s="1"/>
  <c r="GK135" i="1"/>
  <c r="BO135" i="1" s="1"/>
  <c r="GK51" i="1"/>
  <c r="BO51" i="1" s="1"/>
  <c r="GK59" i="1"/>
  <c r="BO59" i="1" s="1"/>
  <c r="GK63" i="1"/>
  <c r="BO63" i="1" s="1"/>
  <c r="GK194" i="1"/>
  <c r="BO194" i="1" s="1"/>
  <c r="GK67" i="1"/>
  <c r="BO67" i="1" s="1"/>
  <c r="GK275" i="1"/>
  <c r="BO275" i="1" s="1"/>
  <c r="GK64" i="1"/>
  <c r="BO64" i="1" s="1"/>
  <c r="GK100" i="1"/>
  <c r="BO100" i="1" s="1"/>
  <c r="GK57" i="1"/>
  <c r="BO57" i="1" s="1"/>
  <c r="GK164" i="1"/>
  <c r="BO164" i="1" s="1"/>
  <c r="GK192" i="1"/>
  <c r="BO192" i="1" s="1"/>
  <c r="GK28" i="1"/>
  <c r="BO28" i="1" s="1"/>
  <c r="GK60" i="1"/>
  <c r="BO60" i="1" s="1"/>
  <c r="GK171" i="1"/>
  <c r="BO171" i="1" s="1"/>
  <c r="GK310" i="1"/>
  <c r="BO310" i="1" s="1"/>
  <c r="GK314" i="1"/>
  <c r="BO314" i="1" s="1"/>
  <c r="GK84" i="1"/>
  <c r="BO84" i="1" s="1"/>
  <c r="GK127" i="1"/>
  <c r="BO127" i="1" s="1"/>
  <c r="GK39" i="1"/>
  <c r="BO39" i="1" s="1"/>
  <c r="GK344" i="1"/>
  <c r="BO344" i="1" s="1"/>
  <c r="GK254" i="1"/>
  <c r="BO254" i="1" s="1"/>
  <c r="GK9" i="1"/>
  <c r="BO9" i="1" s="1"/>
  <c r="GK13" i="1"/>
  <c r="BO13" i="1" s="1"/>
  <c r="GK94" i="1"/>
  <c r="BO94" i="1" s="1"/>
  <c r="GK116" i="1"/>
  <c r="BO116" i="1" s="1"/>
  <c r="GK209" i="1"/>
  <c r="BO209" i="1" s="1"/>
  <c r="GK124" i="1"/>
  <c r="BO124" i="1" s="1"/>
  <c r="GK134" i="1"/>
  <c r="BO134" i="1" s="1"/>
  <c r="GK2" i="1"/>
  <c r="BO2" i="1" s="1"/>
  <c r="GK243" i="1"/>
  <c r="BO243" i="1" s="1"/>
  <c r="GK247" i="1"/>
  <c r="BO247" i="1" s="1"/>
  <c r="GK251" i="1"/>
  <c r="BO251" i="1" s="1"/>
  <c r="GK259" i="1"/>
  <c r="BO259" i="1" s="1"/>
  <c r="GK263" i="1"/>
  <c r="BO263" i="1" s="1"/>
  <c r="GK25" i="1"/>
  <c r="BO25" i="1" s="1"/>
  <c r="GK128" i="1"/>
  <c r="BO128" i="1" s="1"/>
  <c r="GK233" i="1"/>
  <c r="BO233" i="1" s="1"/>
  <c r="GK27" i="1"/>
  <c r="BO27" i="1" s="1"/>
  <c r="GK180" i="1"/>
  <c r="BO180" i="1" s="1"/>
  <c r="GK318" i="1"/>
  <c r="BO318" i="1" s="1"/>
  <c r="GK211" i="1"/>
  <c r="BO211" i="1" s="1"/>
  <c r="GK358" i="1"/>
  <c r="BO358" i="1" s="1"/>
  <c r="GK197" i="1"/>
  <c r="BO197" i="1" s="1"/>
  <c r="GK184" i="1"/>
  <c r="BO184" i="1" s="1"/>
  <c r="GK227" i="1"/>
  <c r="BO227" i="1" s="1"/>
  <c r="GK307" i="1"/>
  <c r="BO307" i="1" s="1"/>
  <c r="GK311" i="1"/>
  <c r="BO311" i="1" s="1"/>
  <c r="GK319" i="1"/>
  <c r="BO319" i="1" s="1"/>
  <c r="GK323" i="1"/>
  <c r="BO323" i="1" s="1"/>
  <c r="GK327" i="1"/>
  <c r="BO327" i="1" s="1"/>
  <c r="GK331" i="1"/>
  <c r="BO331" i="1" s="1"/>
  <c r="GK339" i="1"/>
  <c r="BO339" i="1" s="1"/>
  <c r="GK343" i="1"/>
  <c r="BO343" i="1" s="1"/>
  <c r="GK347" i="1"/>
  <c r="BO347" i="1" s="1"/>
  <c r="GK351" i="1"/>
  <c r="BO351" i="1" s="1"/>
  <c r="GK359" i="1"/>
  <c r="BO359" i="1" s="1"/>
  <c r="GK363" i="1"/>
  <c r="BO363" i="1" s="1"/>
  <c r="GK324" i="1"/>
  <c r="BO324" i="1" s="1"/>
  <c r="GK236" i="1"/>
  <c r="BO236" i="1" s="1"/>
  <c r="GK89" i="1"/>
  <c r="BO89" i="1" s="1"/>
  <c r="GK93" i="1"/>
  <c r="BO93" i="1" s="1"/>
  <c r="GK97" i="1"/>
  <c r="BO97" i="1" s="1"/>
  <c r="GK101" i="1"/>
  <c r="BO101" i="1" s="1"/>
  <c r="GK109" i="1"/>
  <c r="BO109" i="1" s="1"/>
  <c r="GK240" i="1"/>
  <c r="BO240" i="1" s="1"/>
  <c r="GK208" i="1"/>
  <c r="BO208" i="1" s="1"/>
  <c r="GK222" i="1"/>
  <c r="BO222" i="1" s="1"/>
  <c r="GK220" i="1"/>
  <c r="BO220" i="1" s="1"/>
  <c r="GK224" i="1"/>
  <c r="BO224" i="1" s="1"/>
  <c r="GK371" i="1"/>
  <c r="BO371" i="1" s="1"/>
  <c r="GK23" i="1"/>
  <c r="BO23" i="1" s="1"/>
  <c r="GK144" i="1"/>
  <c r="BO144" i="1" s="1"/>
  <c r="GK228" i="1"/>
  <c r="BO228" i="1" s="1"/>
  <c r="GK260" i="1"/>
  <c r="BO260" i="1" s="1"/>
  <c r="GK267" i="1"/>
  <c r="BO267" i="1" s="1"/>
  <c r="GK157" i="1"/>
  <c r="BO157" i="1" s="1"/>
  <c r="GK294" i="1"/>
  <c r="BO294" i="1" s="1"/>
  <c r="GK204" i="1"/>
  <c r="BO204" i="1" s="1"/>
  <c r="GK284" i="1"/>
  <c r="BO284" i="1" s="1"/>
  <c r="GK6" i="1"/>
  <c r="BO6" i="1" s="1"/>
  <c r="GK50" i="1"/>
  <c r="BO50" i="1" s="1"/>
  <c r="GK54" i="1"/>
  <c r="BO54" i="1" s="1"/>
  <c r="GK165" i="1"/>
  <c r="BO165" i="1" s="1"/>
  <c r="GK352" i="1"/>
  <c r="BO352" i="1" s="1"/>
  <c r="GK356" i="1"/>
  <c r="BO356" i="1" s="1"/>
  <c r="GK360" i="1"/>
  <c r="BO360" i="1" s="1"/>
  <c r="GK364" i="1"/>
  <c r="BO364" i="1" s="1"/>
  <c r="GK308" i="1"/>
  <c r="BO308" i="1" s="1"/>
  <c r="GK175" i="1"/>
  <c r="BO175" i="1" s="1"/>
  <c r="GK110" i="1"/>
  <c r="BO110" i="1" s="1"/>
  <c r="GK117" i="1"/>
  <c r="BO117" i="1" s="1"/>
  <c r="GK244" i="1"/>
  <c r="BO244" i="1" s="1"/>
  <c r="GK120" i="1"/>
  <c r="BO120" i="1" s="1"/>
  <c r="GK5" i="1"/>
  <c r="BO5" i="1" s="1"/>
  <c r="GK177" i="1"/>
  <c r="BO177" i="1" s="1"/>
  <c r="GK257" i="1"/>
  <c r="BO257" i="1" s="1"/>
  <c r="GK261" i="1"/>
  <c r="BO261" i="1" s="1"/>
  <c r="GK304" i="1"/>
  <c r="BO304" i="1" s="1"/>
  <c r="GK185" i="1"/>
  <c r="BO185" i="1" s="1"/>
  <c r="GK142" i="1"/>
  <c r="BO142" i="1" s="1"/>
  <c r="GK225" i="1"/>
  <c r="BO225" i="1" s="1"/>
  <c r="GK186" i="1"/>
  <c r="BO186" i="1" s="1"/>
  <c r="GK313" i="1"/>
  <c r="BO313" i="1" s="1"/>
  <c r="GK317" i="1"/>
  <c r="BO317" i="1" s="1"/>
  <c r="GK361" i="1"/>
  <c r="BO361" i="1" s="1"/>
  <c r="GK178" i="1"/>
  <c r="BO178" i="1" s="1"/>
  <c r="GK210" i="1"/>
  <c r="BO210" i="1" s="1"/>
  <c r="GK217" i="1"/>
  <c r="BO217" i="1" s="1"/>
  <c r="GK107" i="1"/>
  <c r="BO107" i="1" s="1"/>
  <c r="GK154" i="1"/>
  <c r="BO154" i="1" s="1"/>
  <c r="GK234" i="1"/>
  <c r="BO234" i="1" s="1"/>
  <c r="GK277" i="1"/>
  <c r="BO277" i="1" s="1"/>
  <c r="GK4" i="1"/>
  <c r="BO4" i="1" s="1"/>
  <c r="GK160" i="1"/>
  <c r="BO160" i="1" s="1"/>
  <c r="GK8" i="1"/>
  <c r="BO8" i="1" s="1"/>
  <c r="GK16" i="1"/>
  <c r="BO16" i="1" s="1"/>
  <c r="GK20" i="1"/>
  <c r="BO20" i="1" s="1"/>
  <c r="GK24" i="1"/>
  <c r="BO24" i="1" s="1"/>
  <c r="GK36" i="1"/>
  <c r="BO36" i="1" s="1"/>
  <c r="GK139" i="1"/>
  <c r="BO139" i="1" s="1"/>
  <c r="GK216" i="1"/>
  <c r="BO216" i="1" s="1"/>
  <c r="GK147" i="1"/>
  <c r="BO147" i="1" s="1"/>
  <c r="GK151" i="1"/>
  <c r="BO151" i="1" s="1"/>
  <c r="GK159" i="1"/>
  <c r="BO159" i="1" s="1"/>
  <c r="GK163" i="1"/>
  <c r="BO163" i="1" s="1"/>
  <c r="GK258" i="1"/>
  <c r="BO258" i="1" s="1"/>
  <c r="GK34" i="1"/>
  <c r="BO34" i="1" s="1"/>
  <c r="GK270" i="1"/>
  <c r="BO270" i="1" s="1"/>
  <c r="GK274" i="1"/>
  <c r="BO274" i="1" s="1"/>
  <c r="GK286" i="1"/>
  <c r="BO286" i="1" s="1"/>
  <c r="GK78" i="1"/>
  <c r="BO78" i="1" s="1"/>
  <c r="GK242" i="1"/>
  <c r="BO242" i="1" s="1"/>
  <c r="GK235" i="1"/>
  <c r="BO235" i="1" s="1"/>
  <c r="GK285" i="1"/>
  <c r="BO285" i="1" s="1"/>
  <c r="GK136" i="1"/>
  <c r="BO136" i="1" s="1"/>
  <c r="GK32" i="1"/>
  <c r="BO32" i="1" s="1"/>
  <c r="GK55" i="1"/>
  <c r="BO55" i="1" s="1"/>
  <c r="GK82" i="1"/>
  <c r="BO82" i="1" s="1"/>
  <c r="GK105" i="1"/>
  <c r="BO105" i="1" s="1"/>
  <c r="GK132" i="1"/>
  <c r="BO132" i="1" s="1"/>
  <c r="GK155" i="1"/>
  <c r="BO155" i="1" s="1"/>
  <c r="GK182" i="1"/>
  <c r="BO182" i="1" s="1"/>
  <c r="GK232" i="1"/>
  <c r="BO232" i="1" s="1"/>
  <c r="GK126" i="1"/>
  <c r="BO126" i="1" s="1"/>
  <c r="FI23" i="1"/>
  <c r="FI12" i="1"/>
  <c r="GK328" i="1"/>
  <c r="BO328" i="1" s="1"/>
  <c r="GK348" i="1"/>
  <c r="BO348" i="1" s="1"/>
  <c r="GK368" i="1"/>
  <c r="BO368" i="1" s="1"/>
  <c r="FI354" i="1"/>
  <c r="FI272" i="1"/>
  <c r="FI192" i="1"/>
  <c r="FI172" i="1"/>
  <c r="FI152" i="1"/>
  <c r="FI132" i="1"/>
  <c r="FI112" i="1"/>
  <c r="FI92" i="1"/>
  <c r="FI72" i="1"/>
  <c r="FI52" i="1"/>
  <c r="FI32" i="1"/>
  <c r="FI236" i="1"/>
  <c r="FI351" i="1"/>
  <c r="FI331" i="1"/>
  <c r="FI311" i="1"/>
  <c r="FI291" i="1"/>
  <c r="FI271" i="1"/>
  <c r="FI251" i="1"/>
  <c r="FI231" i="1"/>
  <c r="FI344" i="1"/>
  <c r="FI191" i="1"/>
  <c r="FI73" i="1"/>
  <c r="FI151" i="1"/>
  <c r="FI131" i="1"/>
  <c r="FI111" i="1"/>
  <c r="FI91" i="1"/>
  <c r="FI71" i="1"/>
  <c r="FI51" i="1"/>
  <c r="FI31" i="1"/>
  <c r="FI11" i="1"/>
  <c r="GK40" i="1"/>
  <c r="BO40" i="1" s="1"/>
  <c r="GK90" i="1"/>
  <c r="BO90" i="1" s="1"/>
  <c r="GK140" i="1"/>
  <c r="BO140" i="1" s="1"/>
  <c r="GK190" i="1"/>
  <c r="BO190" i="1" s="1"/>
  <c r="GK161" i="1"/>
  <c r="BO161" i="1" s="1"/>
  <c r="GK189" i="1"/>
  <c r="BO189" i="1" s="1"/>
  <c r="GK255" i="1"/>
  <c r="BO255" i="1" s="1"/>
  <c r="GK290" i="1"/>
  <c r="BO290" i="1" s="1"/>
  <c r="GK305" i="1"/>
  <c r="BO305" i="1" s="1"/>
  <c r="GK321" i="1"/>
  <c r="BO321" i="1" s="1"/>
  <c r="GK329" i="1"/>
  <c r="BO329" i="1" s="1"/>
  <c r="GK333" i="1"/>
  <c r="BO333" i="1" s="1"/>
  <c r="GK337" i="1"/>
  <c r="BO337" i="1" s="1"/>
  <c r="GK341" i="1"/>
  <c r="BO341" i="1" s="1"/>
  <c r="GK239" i="1"/>
  <c r="BO239" i="1" s="1"/>
  <c r="GK353" i="1"/>
  <c r="BO353" i="1" s="1"/>
  <c r="GK357" i="1"/>
  <c r="BO357" i="1" s="1"/>
  <c r="GK143" i="1"/>
  <c r="BO143" i="1" s="1"/>
  <c r="GK369" i="1"/>
  <c r="BO369" i="1" s="1"/>
  <c r="FI370" i="1"/>
  <c r="FI350" i="1"/>
  <c r="FI330" i="1"/>
  <c r="FI310" i="1"/>
  <c r="FI290" i="1"/>
  <c r="FI270" i="1"/>
  <c r="FI250" i="1"/>
  <c r="FI230" i="1"/>
  <c r="FI210" i="1"/>
  <c r="FI190" i="1"/>
  <c r="FI170" i="1"/>
  <c r="FI150" i="1"/>
  <c r="FI130" i="1"/>
  <c r="FI110" i="1"/>
  <c r="FI90" i="1"/>
  <c r="FI70" i="1"/>
  <c r="FI50" i="1"/>
  <c r="FI30" i="1"/>
  <c r="FI10" i="1"/>
  <c r="GK21" i="1"/>
  <c r="BO21" i="1" s="1"/>
  <c r="GK71" i="1"/>
  <c r="BO71" i="1" s="1"/>
  <c r="GK121" i="1"/>
  <c r="BO121" i="1" s="1"/>
  <c r="GK73" i="1"/>
  <c r="BO73" i="1" s="1"/>
  <c r="GK205" i="1"/>
  <c r="BO205" i="1" s="1"/>
  <c r="GK271" i="1"/>
  <c r="BO271" i="1" s="1"/>
  <c r="GK52" i="1"/>
  <c r="BO52" i="1" s="1"/>
  <c r="GK75" i="1"/>
  <c r="BO75" i="1" s="1"/>
  <c r="GK102" i="1"/>
  <c r="BO102" i="1" s="1"/>
  <c r="GK125" i="1"/>
  <c r="BO125" i="1" s="1"/>
  <c r="GK152" i="1"/>
  <c r="BO152" i="1" s="1"/>
  <c r="GK202" i="1"/>
  <c r="BO202" i="1" s="1"/>
  <c r="GK252" i="1"/>
  <c r="BO252" i="1" s="1"/>
  <c r="GK302" i="1"/>
  <c r="BO302" i="1" s="1"/>
  <c r="GK349" i="1"/>
  <c r="BO349" i="1" s="1"/>
  <c r="GK345" i="1"/>
  <c r="BO345" i="1" s="1"/>
  <c r="GK365" i="1"/>
  <c r="BO365" i="1" s="1"/>
  <c r="GK29" i="1"/>
  <c r="BO29" i="1" s="1"/>
  <c r="GK33" i="1"/>
  <c r="BO33" i="1" s="1"/>
  <c r="GK48" i="1"/>
  <c r="BO48" i="1" s="1"/>
  <c r="GK56" i="1"/>
  <c r="BO56" i="1" s="1"/>
  <c r="GK278" i="1"/>
  <c r="BO278" i="1" s="1"/>
  <c r="GK83" i="1"/>
  <c r="BO83" i="1" s="1"/>
  <c r="GK98" i="1"/>
  <c r="BO98" i="1" s="1"/>
  <c r="GK106" i="1"/>
  <c r="BO106" i="1" s="1"/>
  <c r="GK129" i="1"/>
  <c r="BO129" i="1" s="1"/>
  <c r="GK133" i="1"/>
  <c r="BO133" i="1" s="1"/>
  <c r="GK148" i="1"/>
  <c r="BO148" i="1" s="1"/>
  <c r="GK156" i="1"/>
  <c r="BO156" i="1" s="1"/>
  <c r="GK299" i="1"/>
  <c r="BO299" i="1" s="1"/>
  <c r="GK179" i="1"/>
  <c r="BO179" i="1" s="1"/>
  <c r="GK183" i="1"/>
  <c r="BO183" i="1" s="1"/>
  <c r="GK198" i="1"/>
  <c r="BO198" i="1" s="1"/>
  <c r="GK206" i="1"/>
  <c r="BO206" i="1" s="1"/>
  <c r="GK229" i="1"/>
  <c r="BO229" i="1" s="1"/>
  <c r="GK292" i="1"/>
  <c r="BO292" i="1" s="1"/>
  <c r="GK248" i="1"/>
  <c r="BO248" i="1" s="1"/>
  <c r="GK213" i="1"/>
  <c r="BO213" i="1" s="1"/>
  <c r="GK279" i="1"/>
  <c r="BO279" i="1" s="1"/>
  <c r="GK283" i="1"/>
  <c r="BO283" i="1" s="1"/>
  <c r="GK298" i="1"/>
  <c r="BO298" i="1" s="1"/>
  <c r="GK306" i="1"/>
  <c r="BO306" i="1" s="1"/>
  <c r="FI324" i="1"/>
  <c r="FI347" i="1"/>
  <c r="FI327" i="1"/>
  <c r="FI307" i="1"/>
  <c r="FI287" i="1"/>
  <c r="FI267" i="1"/>
  <c r="FI247" i="1"/>
  <c r="FI227" i="1"/>
  <c r="FI39" i="1"/>
  <c r="FI187" i="1"/>
  <c r="FI27" i="1"/>
  <c r="FI147" i="1"/>
  <c r="FI127" i="1"/>
  <c r="FI107" i="1"/>
  <c r="FI87" i="1"/>
  <c r="FI67" i="1"/>
  <c r="FI135" i="1"/>
  <c r="FI185" i="1"/>
  <c r="FI120" i="1"/>
  <c r="GK10" i="1"/>
  <c r="BO10" i="1" s="1"/>
  <c r="GK41" i="1"/>
  <c r="BO41" i="1" s="1"/>
  <c r="GK91" i="1"/>
  <c r="BO91" i="1" s="1"/>
  <c r="GK266" i="1"/>
  <c r="BO266" i="1" s="1"/>
  <c r="GK191" i="1"/>
  <c r="BO191" i="1" s="1"/>
  <c r="GK241" i="1"/>
  <c r="BO241" i="1" s="1"/>
  <c r="GK291" i="1"/>
  <c r="BO291" i="1" s="1"/>
  <c r="GK322" i="1"/>
  <c r="BO322" i="1" s="1"/>
  <c r="GK326" i="1"/>
  <c r="BO326" i="1" s="1"/>
  <c r="GK330" i="1"/>
  <c r="BO330" i="1" s="1"/>
  <c r="GK334" i="1"/>
  <c r="BO334" i="1" s="1"/>
  <c r="GK342" i="1"/>
  <c r="BO342" i="1" s="1"/>
  <c r="GK282" i="1"/>
  <c r="BO282" i="1" s="1"/>
  <c r="GK350" i="1"/>
  <c r="BO350" i="1" s="1"/>
  <c r="GK137" i="1"/>
  <c r="BO137" i="1" s="1"/>
  <c r="GK362" i="1"/>
  <c r="BO362" i="1" s="1"/>
  <c r="GK366" i="1"/>
  <c r="BO366" i="1" s="1"/>
  <c r="GK370" i="1"/>
  <c r="BO370" i="1" s="1"/>
  <c r="GK104" i="1"/>
  <c r="BO104" i="1" s="1"/>
  <c r="GK45" i="1"/>
  <c r="BO45" i="1" s="1"/>
  <c r="GK72" i="1"/>
  <c r="BO72" i="1" s="1"/>
  <c r="GK95" i="1"/>
  <c r="BO95" i="1" s="1"/>
  <c r="GK122" i="1"/>
  <c r="BO122" i="1" s="1"/>
  <c r="GK145" i="1"/>
  <c r="BO145" i="1" s="1"/>
  <c r="GK172" i="1"/>
  <c r="BO172" i="1" s="1"/>
  <c r="GK103" i="1"/>
  <c r="BO103" i="1" s="1"/>
  <c r="GK272" i="1"/>
  <c r="BO272" i="1" s="1"/>
  <c r="GK3" i="1"/>
  <c r="BO3" i="1" s="1"/>
  <c r="GK108" i="1"/>
  <c r="BO108" i="1" s="1"/>
  <c r="GK26" i="1"/>
  <c r="BO26" i="1" s="1"/>
  <c r="GK49" i="1"/>
  <c r="BO49" i="1" s="1"/>
  <c r="GK53" i="1"/>
  <c r="BO53" i="1" s="1"/>
  <c r="GK68" i="1"/>
  <c r="BO68" i="1" s="1"/>
  <c r="GK76" i="1"/>
  <c r="BO76" i="1" s="1"/>
  <c r="GK99" i="1"/>
  <c r="BO99" i="1" s="1"/>
  <c r="GK207" i="1"/>
  <c r="BO207" i="1" s="1"/>
  <c r="GK118" i="1"/>
  <c r="BO118" i="1" s="1"/>
  <c r="GK22" i="1"/>
  <c r="BO22" i="1" s="1"/>
  <c r="GK149" i="1"/>
  <c r="BO149" i="1" s="1"/>
  <c r="GK153" i="1"/>
  <c r="BO153" i="1" s="1"/>
  <c r="GK215" i="1"/>
  <c r="BO215" i="1" s="1"/>
  <c r="GK338" i="1"/>
  <c r="BO338" i="1" s="1"/>
  <c r="GK199" i="1"/>
  <c r="BO199" i="1" s="1"/>
  <c r="GK203" i="1"/>
  <c r="BO203" i="1" s="1"/>
  <c r="GK218" i="1"/>
  <c r="BO218" i="1" s="1"/>
  <c r="GK226" i="1"/>
  <c r="BO226" i="1" s="1"/>
  <c r="GK249" i="1"/>
  <c r="BO249" i="1" s="1"/>
  <c r="GK253" i="1"/>
  <c r="BO253" i="1" s="1"/>
  <c r="GK268" i="1"/>
  <c r="BO268" i="1" s="1"/>
  <c r="GK276" i="1"/>
  <c r="BO276" i="1" s="1"/>
  <c r="GK167" i="1"/>
  <c r="BO167" i="1" s="1"/>
  <c r="GK303" i="1"/>
  <c r="BO303" i="1" s="1"/>
  <c r="GK30" i="1"/>
  <c r="BO30" i="1" s="1"/>
  <c r="GK80" i="1"/>
  <c r="BO80" i="1" s="1"/>
  <c r="GK130" i="1"/>
  <c r="BO130" i="1" s="1"/>
  <c r="GK47" i="1"/>
  <c r="BO47" i="1" s="1"/>
  <c r="GK195" i="1"/>
  <c r="BO195" i="1" s="1"/>
  <c r="GK230" i="1"/>
  <c r="BO230" i="1" s="1"/>
  <c r="GK245" i="1"/>
  <c r="BO245" i="1" s="1"/>
  <c r="GK280" i="1"/>
  <c r="BO280" i="1" s="1"/>
  <c r="GK295" i="1"/>
  <c r="BO295" i="1" s="1"/>
  <c r="GK11" i="1"/>
  <c r="BO11" i="1" s="1"/>
  <c r="GK61" i="1"/>
  <c r="BO61" i="1" s="1"/>
  <c r="GK111" i="1"/>
  <c r="BO111" i="1" s="1"/>
  <c r="GK15" i="1"/>
  <c r="BO15" i="1" s="1"/>
  <c r="GK42" i="1"/>
  <c r="BO42" i="1" s="1"/>
  <c r="GK65" i="1"/>
  <c r="BO65" i="1" s="1"/>
  <c r="GK92" i="1"/>
  <c r="BO92" i="1" s="1"/>
  <c r="GK115" i="1"/>
  <c r="BO115" i="1" s="1"/>
  <c r="GK19" i="1"/>
  <c r="BO19" i="1" s="1"/>
  <c r="GK141" i="1"/>
  <c r="BO141" i="1" s="1"/>
  <c r="GK38" i="1"/>
  <c r="BO38" i="1" s="1"/>
  <c r="GK46" i="1"/>
  <c r="BO46" i="1" s="1"/>
  <c r="GK69" i="1"/>
  <c r="BO69" i="1" s="1"/>
  <c r="GK18" i="1"/>
  <c r="BO18" i="1" s="1"/>
  <c r="GK88" i="1"/>
  <c r="BO88" i="1" s="1"/>
  <c r="GK96" i="1"/>
  <c r="BO96" i="1" s="1"/>
  <c r="GK119" i="1"/>
  <c r="BO119" i="1" s="1"/>
  <c r="GK123" i="1"/>
  <c r="BO123" i="1" s="1"/>
  <c r="GK138" i="1"/>
  <c r="BO138" i="1" s="1"/>
  <c r="GK146" i="1"/>
  <c r="BO146" i="1" s="1"/>
  <c r="GK169" i="1"/>
  <c r="BO169" i="1" s="1"/>
  <c r="GK173" i="1"/>
  <c r="BO173" i="1" s="1"/>
  <c r="GK188" i="1"/>
  <c r="BO188" i="1" s="1"/>
  <c r="GK196" i="1"/>
  <c r="BO196" i="1" s="1"/>
  <c r="GK219" i="1"/>
  <c r="BO219" i="1" s="1"/>
  <c r="GK223" i="1"/>
  <c r="BO223" i="1" s="1"/>
  <c r="GK238" i="1"/>
  <c r="BO238" i="1" s="1"/>
  <c r="GK246" i="1"/>
  <c r="BO246" i="1" s="1"/>
  <c r="GK269" i="1"/>
  <c r="BO269" i="1" s="1"/>
  <c r="GK273" i="1"/>
  <c r="BO273" i="1" s="1"/>
  <c r="GK288" i="1"/>
  <c r="BO288" i="1" s="1"/>
  <c r="GK296" i="1"/>
  <c r="BO296" i="1" s="1"/>
  <c r="GK315" i="1"/>
  <c r="BO315" i="1" s="1"/>
  <c r="GK150" i="1"/>
  <c r="BO150" i="1" s="1"/>
  <c r="GK200" i="1"/>
  <c r="BO200" i="1" s="1"/>
  <c r="GK256" i="1"/>
  <c r="BO256" i="1" s="1"/>
  <c r="GK250" i="1"/>
  <c r="BO250" i="1" s="1"/>
  <c r="GK265" i="1"/>
  <c r="BO265" i="1" s="1"/>
  <c r="GK300" i="1"/>
  <c r="BO300" i="1" s="1"/>
  <c r="GK335" i="1"/>
  <c r="BO335" i="1" s="1"/>
  <c r="GK355" i="1"/>
  <c r="BO355" i="1" s="1"/>
  <c r="GK31" i="1"/>
  <c r="BO31" i="1" s="1"/>
  <c r="GK81" i="1"/>
  <c r="BO81" i="1" s="1"/>
  <c r="GK131" i="1"/>
  <c r="BO131" i="1" s="1"/>
  <c r="GK181" i="1"/>
  <c r="BO181" i="1" s="1"/>
  <c r="GK231" i="1"/>
  <c r="BO231" i="1" s="1"/>
  <c r="GK281" i="1"/>
  <c r="BO281" i="1" s="1"/>
  <c r="GK12" i="1"/>
  <c r="BO12" i="1" s="1"/>
  <c r="GK35" i="1"/>
  <c r="BO35" i="1" s="1"/>
  <c r="GK62" i="1"/>
  <c r="BO62" i="1" s="1"/>
  <c r="GK85" i="1"/>
  <c r="BO85" i="1" s="1"/>
  <c r="GK112" i="1"/>
  <c r="BO112" i="1" s="1"/>
  <c r="GK221" i="1"/>
  <c r="BO221" i="1" s="1"/>
  <c r="GK162" i="1"/>
  <c r="BO162" i="1" s="1"/>
  <c r="GK212" i="1"/>
  <c r="BO212" i="1" s="1"/>
  <c r="GK262" i="1"/>
  <c r="BO262" i="1" s="1"/>
  <c r="GK312" i="1"/>
  <c r="BO312" i="1" s="1"/>
  <c r="GK316" i="1"/>
  <c r="BO316" i="1" s="1"/>
  <c r="FI352" i="1"/>
  <c r="FI312" i="1"/>
  <c r="FI252" i="1"/>
  <c r="FI212" i="1"/>
  <c r="FI220" i="1"/>
  <c r="FI332" i="1"/>
  <c r="FI232" i="1"/>
  <c r="FI200" i="1"/>
  <c r="FI366" i="1"/>
  <c r="FI282" i="1"/>
  <c r="FI326" i="1"/>
  <c r="FI34" i="1"/>
  <c r="FI246" i="1"/>
  <c r="FI226" i="1"/>
  <c r="FI206" i="1"/>
  <c r="FI186" i="1"/>
  <c r="FI166" i="1"/>
  <c r="FI365" i="1"/>
  <c r="FI345" i="1"/>
  <c r="FI349" i="1"/>
  <c r="FI305" i="1"/>
  <c r="FI285" i="1"/>
  <c r="FI265" i="1"/>
  <c r="FI245" i="1"/>
  <c r="FI225" i="1"/>
  <c r="FI161" i="1"/>
  <c r="FI242" i="1"/>
  <c r="FI165" i="1"/>
  <c r="FI145" i="1"/>
  <c r="FI125" i="1"/>
  <c r="FI105" i="1"/>
  <c r="FI85" i="1"/>
  <c r="FI65" i="1"/>
  <c r="FI45" i="1"/>
  <c r="FI25" i="1"/>
  <c r="FI136" i="1"/>
  <c r="FI364" i="1"/>
  <c r="FI346" i="1"/>
  <c r="FI367" i="1"/>
  <c r="FI304" i="1"/>
  <c r="FI284" i="1"/>
  <c r="FI264" i="1"/>
  <c r="FI244" i="1"/>
  <c r="FI224" i="1"/>
  <c r="FI204" i="1"/>
  <c r="FI184" i="1"/>
  <c r="FI164" i="1"/>
  <c r="FI144" i="1"/>
  <c r="FI124" i="1"/>
  <c r="FI57" i="1"/>
  <c r="FI84" i="1"/>
  <c r="FI64" i="1"/>
  <c r="FI44" i="1"/>
  <c r="FI24" i="1"/>
  <c r="FI4" i="1"/>
  <c r="FI362" i="1"/>
  <c r="FI342" i="1"/>
  <c r="FI322" i="1"/>
  <c r="FI302" i="1"/>
  <c r="FI126" i="1"/>
  <c r="FI262" i="1"/>
  <c r="FI160" i="1"/>
  <c r="FI103" i="1"/>
  <c r="FI202" i="1"/>
  <c r="FI182" i="1"/>
  <c r="BJ182" i="1" s="1" a="1"/>
  <c r="BJ182" i="1" s="1"/>
  <c r="FI162" i="1"/>
  <c r="FI142" i="1"/>
  <c r="FI122" i="1"/>
  <c r="FI102" i="1"/>
  <c r="FI82" i="1"/>
  <c r="FI62" i="1"/>
  <c r="FI42" i="1"/>
  <c r="FI104" i="1"/>
  <c r="FI143" i="1"/>
  <c r="FI341" i="1"/>
  <c r="FI321" i="1"/>
  <c r="FI301" i="1"/>
  <c r="FI281" i="1"/>
  <c r="FI261" i="1"/>
  <c r="FI241" i="1"/>
  <c r="FI205" i="1"/>
  <c r="FI201" i="1"/>
  <c r="FI181" i="1"/>
  <c r="FI294" i="1"/>
  <c r="FI266" i="1"/>
  <c r="BJ266" i="1" s="1" a="1"/>
  <c r="BJ266" i="1" s="1"/>
  <c r="FI121" i="1"/>
  <c r="FI101" i="1"/>
  <c r="FI81" i="1"/>
  <c r="FI61" i="1"/>
  <c r="FI41" i="1"/>
  <c r="FI21" i="1"/>
  <c r="FI14" i="1"/>
  <c r="FI53" i="1"/>
  <c r="FI33" i="1"/>
  <c r="FI13" i="1"/>
  <c r="FI306" i="1"/>
  <c r="FI146" i="1"/>
  <c r="FI106" i="1"/>
  <c r="FI66" i="1"/>
  <c r="FI26" i="1"/>
  <c r="FI357" i="1"/>
  <c r="FI337" i="1"/>
  <c r="FI317" i="1"/>
  <c r="FI277" i="1"/>
  <c r="FI257" i="1"/>
  <c r="FI237" i="1"/>
  <c r="FI297" i="1"/>
  <c r="FI286" i="1"/>
  <c r="FI22" i="1"/>
  <c r="FI86" i="1"/>
  <c r="FI46" i="1"/>
  <c r="FI6" i="1"/>
  <c r="FI360" i="1"/>
  <c r="FI340" i="1"/>
  <c r="FI320" i="1"/>
  <c r="FI300" i="1"/>
  <c r="FI280" i="1"/>
  <c r="FI260" i="1"/>
  <c r="FI189" i="1"/>
  <c r="FI47" i="1"/>
  <c r="FI233" i="1"/>
  <c r="FI140" i="1"/>
  <c r="FI209" i="1"/>
  <c r="FI100" i="1"/>
  <c r="FI80" i="1"/>
  <c r="FI60" i="1"/>
  <c r="FI40" i="1"/>
  <c r="FI217" i="1"/>
  <c r="FI79" i="1"/>
  <c r="FI177" i="1"/>
  <c r="FI157" i="1"/>
  <c r="FI7" i="1"/>
  <c r="FI117" i="1"/>
  <c r="FI97" i="1"/>
  <c r="FI77" i="1"/>
  <c r="FI197" i="1"/>
  <c r="FI37" i="1"/>
  <c r="FI363" i="1"/>
  <c r="FI343" i="1"/>
  <c r="FI323" i="1"/>
  <c r="FI303" i="1"/>
  <c r="FI283" i="1"/>
  <c r="FI263" i="1"/>
  <c r="FI243" i="1"/>
  <c r="FI223" i="1"/>
  <c r="FI203" i="1"/>
  <c r="FI183" i="1"/>
  <c r="FI163" i="1"/>
  <c r="FI216" i="1"/>
  <c r="FI123" i="1"/>
  <c r="FI207" i="1"/>
  <c r="FI83" i="1"/>
  <c r="FI63" i="1"/>
  <c r="FI43" i="1"/>
  <c r="FI141" i="1"/>
  <c r="FI3" i="1"/>
  <c r="FI355" i="1"/>
  <c r="FI335" i="1"/>
  <c r="FI315" i="1"/>
  <c r="FI295" i="1"/>
  <c r="FI275" i="1"/>
  <c r="FI255" i="1"/>
  <c r="FI235" i="1"/>
  <c r="FI256" i="1"/>
  <c r="FI195" i="1"/>
  <c r="FI299" i="1"/>
  <c r="FI155" i="1"/>
  <c r="FI221" i="1"/>
  <c r="FI115" i="1"/>
  <c r="FI95" i="1"/>
  <c r="FI75" i="1"/>
  <c r="FI55" i="1"/>
  <c r="FI35" i="1"/>
  <c r="FI137" i="1"/>
  <c r="FI334" i="1"/>
  <c r="FI314" i="1"/>
  <c r="FI180" i="1"/>
  <c r="FI274" i="1"/>
  <c r="FI254" i="1"/>
  <c r="FI234" i="1"/>
  <c r="FI214" i="1"/>
  <c r="FI194" i="1"/>
  <c r="FI113" i="1"/>
  <c r="FI154" i="1"/>
  <c r="FI5" i="1"/>
  <c r="FI114" i="1"/>
  <c r="FI361" i="1"/>
  <c r="FI74" i="1"/>
  <c r="FI54" i="1"/>
  <c r="FI78" i="1"/>
  <c r="FI20" i="1"/>
  <c r="FI353" i="1"/>
  <c r="FI333" i="1"/>
  <c r="FI313" i="1"/>
  <c r="FI293" i="1"/>
  <c r="FI273" i="1"/>
  <c r="FI253" i="1"/>
  <c r="FI292" i="1"/>
  <c r="FI174" i="1"/>
  <c r="FI193" i="1"/>
  <c r="FI173" i="1"/>
  <c r="FI153" i="1"/>
  <c r="FI133" i="1"/>
  <c r="FI240" i="1"/>
  <c r="FI93" i="1"/>
  <c r="FI18" i="1"/>
  <c r="FI359" i="1"/>
  <c r="FI339" i="1"/>
  <c r="FI319" i="1"/>
  <c r="FI167" i="1"/>
  <c r="FI279" i="1"/>
  <c r="FI259" i="1"/>
  <c r="FI2" i="1"/>
  <c r="FI219" i="1"/>
  <c r="FI199" i="1"/>
  <c r="FI179" i="1"/>
  <c r="FI159" i="1"/>
  <c r="FI139" i="1"/>
  <c r="FI119" i="1"/>
  <c r="FI99" i="1"/>
  <c r="FI278" i="1"/>
  <c r="FI59" i="1"/>
  <c r="FI168" i="1"/>
  <c r="FI19" i="1"/>
  <c r="FI358" i="1"/>
  <c r="BJ358" i="1" s="1" a="1"/>
  <c r="BJ358" i="1" s="1"/>
  <c r="FI211" i="1"/>
  <c r="FI318" i="1"/>
  <c r="FI298" i="1"/>
  <c r="FI171" i="1"/>
  <c r="FI258" i="1"/>
  <c r="FI238" i="1"/>
  <c r="FI218" i="1"/>
  <c r="FI198" i="1"/>
  <c r="FI178" i="1"/>
  <c r="FI158" i="1"/>
  <c r="FI138" i="1"/>
  <c r="FI118" i="1"/>
  <c r="FI98" i="1"/>
  <c r="FI175" i="1"/>
  <c r="FI58" i="1"/>
  <c r="FI38" i="1"/>
  <c r="FI108" i="1"/>
  <c r="FI17" i="1"/>
  <c r="FI356" i="1"/>
  <c r="FI336" i="1"/>
  <c r="FI316" i="1"/>
  <c r="FI296" i="1"/>
  <c r="FI276" i="1"/>
  <c r="FI213" i="1"/>
  <c r="FI371" i="1"/>
  <c r="FI222" i="1"/>
  <c r="FI196" i="1"/>
  <c r="FI156" i="1"/>
  <c r="FI134" i="1"/>
  <c r="FI116" i="1"/>
  <c r="FI96" i="1"/>
  <c r="FI76" i="1"/>
  <c r="FI56" i="1"/>
  <c r="FI36" i="1"/>
  <c r="FI16" i="1"/>
  <c r="FI338" i="1"/>
  <c r="FI15" i="1"/>
  <c r="FI369" i="1"/>
  <c r="FI239" i="1"/>
  <c r="FI329" i="1"/>
  <c r="FI309" i="1"/>
  <c r="FI289" i="1"/>
  <c r="FI269" i="1"/>
  <c r="FI249" i="1"/>
  <c r="FI229" i="1"/>
  <c r="FI176" i="1"/>
  <c r="FI325" i="1"/>
  <c r="FI169" i="1"/>
  <c r="FI149" i="1"/>
  <c r="FI129" i="1"/>
  <c r="FI109" i="1"/>
  <c r="FI89" i="1"/>
  <c r="FI69" i="1"/>
  <c r="FI49" i="1"/>
  <c r="FI29" i="1"/>
  <c r="FI9" i="1"/>
  <c r="FI368" i="1"/>
  <c r="FI348" i="1"/>
  <c r="FI328" i="1"/>
  <c r="FI308" i="1"/>
  <c r="FI288" i="1"/>
  <c r="FI268" i="1"/>
  <c r="FI248" i="1"/>
  <c r="FI228" i="1"/>
  <c r="FI208" i="1"/>
  <c r="FI188" i="1"/>
  <c r="FI215" i="1"/>
  <c r="FI148" i="1"/>
  <c r="FI128" i="1"/>
  <c r="FI94" i="1"/>
  <c r="FI88" i="1"/>
  <c r="FI68" i="1"/>
  <c r="FI48" i="1"/>
  <c r="FI28" i="1"/>
  <c r="FI8" i="1"/>
  <c r="BJ23" i="1" l="1" a="1"/>
  <c r="BJ23" i="1" s="1"/>
  <c r="BJ53" i="1" a="1"/>
  <c r="BJ53" i="1" s="1"/>
  <c r="BJ93" i="1" a="1"/>
  <c r="BJ93" i="1" s="1"/>
  <c r="BJ208" i="1" a="1"/>
  <c r="BJ208" i="1" s="1"/>
  <c r="BJ74" i="1" a="1"/>
  <c r="BJ74" i="1" s="1"/>
  <c r="BJ248" i="1" a="1"/>
  <c r="BJ248" i="1" s="1"/>
  <c r="BJ258" i="1" a="1"/>
  <c r="BJ258" i="1" s="1"/>
  <c r="BJ234" i="1" a="1"/>
  <c r="BJ234" i="1" s="1"/>
  <c r="BJ117" i="1" a="1"/>
  <c r="BJ117" i="1" s="1"/>
  <c r="BJ333" i="1" a="1"/>
  <c r="BJ333" i="1" s="1"/>
  <c r="BJ7" i="1" a="1"/>
  <c r="BJ7" i="1" s="1"/>
  <c r="BJ210" i="1" a="1"/>
  <c r="BJ210" i="1" s="1"/>
  <c r="BJ8" i="1" a="1"/>
  <c r="BJ8" i="1" s="1"/>
  <c r="BJ193" i="1" a="1"/>
  <c r="BJ193" i="1" s="1"/>
  <c r="BJ259" i="1" a="1"/>
  <c r="BJ259" i="1" s="1"/>
  <c r="BJ353" i="1" a="1"/>
  <c r="BJ353" i="1" s="1"/>
  <c r="BJ177" i="1" a="1"/>
  <c r="BJ177" i="1" s="1"/>
  <c r="BJ109" i="1" a="1"/>
  <c r="BJ109" i="1" s="1"/>
  <c r="BJ197" i="1" a="1"/>
  <c r="BJ197" i="1" s="1"/>
  <c r="BJ94" i="1" a="1"/>
  <c r="BJ94" i="1" s="1"/>
  <c r="BJ128" i="1" a="1"/>
  <c r="BJ128" i="1" s="1"/>
  <c r="BJ134" i="1" a="1"/>
  <c r="BJ134" i="1" s="1"/>
  <c r="BJ178" i="1" a="1"/>
  <c r="BJ178" i="1" s="1"/>
  <c r="BJ313" i="1" a="1"/>
  <c r="BJ313" i="1" s="1"/>
  <c r="BJ137" i="1" a="1"/>
  <c r="BJ137" i="1" s="1"/>
  <c r="BJ43" i="1" a="1"/>
  <c r="BJ43" i="1" s="1"/>
  <c r="BJ97" i="1" a="1"/>
  <c r="BJ97" i="1" s="1"/>
  <c r="BJ340" i="1" a="1"/>
  <c r="BJ340" i="1" s="1"/>
  <c r="BJ88" i="1" a="1"/>
  <c r="BJ88" i="1" s="1"/>
  <c r="BJ96" i="1" a="1"/>
  <c r="BJ96" i="1" s="1"/>
  <c r="BJ35" i="1" a="1"/>
  <c r="BJ35" i="1" s="1"/>
  <c r="BJ360" i="1" a="1"/>
  <c r="BJ360" i="1" s="1"/>
  <c r="BJ325" i="1" a="1"/>
  <c r="BJ325" i="1" s="1"/>
  <c r="BJ82" i="1" a="1"/>
  <c r="BJ82" i="1" s="1"/>
  <c r="BJ57" i="1" a="1"/>
  <c r="BJ57" i="1" s="1"/>
  <c r="BJ227" i="1" a="1"/>
  <c r="BJ227" i="1" s="1"/>
  <c r="BJ33" i="1" a="1"/>
  <c r="BJ33" i="1" s="1"/>
  <c r="BJ24" i="1" a="1"/>
  <c r="BJ24" i="1" s="1"/>
  <c r="BJ339" i="1" a="1"/>
  <c r="BJ339" i="1" s="1"/>
  <c r="BJ229" i="1" a="1"/>
  <c r="BJ229" i="1" s="1"/>
  <c r="BJ86" i="1" a="1"/>
  <c r="BJ86" i="1" s="1"/>
  <c r="BJ371" i="1" a="1"/>
  <c r="BJ371" i="1" s="1"/>
  <c r="BJ69" i="1" a="1"/>
  <c r="BJ69" i="1" s="1"/>
  <c r="BJ298" i="1" a="1"/>
  <c r="BJ298" i="1" s="1"/>
  <c r="BJ18" i="1" a="1"/>
  <c r="BJ18" i="1" s="1"/>
  <c r="BJ114" i="1" a="1"/>
  <c r="BJ114" i="1" s="1"/>
  <c r="BJ324" i="1" a="1"/>
  <c r="BJ324" i="1" s="1"/>
  <c r="BJ289" i="1" a="1"/>
  <c r="BJ289" i="1" s="1"/>
  <c r="BJ361" i="1" a="1"/>
  <c r="BJ361" i="1" s="1"/>
  <c r="BJ164" i="1" a="1"/>
  <c r="BJ164" i="1" s="1"/>
  <c r="BJ232" i="1" a="1"/>
  <c r="BJ232" i="1" s="1"/>
  <c r="BJ60" i="1" a="1"/>
  <c r="BJ60" i="1" s="1"/>
  <c r="BJ323" i="1" a="1"/>
  <c r="BJ323" i="1" s="1"/>
  <c r="BJ139" i="1" a="1"/>
  <c r="BJ139" i="1" s="1"/>
  <c r="BJ292" i="1" a="1"/>
  <c r="BJ292" i="1" s="1"/>
  <c r="BJ274" i="1" a="1"/>
  <c r="BJ274" i="1" s="1"/>
  <c r="BJ116" i="1" a="1"/>
  <c r="BJ116" i="1" s="1"/>
  <c r="BJ77" i="1" a="1"/>
  <c r="BJ77" i="1" s="1"/>
  <c r="BJ13" i="1" a="1"/>
  <c r="BJ13" i="1" s="1"/>
  <c r="BJ344" i="1" a="1"/>
  <c r="BJ344" i="1" s="1"/>
  <c r="BJ228" i="1" a="1"/>
  <c r="BJ228" i="1" s="1"/>
  <c r="BJ213" i="1" a="1"/>
  <c r="BJ213" i="1" s="1"/>
  <c r="BJ319" i="1" a="1"/>
  <c r="BJ319" i="1" s="1"/>
  <c r="BJ54" i="1" a="1"/>
  <c r="BJ54" i="1" s="1"/>
  <c r="BJ216" i="1" a="1"/>
  <c r="BJ216" i="1" s="1"/>
  <c r="BJ269" i="1" a="1"/>
  <c r="BJ269" i="1" s="1"/>
  <c r="BJ276" i="1" a="1"/>
  <c r="BJ276" i="1" s="1"/>
  <c r="BJ221" i="1" a="1"/>
  <c r="BJ221" i="1" s="1"/>
  <c r="BJ217" i="1" a="1"/>
  <c r="BJ217" i="1" s="1"/>
  <c r="BJ286" i="1" a="1"/>
  <c r="BJ286" i="1" s="1"/>
  <c r="BJ144" i="1" a="1"/>
  <c r="BJ144" i="1" s="1"/>
  <c r="BJ165" i="1" a="1"/>
  <c r="BJ165" i="1" s="1"/>
  <c r="BJ308" i="1" a="1"/>
  <c r="BJ308" i="1" s="1"/>
  <c r="BJ17" i="1" a="1"/>
  <c r="BJ17" i="1" s="1"/>
  <c r="BJ100" i="1" a="1"/>
  <c r="BJ100" i="1" s="1"/>
  <c r="BJ348" i="1" a="1"/>
  <c r="BJ348" i="1" s="1"/>
  <c r="BJ26" i="1" a="1"/>
  <c r="BJ26" i="1" s="1"/>
  <c r="BJ47" i="1" a="1"/>
  <c r="BJ47" i="1" s="1"/>
  <c r="BJ349" i="1" a="1"/>
  <c r="BJ349" i="1" s="1"/>
  <c r="BJ175" i="1" a="1"/>
  <c r="BJ175" i="1" s="1"/>
  <c r="BJ147" i="1" a="1"/>
  <c r="BJ147" i="1" s="1"/>
  <c r="BJ44" i="1" a="1"/>
  <c r="BJ44" i="1" s="1"/>
  <c r="BJ48" i="1" a="1"/>
  <c r="BJ48" i="1" s="1"/>
  <c r="BJ14" i="1" a="1"/>
  <c r="BJ14" i="1" s="1"/>
  <c r="BJ42" i="1" a="1"/>
  <c r="BJ42" i="1" s="1"/>
  <c r="BJ64" i="1" a="1"/>
  <c r="BJ64" i="1" s="1"/>
  <c r="BJ34" i="1" a="1"/>
  <c r="BJ34" i="1" s="1"/>
  <c r="BJ49" i="1" a="1"/>
  <c r="BJ49" i="1" s="1"/>
  <c r="BJ104" i="1" a="1"/>
  <c r="BJ104" i="1" s="1"/>
  <c r="BJ55" i="1" a="1"/>
  <c r="BJ55" i="1" s="1"/>
  <c r="BJ222" i="1" a="1"/>
  <c r="BJ222" i="1" s="1"/>
  <c r="BJ279" i="1" a="1"/>
  <c r="BJ279" i="1" s="1"/>
  <c r="BJ251" i="1" a="1"/>
  <c r="BJ251" i="1" s="1"/>
  <c r="BJ124" i="1" a="1"/>
  <c r="BJ124" i="1" s="1"/>
  <c r="BJ247" i="1" a="1"/>
  <c r="BJ247" i="1" s="1"/>
  <c r="BJ329" i="1" a="1"/>
  <c r="BJ329" i="1" s="1"/>
  <c r="BJ80" i="1" a="1"/>
  <c r="BJ80" i="1" s="1"/>
  <c r="BJ328" i="1" a="1"/>
  <c r="BJ328" i="1" s="1"/>
  <c r="BJ356" i="1" a="1"/>
  <c r="BJ356" i="1" s="1"/>
  <c r="BJ240" i="1" a="1"/>
  <c r="BJ240" i="1" s="1"/>
  <c r="BJ154" i="1" a="1"/>
  <c r="BJ154" i="1" s="1"/>
  <c r="BJ243" i="1" a="1"/>
  <c r="BJ243" i="1" s="1"/>
  <c r="BJ277" i="1" a="1"/>
  <c r="BJ277" i="1" s="1"/>
  <c r="BJ224" i="1" a="1"/>
  <c r="BJ224" i="1" s="1"/>
  <c r="BJ209" i="1" a="1"/>
  <c r="BJ209" i="1" s="1"/>
  <c r="BJ368" i="1" a="1"/>
  <c r="BJ368" i="1" s="1"/>
  <c r="BJ59" i="1" a="1"/>
  <c r="BJ59" i="1" s="1"/>
  <c r="BJ194" i="1" a="1"/>
  <c r="BJ194" i="1" s="1"/>
  <c r="BJ255" i="1" a="1"/>
  <c r="BJ255" i="1" s="1"/>
  <c r="BJ283" i="1" a="1"/>
  <c r="BJ283" i="1" s="1"/>
  <c r="BJ337" i="1" a="1"/>
  <c r="BJ337" i="1" s="1"/>
  <c r="BJ201" i="1" a="1"/>
  <c r="BJ201" i="1" s="1"/>
  <c r="BJ160" i="1" a="1"/>
  <c r="BJ160" i="1" s="1"/>
  <c r="BJ297" i="1" a="1"/>
  <c r="BJ297" i="1" s="1"/>
  <c r="BJ242" i="1" a="1"/>
  <c r="BJ242" i="1" s="1"/>
  <c r="BJ133" i="1" a="1"/>
  <c r="BJ133" i="1" s="1"/>
  <c r="BJ235" i="1" a="1"/>
  <c r="BJ235" i="1" s="1"/>
  <c r="BJ263" i="1" a="1"/>
  <c r="BJ263" i="1" s="1"/>
  <c r="BJ317" i="1" a="1"/>
  <c r="BJ317" i="1" s="1"/>
  <c r="BJ181" i="1" a="1"/>
  <c r="BJ181" i="1" s="1"/>
  <c r="BJ103" i="1" a="1"/>
  <c r="BJ103" i="1" s="1"/>
  <c r="BJ244" i="1" a="1"/>
  <c r="BJ244" i="1" s="1"/>
  <c r="BJ9" i="1" a="1"/>
  <c r="BJ9" i="1" s="1"/>
  <c r="BJ214" i="1" a="1"/>
  <c r="BJ214" i="1" s="1"/>
  <c r="BJ275" i="1" a="1"/>
  <c r="BJ275" i="1" s="1"/>
  <c r="BJ233" i="1" a="1"/>
  <c r="BJ233" i="1" s="1"/>
  <c r="BJ357" i="1" a="1"/>
  <c r="BJ357" i="1" s="1"/>
  <c r="BJ262" i="1" a="1"/>
  <c r="BJ262" i="1" s="1"/>
  <c r="BJ260" i="1" a="1"/>
  <c r="BJ260" i="1" s="1"/>
  <c r="BJ365" i="1" a="1"/>
  <c r="BJ365" i="1" s="1"/>
  <c r="BJ362" i="1" a="1"/>
  <c r="BJ362" i="1" s="1"/>
  <c r="BJ4" i="1" a="1"/>
  <c r="BJ4" i="1" s="1"/>
  <c r="BJ149" i="1" a="1"/>
  <c r="BJ149" i="1" s="1"/>
  <c r="BJ143" i="1" a="1"/>
  <c r="BJ143" i="1" s="1"/>
  <c r="BJ45" i="1" a="1"/>
  <c r="BJ45" i="1" s="1"/>
  <c r="BJ150" i="1" a="1"/>
  <c r="BJ150" i="1" s="1"/>
  <c r="BJ20" i="1" a="1"/>
  <c r="BJ20" i="1" s="1"/>
  <c r="BJ207" i="1" a="1"/>
  <c r="BJ207" i="1" s="1"/>
  <c r="BJ85" i="1" a="1"/>
  <c r="BJ85" i="1" s="1"/>
  <c r="BJ123" i="1" a="1"/>
  <c r="BJ123" i="1" s="1"/>
  <c r="BJ171" i="1" a="1"/>
  <c r="BJ171" i="1" s="1"/>
  <c r="BJ230" i="1" a="1"/>
  <c r="BJ230" i="1" s="1"/>
  <c r="BJ200" i="1" a="1"/>
  <c r="BJ200" i="1" s="1"/>
  <c r="BJ231" i="1" a="1"/>
  <c r="BJ231" i="1" s="1"/>
  <c r="BJ267" i="1" a="1"/>
  <c r="BJ267" i="1" s="1"/>
  <c r="BJ270" i="1" a="1"/>
  <c r="BJ270" i="1" s="1"/>
  <c r="BJ162" i="1" a="1"/>
  <c r="BJ162" i="1" s="1"/>
  <c r="BJ309" i="1" a="1"/>
  <c r="BJ309" i="1" s="1"/>
  <c r="BJ5" i="1" a="1"/>
  <c r="BJ5" i="1" s="1"/>
  <c r="BJ195" i="1" a="1"/>
  <c r="BJ195" i="1" s="1"/>
  <c r="BJ204" i="1" a="1"/>
  <c r="BJ204" i="1" s="1"/>
  <c r="BJ220" i="1" a="1"/>
  <c r="BJ220" i="1" s="1"/>
  <c r="BJ327" i="1" a="1"/>
  <c r="BJ327" i="1" s="1"/>
  <c r="BJ310" i="1" a="1"/>
  <c r="BJ310" i="1" s="1"/>
  <c r="BJ351" i="1" a="1"/>
  <c r="BJ351" i="1" s="1"/>
  <c r="BJ239" i="1" a="1"/>
  <c r="BJ239" i="1" s="1"/>
  <c r="BJ256" i="1" a="1"/>
  <c r="BJ256" i="1" s="1"/>
  <c r="BJ294" i="1" a="1"/>
  <c r="BJ294" i="1" s="1"/>
  <c r="BJ245" i="1" a="1"/>
  <c r="BJ245" i="1" s="1"/>
  <c r="BJ212" i="1" a="1"/>
  <c r="BJ212" i="1" s="1"/>
  <c r="BJ347" i="1" a="1"/>
  <c r="BJ347" i="1" s="1"/>
  <c r="BJ330" i="1" a="1"/>
  <c r="BJ330" i="1" s="1"/>
  <c r="BJ236" i="1" a="1"/>
  <c r="BJ236" i="1" s="1"/>
  <c r="BJ265" i="1" a="1"/>
  <c r="BJ265" i="1" s="1"/>
  <c r="BJ285" i="1" a="1"/>
  <c r="BJ285" i="1" s="1"/>
  <c r="BJ305" i="1" a="1"/>
  <c r="BJ305" i="1" s="1"/>
  <c r="BJ38" i="1" a="1"/>
  <c r="BJ38" i="1" s="1"/>
  <c r="BJ303" i="1" a="1"/>
  <c r="BJ303" i="1" s="1"/>
  <c r="BJ252" i="1" a="1"/>
  <c r="BJ252" i="1" s="1"/>
  <c r="BJ226" i="1" a="1"/>
  <c r="BJ226" i="1" s="1"/>
  <c r="BJ130" i="1" a="1"/>
  <c r="BJ130" i="1" s="1"/>
  <c r="BJ350" i="1" a="1"/>
  <c r="BJ350" i="1" s="1"/>
  <c r="BJ352" i="1" a="1"/>
  <c r="BJ352" i="1" s="1"/>
  <c r="BJ120" i="1" a="1"/>
  <c r="BJ120" i="1" s="1"/>
  <c r="BJ61" i="1" a="1"/>
  <c r="BJ61" i="1" s="1"/>
  <c r="BJ140" i="1" a="1"/>
  <c r="BJ140" i="1" s="1"/>
  <c r="BJ346" i="1" a="1"/>
  <c r="BJ346" i="1" s="1"/>
  <c r="BJ363" i="1" a="1"/>
  <c r="BJ363" i="1" s="1"/>
  <c r="BJ67" i="1" a="1"/>
  <c r="BJ67" i="1" s="1"/>
  <c r="BJ253" i="1" a="1"/>
  <c r="BJ253" i="1" s="1"/>
  <c r="BJ167" i="1" a="1"/>
  <c r="BJ167" i="1" s="1"/>
  <c r="BJ138" i="1" a="1"/>
  <c r="BJ138" i="1" s="1"/>
  <c r="BJ179" i="1" a="1"/>
  <c r="BJ179" i="1" s="1"/>
  <c r="BJ273" i="1" a="1"/>
  <c r="BJ273" i="1" s="1"/>
  <c r="BJ314" i="1" a="1"/>
  <c r="BJ314" i="1" s="1"/>
  <c r="BJ3" i="1" a="1"/>
  <c r="BJ3" i="1" s="1"/>
  <c r="BJ300" i="1" a="1"/>
  <c r="BJ300" i="1" s="1"/>
  <c r="BJ306" i="1" a="1"/>
  <c r="BJ306" i="1" s="1"/>
  <c r="BJ321" i="1" a="1"/>
  <c r="BJ321" i="1" s="1"/>
  <c r="BJ136" i="1" a="1"/>
  <c r="BJ136" i="1" s="1"/>
  <c r="BJ186" i="1" a="1"/>
  <c r="BJ186" i="1" s="1"/>
  <c r="BJ107" i="1" a="1"/>
  <c r="BJ107" i="1" s="1"/>
  <c r="BJ158" i="1" a="1"/>
  <c r="BJ158" i="1" s="1"/>
  <c r="BJ199" i="1" a="1"/>
  <c r="BJ199" i="1" s="1"/>
  <c r="BJ334" i="1" a="1"/>
  <c r="BJ334" i="1" s="1"/>
  <c r="BJ141" i="1" a="1"/>
  <c r="BJ141" i="1" s="1"/>
  <c r="BJ320" i="1" a="1"/>
  <c r="BJ320" i="1" s="1"/>
  <c r="BJ25" i="1" a="1"/>
  <c r="BJ25" i="1" s="1"/>
  <c r="BJ110" i="1" a="1"/>
  <c r="BJ110" i="1" s="1"/>
  <c r="BJ73" i="1" a="1"/>
  <c r="BJ73" i="1" s="1"/>
  <c r="BJ246" i="1" a="1"/>
  <c r="BJ246" i="1" s="1"/>
  <c r="BJ238" i="1" a="1"/>
  <c r="BJ238" i="1" s="1"/>
  <c r="BJ157" i="1" a="1"/>
  <c r="BJ157" i="1" s="1"/>
  <c r="BJ62" i="1" a="1"/>
  <c r="BJ62" i="1" s="1"/>
  <c r="BJ282" i="1" a="1"/>
  <c r="BJ282" i="1" s="1"/>
  <c r="BJ250" i="1" a="1"/>
  <c r="BJ250" i="1" s="1"/>
  <c r="BJ81" i="1" a="1"/>
  <c r="BJ81" i="1" s="1"/>
  <c r="BJ268" i="1" a="1"/>
  <c r="BJ268" i="1" s="1"/>
  <c r="BJ183" i="1" a="1"/>
  <c r="BJ183" i="1" s="1"/>
  <c r="BJ288" i="1" a="1"/>
  <c r="BJ288" i="1" s="1"/>
  <c r="BJ203" i="1" a="1"/>
  <c r="BJ203" i="1" s="1"/>
  <c r="BJ237" i="1" a="1"/>
  <c r="BJ237" i="1" s="1"/>
  <c r="BJ184" i="1" a="1"/>
  <c r="BJ184" i="1" s="1"/>
  <c r="BJ161" i="1" a="1"/>
  <c r="BJ161" i="1" s="1"/>
  <c r="BJ332" i="1" a="1"/>
  <c r="BJ332" i="1" s="1"/>
  <c r="BJ307" i="1" a="1"/>
  <c r="BJ307" i="1" s="1"/>
  <c r="BJ202" i="1" a="1"/>
  <c r="BJ202" i="1" s="1"/>
  <c r="BJ32" i="1" a="1"/>
  <c r="BJ32" i="1" s="1"/>
  <c r="BJ312" i="1" a="1"/>
  <c r="BJ312" i="1" s="1"/>
  <c r="BJ370" i="1" a="1"/>
  <c r="BJ370" i="1" s="1"/>
  <c r="BJ52" i="1" a="1"/>
  <c r="BJ52" i="1" s="1"/>
  <c r="BJ338" i="1" a="1"/>
  <c r="BJ338" i="1" s="1"/>
  <c r="BJ173" i="1" a="1"/>
  <c r="BJ173" i="1" s="1"/>
  <c r="BJ284" i="1" a="1"/>
  <c r="BJ284" i="1" s="1"/>
  <c r="BJ99" i="1" a="1"/>
  <c r="BJ99" i="1" s="1"/>
  <c r="BJ241" i="1" a="1"/>
  <c r="BJ241" i="1" s="1"/>
  <c r="BJ51" i="1" a="1"/>
  <c r="BJ51" i="1" s="1"/>
  <c r="BJ15" i="1" a="1"/>
  <c r="BJ15" i="1" s="1"/>
  <c r="BJ108" i="1" a="1"/>
  <c r="BJ108" i="1" s="1"/>
  <c r="BJ278" i="1" a="1"/>
  <c r="BJ278" i="1" s="1"/>
  <c r="BJ31" i="1" a="1"/>
  <c r="BJ31" i="1" s="1"/>
  <c r="BJ185" i="1" a="1"/>
  <c r="BJ185" i="1" s="1"/>
  <c r="BJ10" i="1" a="1"/>
  <c r="BJ10" i="1" s="1"/>
  <c r="BJ92" i="1" a="1"/>
  <c r="BJ92" i="1" s="1"/>
  <c r="BJ28" i="1" a="1"/>
  <c r="BJ28" i="1" s="1"/>
  <c r="BJ174" i="1" a="1"/>
  <c r="BJ174" i="1" s="1"/>
  <c r="BJ254" i="1" a="1"/>
  <c r="BJ254" i="1" s="1"/>
  <c r="BJ315" i="1" a="1"/>
  <c r="BJ315" i="1" s="1"/>
  <c r="BJ343" i="1" a="1"/>
  <c r="BJ343" i="1" s="1"/>
  <c r="BJ189" i="1" a="1"/>
  <c r="BJ189" i="1" s="1"/>
  <c r="BJ66" i="1" a="1"/>
  <c r="BJ66" i="1" s="1"/>
  <c r="BJ261" i="1" a="1"/>
  <c r="BJ261" i="1" s="1"/>
  <c r="BJ302" i="1" a="1"/>
  <c r="BJ302" i="1" s="1"/>
  <c r="BJ367" i="1" a="1"/>
  <c r="BJ367" i="1" s="1"/>
  <c r="BJ345" i="1" a="1"/>
  <c r="BJ345" i="1" s="1"/>
  <c r="BJ30" i="1" a="1"/>
  <c r="BJ30" i="1" s="1"/>
  <c r="BJ71" i="1" a="1"/>
  <c r="BJ71" i="1" s="1"/>
  <c r="BJ112" i="1" a="1"/>
  <c r="BJ112" i="1" s="1"/>
  <c r="BJ366" i="1" a="1"/>
  <c r="BJ366" i="1" s="1"/>
  <c r="BJ299" i="1" a="1"/>
  <c r="BJ299" i="1" s="1"/>
  <c r="BJ11" i="1" a="1"/>
  <c r="BJ11" i="1" s="1"/>
  <c r="BJ205" i="1" a="1"/>
  <c r="BJ205" i="1" s="1"/>
  <c r="BJ72" i="1" a="1"/>
  <c r="BJ72" i="1" s="1"/>
  <c r="BJ98" i="1" a="1"/>
  <c r="BJ98" i="1" s="1"/>
  <c r="BJ335" i="1" a="1"/>
  <c r="BJ335" i="1" s="1"/>
  <c r="BJ106" i="1" a="1"/>
  <c r="BJ106" i="1" s="1"/>
  <c r="BJ281" i="1" a="1"/>
  <c r="BJ281" i="1" s="1"/>
  <c r="BJ322" i="1" a="1"/>
  <c r="BJ322" i="1" s="1"/>
  <c r="BJ50" i="1" a="1"/>
  <c r="BJ50" i="1" s="1"/>
  <c r="BJ91" i="1" a="1"/>
  <c r="BJ91" i="1" s="1"/>
  <c r="BJ132" i="1" a="1"/>
  <c r="BJ132" i="1" s="1"/>
  <c r="BJ170" i="1" a="1"/>
  <c r="BJ170" i="1" s="1"/>
  <c r="BJ68" i="1" a="1"/>
  <c r="BJ68" i="1" s="1"/>
  <c r="BJ89" i="1" a="1"/>
  <c r="BJ89" i="1" s="1"/>
  <c r="BJ76" i="1" a="1"/>
  <c r="BJ76" i="1" s="1"/>
  <c r="BJ118" i="1" a="1"/>
  <c r="BJ118" i="1" s="1"/>
  <c r="BJ159" i="1" a="1"/>
  <c r="BJ159" i="1" s="1"/>
  <c r="BJ180" i="1" a="1"/>
  <c r="BJ180" i="1" s="1"/>
  <c r="BJ355" i="1" a="1"/>
  <c r="BJ355" i="1" s="1"/>
  <c r="BJ37" i="1" a="1"/>
  <c r="BJ37" i="1" s="1"/>
  <c r="BJ280" i="1" a="1"/>
  <c r="BJ280" i="1" s="1"/>
  <c r="BJ146" i="1" a="1"/>
  <c r="BJ146" i="1" s="1"/>
  <c r="BJ301" i="1" a="1"/>
  <c r="BJ301" i="1" s="1"/>
  <c r="BJ342" i="1" a="1"/>
  <c r="BJ342" i="1" s="1"/>
  <c r="BJ364" i="1" a="1"/>
  <c r="BJ364" i="1" s="1"/>
  <c r="BJ87" i="1" a="1"/>
  <c r="BJ87" i="1" s="1"/>
  <c r="BJ70" i="1" a="1"/>
  <c r="BJ70" i="1" s="1"/>
  <c r="BJ111" i="1" a="1"/>
  <c r="BJ111" i="1" s="1"/>
  <c r="BJ152" i="1" a="1"/>
  <c r="BJ152" i="1" s="1"/>
  <c r="BJ90" i="1" a="1"/>
  <c r="BJ90" i="1" s="1"/>
  <c r="BJ131" i="1" a="1"/>
  <c r="BJ131" i="1" s="1"/>
  <c r="BJ172" i="1" a="1"/>
  <c r="BJ172" i="1" s="1"/>
  <c r="BJ127" i="1" a="1"/>
  <c r="BJ127" i="1" s="1"/>
  <c r="BJ151" i="1" a="1"/>
  <c r="BJ151" i="1" s="1"/>
  <c r="BJ272" i="1" a="1"/>
  <c r="BJ272" i="1" s="1"/>
  <c r="BJ78" i="1" a="1"/>
  <c r="BJ78" i="1" s="1"/>
  <c r="BJ65" i="1" a="1"/>
  <c r="BJ65" i="1" s="1"/>
  <c r="BJ354" i="1" a="1"/>
  <c r="BJ354" i="1" s="1"/>
  <c r="BJ46" i="1" a="1"/>
  <c r="BJ46" i="1" s="1"/>
  <c r="BJ190" i="1" a="1"/>
  <c r="BJ190" i="1" s="1"/>
  <c r="BJ115" i="1" a="1"/>
  <c r="BJ115" i="1" s="1"/>
  <c r="BJ12" i="1" a="1"/>
  <c r="BJ12" i="1" s="1"/>
  <c r="BJ122" i="1" a="1"/>
  <c r="BJ122" i="1" s="1"/>
  <c r="BJ291" i="1" a="1"/>
  <c r="BJ291" i="1" s="1"/>
  <c r="BJ219" i="1" a="1"/>
  <c r="BJ219" i="1" s="1"/>
  <c r="BJ311" i="1" a="1"/>
  <c r="BJ311" i="1" s="1"/>
  <c r="BJ290" i="1" a="1"/>
  <c r="BJ290" i="1" s="1"/>
  <c r="BJ331" i="1" a="1"/>
  <c r="BJ331" i="1" s="1"/>
  <c r="BJ121" i="1" a="1"/>
  <c r="BJ121" i="1" s="1"/>
  <c r="BJ29" i="1" a="1"/>
  <c r="BJ29" i="1" s="1"/>
  <c r="BJ126" i="1" a="1"/>
  <c r="BJ126" i="1" s="1"/>
  <c r="BJ341" i="1" a="1"/>
  <c r="BJ341" i="1" s="1"/>
  <c r="BJ19" i="1" a="1"/>
  <c r="BJ19" i="1" s="1"/>
  <c r="BJ83" i="1" a="1"/>
  <c r="BJ83" i="1" s="1"/>
  <c r="BJ6" i="1" a="1"/>
  <c r="BJ6" i="1" s="1"/>
  <c r="BJ176" i="1" a="1"/>
  <c r="BJ176" i="1" s="1"/>
  <c r="BJ105" i="1" a="1"/>
  <c r="BJ105" i="1" s="1"/>
  <c r="BJ125" i="1" a="1"/>
  <c r="BJ125" i="1" s="1"/>
  <c r="BJ249" i="1" a="1"/>
  <c r="BJ249" i="1" s="1"/>
  <c r="BJ145" i="1" a="1"/>
  <c r="BJ145" i="1" s="1"/>
  <c r="BJ163" i="1" a="1"/>
  <c r="BJ163" i="1" s="1"/>
  <c r="BJ153" i="1" a="1"/>
  <c r="BJ153" i="1" s="1"/>
  <c r="BJ215" i="1" a="1"/>
  <c r="BJ215" i="1" s="1"/>
  <c r="BJ188" i="1" a="1"/>
  <c r="BJ188" i="1" s="1"/>
  <c r="BJ326" i="1" a="1"/>
  <c r="BJ326" i="1" s="1"/>
  <c r="BJ95" i="1" a="1"/>
  <c r="BJ95" i="1" s="1"/>
  <c r="BJ196" i="1" a="1"/>
  <c r="BJ196" i="1" s="1"/>
  <c r="BJ187" i="1" a="1"/>
  <c r="BJ187" i="1" s="1"/>
  <c r="BJ75" i="1" a="1"/>
  <c r="BJ75" i="1" s="1"/>
  <c r="BJ21" i="1" a="1"/>
  <c r="BJ21" i="1" s="1"/>
  <c r="BJ84" i="1" a="1"/>
  <c r="BJ84" i="1" s="1"/>
  <c r="BJ41" i="1" a="1"/>
  <c r="BJ41" i="1" s="1"/>
  <c r="BJ79" i="1" a="1"/>
  <c r="BJ79" i="1" s="1"/>
  <c r="BJ22" i="1" a="1"/>
  <c r="BJ22" i="1" s="1"/>
  <c r="BJ102" i="1" a="1"/>
  <c r="BJ102" i="1" s="1"/>
  <c r="BJ271" i="1" a="1"/>
  <c r="BJ271" i="1" s="1"/>
  <c r="BJ296" i="1" a="1"/>
  <c r="BJ296" i="1" s="1"/>
  <c r="BJ318" i="1" a="1"/>
  <c r="BJ318" i="1" s="1"/>
  <c r="BJ359" i="1" a="1"/>
  <c r="BJ359" i="1" s="1"/>
  <c r="BJ155" i="1" a="1"/>
  <c r="BJ155" i="1" s="1"/>
  <c r="BJ40" i="1" a="1"/>
  <c r="BJ40" i="1" s="1"/>
  <c r="BJ101" i="1" a="1"/>
  <c r="BJ101" i="1" s="1"/>
  <c r="BJ142" i="1" a="1"/>
  <c r="BJ142" i="1" s="1"/>
  <c r="BJ287" i="1" a="1"/>
  <c r="BJ287" i="1" s="1"/>
  <c r="BJ316" i="1" a="1"/>
  <c r="BJ316" i="1" s="1"/>
  <c r="BJ211" i="1" a="1"/>
  <c r="BJ211" i="1" s="1"/>
  <c r="BJ336" i="1" a="1"/>
  <c r="BJ336" i="1" s="1"/>
  <c r="BJ223" i="1" a="1"/>
  <c r="BJ223" i="1" s="1"/>
  <c r="BJ257" i="1" a="1"/>
  <c r="BJ257" i="1" s="1"/>
  <c r="BJ225" i="1" a="1"/>
  <c r="BJ225" i="1" s="1"/>
  <c r="BJ369" i="1" a="1"/>
  <c r="BJ369" i="1" s="1"/>
  <c r="BJ168" i="1" a="1"/>
  <c r="BJ168" i="1" s="1"/>
  <c r="BJ113" i="1" a="1"/>
  <c r="BJ113" i="1" s="1"/>
  <c r="BJ264" i="1" a="1"/>
  <c r="BJ264" i="1" s="1"/>
  <c r="BJ16" i="1" a="1"/>
  <c r="BJ16" i="1" s="1"/>
  <c r="BJ58" i="1" a="1"/>
  <c r="BJ58" i="1" s="1"/>
  <c r="BJ295" i="1" a="1"/>
  <c r="BJ295" i="1" s="1"/>
  <c r="BJ304" i="1" a="1"/>
  <c r="BJ304" i="1" s="1"/>
  <c r="BJ36" i="1" a="1"/>
  <c r="BJ36" i="1" s="1"/>
  <c r="BJ119" i="1" a="1"/>
  <c r="BJ119" i="1" s="1"/>
  <c r="BJ135" i="1" a="1"/>
  <c r="BJ135" i="1" s="1"/>
  <c r="BJ56" i="1" a="1"/>
  <c r="BJ56" i="1" s="1"/>
  <c r="BJ166" i="1" a="1"/>
  <c r="BJ166" i="1" s="1"/>
  <c r="BJ129" i="1" a="1"/>
  <c r="BJ129" i="1" s="1"/>
  <c r="BJ293" i="1" a="1"/>
  <c r="BJ293" i="1" s="1"/>
  <c r="BJ192" i="1" a="1"/>
  <c r="BJ192" i="1" s="1"/>
  <c r="BJ206" i="1" a="1"/>
  <c r="BJ206" i="1" s="1"/>
  <c r="BJ148" i="1" a="1"/>
  <c r="BJ148" i="1" s="1"/>
  <c r="BJ169" i="1" a="1"/>
  <c r="BJ169" i="1" s="1"/>
  <c r="BJ156" i="1" a="1"/>
  <c r="BJ156" i="1" s="1"/>
  <c r="BJ198" i="1" a="1"/>
  <c r="BJ198" i="1" s="1"/>
  <c r="BJ2" i="1" a="1"/>
  <c r="BJ2" i="1" s="1"/>
  <c r="BJ63" i="1" a="1"/>
  <c r="BJ63" i="1" s="1"/>
  <c r="BJ27" i="1" a="1"/>
  <c r="BJ27" i="1" s="1"/>
  <c r="BJ191" i="1" a="1"/>
  <c r="BJ191" i="1" s="1"/>
  <c r="BJ218" i="1" a="1"/>
  <c r="BJ218" i="1" s="1"/>
  <c r="BJ39" i="1" a="1"/>
  <c r="BJ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<sst xmlns="http://schemas.openxmlformats.org/spreadsheetml/2006/main" count="20018" uniqueCount="6493">
  <si>
    <t>video</t>
  </si>
  <si>
    <t>prompt_name</t>
  </si>
  <si>
    <t>prompt_6</t>
  </si>
  <si>
    <t>qwen_inference_time_s</t>
  </si>
  <si>
    <t>qwen_QoE</t>
  </si>
  <si>
    <t>qwen_QoE_Starting_Position</t>
  </si>
  <si>
    <t>qwen_QoE_Approach</t>
  </si>
  <si>
    <t>qwen_QoE_Take_off</t>
  </si>
  <si>
    <t>qwen_QoE_Flight</t>
  </si>
  <si>
    <t>qwen_QoE_Entry</t>
  </si>
  <si>
    <t>qwen_sub_score_starting</t>
  </si>
  <si>
    <t>qwen_sub_score_approach</t>
  </si>
  <si>
    <t>qwen_sub_score_take_off</t>
  </si>
  <si>
    <t>qwen_sub_score_flight</t>
  </si>
  <si>
    <t>qwen_sub_score_entry</t>
  </si>
  <si>
    <t>qwen_weight_starting</t>
  </si>
  <si>
    <t>qwen_weight_approach</t>
  </si>
  <si>
    <t>qwen_weight_take_off</t>
  </si>
  <si>
    <t>qwen_weight_flight</t>
  </si>
  <si>
    <t>qwen_weight_entry</t>
  </si>
  <si>
    <t>qwen_adjustment</t>
  </si>
  <si>
    <t>qwen_weighted_sum</t>
  </si>
  <si>
    <t>qwen_value_entry</t>
  </si>
  <si>
    <t>qwen_value_flight</t>
  </si>
  <si>
    <t>qwen_value_take_off</t>
  </si>
  <si>
    <t>qwen_value_approach</t>
  </si>
  <si>
    <t>qwen_value_starting</t>
  </si>
  <si>
    <t>Very Good</t>
  </si>
  <si>
    <t>The diver has a good starting position; with legs apart and arms extended; but the arms are not fully extended,</t>
  </si>
  <si>
    <t>The diver's approach is smooth and controlled; with a slight hesitation,</t>
  </si>
  <si>
    <t>The diver takes off with good height and control; but the legs are not fully extended,</t>
  </si>
  <si>
    <t>The diver maintains a good tuck position during flight; but the tuck is not fully extended,</t>
  </si>
  <si>
    <t>The diver enters the water with a good body position; but the feet are not together,</t>
  </si>
  <si>
    <t>The diver started with good posture; arms fixed and legs together; and the entry was stable and controlled,</t>
  </si>
  <si>
    <t>The diver's approach was smooth and rhythmic; and there were no hesitations or balk,</t>
  </si>
  <si>
    <t>The diver's take-off was clean and coordinated; and the legs provided adequate drive,</t>
  </si>
  <si>
    <t>The diver's flight was controlled and streamlined; and the tuck was stable,</t>
  </si>
  <si>
    <t>The diver's entry was precise and controlled; and the entry was vertical,</t>
  </si>
  <si>
    <t>The diver has a good starting position; with legs apart and arms extended; except for the arms not being fully extended,</t>
  </si>
  <si>
    <t>The diver's approach is smooth and controlled; except for hesitating slightly before entering the water,</t>
  </si>
  <si>
    <t>The diver's take-off is clean and powerful; except for the feet not being together at the entry,</t>
  </si>
  <si>
    <t>The diver's flight is clean and controlled; except for not fully extended legs,</t>
  </si>
  <si>
    <t>The diver's entry is clean and controlled; except for the feet not being together at the entry,</t>
  </si>
  <si>
    <t>The diver's approach is smooth and controlled; but hesitated slightly before entering the water,</t>
  </si>
  <si>
    <t>The diver's take-off is clean and aligned with the board; but the feet are not together at the entry,</t>
  </si>
  <si>
    <t>The diver's flight is controlled and symmetrical; but the legs are not fully extended,</t>
  </si>
  <si>
    <t>The diver's entry is clean and aligned with the board; but the entry is slightly late,</t>
  </si>
  <si>
    <t>The diver has a good starting position; with legs apart and arms extended; and a stable posture,</t>
  </si>
  <si>
    <t>The diver's approach is smooth and controlled; maintaining a steady rhythm throughout,</t>
  </si>
  <si>
    <t>The diver takes off with good height and control; rotating cleanly from the platform,</t>
  </si>
  <si>
    <t>The diver maintains a good tuck during flight; rotating cleanly and symmetrically,</t>
  </si>
  <si>
    <t>The diver enters the water with a good body position and splash; entering cleanly and controlled,</t>
  </si>
  <si>
    <t>The diver has a good starting position; with legs apart and arms extended; and a good posture,</t>
  </si>
  <si>
    <t>The diver's approach is smooth and controlled; with a steady rhythm,</t>
  </si>
  <si>
    <t>The diver takes off with good height and control; aligned with the board,</t>
  </si>
  <si>
    <t>The diver maintains a good tuck throughout the flight; and the body is aligned with the board,</t>
  </si>
  <si>
    <t>The diver enters the water with a good body position and a clean entry,</t>
  </si>
  <si>
    <t>The diver's take-off is clean and controlled; with feet not together at entry,</t>
  </si>
  <si>
    <t>The diver's flight is controlled and symmetrical; with legs not fully extended,</t>
  </si>
  <si>
    <t>The diver's entry is clean and controlled; with a slight delay,</t>
  </si>
  <si>
    <t>The diver starts with a good position; with legs apart and arms extended; showing excellent posture,</t>
  </si>
  <si>
    <t>The diver's approach is smooth and controlled; with a consistent rhythm,</t>
  </si>
  <si>
    <t>The diver takes off with good height and control; executing a clean rotation,</t>
  </si>
  <si>
    <t>The diver maintains a good tuck throughout the flight; with a well-aligned body,</t>
  </si>
  <si>
    <t>The diver enters the water with a good shape and control; executing a clean entry,</t>
  </si>
  <si>
    <t>The diver has a good starting position; with legs apart and arms extended,</t>
  </si>
  <si>
    <t>The diver's approach is smooth and controlled,</t>
  </si>
  <si>
    <t>The diver takes off with good height and control,</t>
  </si>
  <si>
    <t>The diver maintains a good tuck throughout the flight,</t>
  </si>
  <si>
    <t>The diver enters the water with a controlled entry,</t>
  </si>
  <si>
    <t>The diver takes off with good height and control; and rotates well,</t>
  </si>
  <si>
    <t>The diver maintains a good tuck throughout the flight; and the body is symmetrical,</t>
  </si>
  <si>
    <t>The diver enters the water with a good body position; and the entry is clean,</t>
  </si>
  <si>
    <t>The diver has a good starting position; with legs apart and arms extended; and a stable and balanced posture,</t>
  </si>
  <si>
    <t>The diver enters the water with good form and control,</t>
  </si>
  <si>
    <t>The diver has a good posture with straight shoulders and bent knees; the arms are fixed and ready,</t>
  </si>
  <si>
    <t>The diver's rhythm is consistent and steps are well-coordinated; the diver's approach is smooth,</t>
  </si>
  <si>
    <t>The diver's take-off is clean and coordinated; the legs drive off the platform well,</t>
  </si>
  <si>
    <t>The diver's tuck is clean and symmetrical; the body is symmetrical,</t>
  </si>
  <si>
    <t>The diver's entry is clean and coordinated; the feet are together,</t>
  </si>
  <si>
    <t>The diver's flight is controlled and streamlined,</t>
  </si>
  <si>
    <t>The diver enters the water with a good body position and feet together,</t>
  </si>
  <si>
    <t>The diver's rhythm was steady; showing good control,</t>
  </si>
  <si>
    <t>The diver's take-off was clean and powerful; showing good form,</t>
  </si>
  <si>
    <t>The diver's flight was fluid and controlled; showing good form,</t>
  </si>
  <si>
    <t>The diver entered the water with a strong entry; showing good form,</t>
  </si>
  <si>
    <t>The diver's approach was smooth and rhythmic; and the entry was stable and controlled,</t>
  </si>
  <si>
    <t>The diver's take-off was clean and coordinated; and the entry was strong and controlled,</t>
  </si>
  <si>
    <t>The diver's flight was controlled and streamlined; and the entry was strong and controlled,</t>
  </si>
  <si>
    <t>The diver's entry was strong and controlled; and the entry was strong and controlled,</t>
  </si>
  <si>
    <t>The diver takes off with good height and form; but the feet are not together,</t>
  </si>
  <si>
    <t>The diver maintains a good tuck throughout the flight; but the tuck is not fully extended,</t>
  </si>
  <si>
    <t>The diver enters the water with a good shape and splash; but the entry is not fully vertical,</t>
  </si>
  <si>
    <t>The diver's rhythm was steady and the approach was smooth and consistent,</t>
  </si>
  <si>
    <t>The diver's body was aligned with the board and the take-off was clean and well-coordinated,</t>
  </si>
  <si>
    <t>The diver's body was symmetrical and streamlined,</t>
  </si>
  <si>
    <t>The diver's entry was precise and controlled underwater,</t>
  </si>
  <si>
    <t>The diver enters the water with a good body position and splash,</t>
  </si>
  <si>
    <t>The diver's body was aligned with the board; and the take-off was clean and well-coordinated,</t>
  </si>
  <si>
    <t>The diver's entry was precise and controlled; and the entry was underwater,</t>
  </si>
  <si>
    <t>The diver's approach was smooth and consistent; showing good form,</t>
  </si>
  <si>
    <t>The diver's take-off was clean and powerful; demonstrating good technique,</t>
  </si>
  <si>
    <t>The diver's flight was controlled and streamlined; showing good form,</t>
  </si>
  <si>
    <t>The diver entered the water with control and precision; displaying good execution,</t>
  </si>
  <si>
    <t>The dive had a smooth rhythm and step count; and there were no hesitations,</t>
  </si>
  <si>
    <t>The dive had a clean take-off with adequate height,</t>
  </si>
  <si>
    <t>The dive had a controlled and streamlined flight; and a good tuck,</t>
  </si>
  <si>
    <t>The dive had a strong and stable entry; with a good splash,</t>
  </si>
  <si>
    <t>The diver's approach is smooth and controlled; but hesitates slightly before entering the water,</t>
  </si>
  <si>
    <t>The diver takes off with good height and control; but the legs are not fully extended during take-off,</t>
  </si>
  <si>
    <t>The diver maintains a good tuck position during flight; but the tuck is not fully extended; with legs not on shins,</t>
  </si>
  <si>
    <t>The diver enters the water with a good body position and feet together; but the entry is slightly late,</t>
  </si>
  <si>
    <t>The diver's legs are not fully extended during flight,</t>
  </si>
  <si>
    <t>The diver enters the water with a good shape and control; but the entry is slightly under-rotated,</t>
  </si>
  <si>
    <t>The diver's entry is clean and aligned with the hips; but the entry is slightly late,</t>
  </si>
  <si>
    <t>The diver's approach is smooth and controlled; with a strong and steady rhythm,</t>
  </si>
  <si>
    <t>The diver takes off with good height and control; and the body is aligned vertically,</t>
  </si>
  <si>
    <t>The diver enters the water with a clean entry; and the body breaks at the hips,</t>
  </si>
  <si>
    <t>The diver takes off with good height and form,</t>
  </si>
  <si>
    <t>The diver has a good starting position; with legs apart and arms extended; but arms are not fully extended,</t>
  </si>
  <si>
    <t>The diver takes off with good height and control; rotating well,</t>
  </si>
  <si>
    <t>The diver maintains a good tuck throughout the flight; rotating well,</t>
  </si>
  <si>
    <t>The diver enters the water with a good body position and splash; entering cleanly,</t>
  </si>
  <si>
    <t>The diver's take-off is clean and controlled,</t>
  </si>
  <si>
    <t>The diver's entry is clean and controlled,</t>
  </si>
  <si>
    <t>Excellent â€” flawless; exceptional height; ripped entry</t>
  </si>
  <si>
    <t>The diver has a good posture with straight shoulders and bent knees; and the arms are fixed and ready,</t>
  </si>
  <si>
    <t>The diver's approach is smooth and rhythmic; with a consistent step count,</t>
  </si>
  <si>
    <t>The diver's take-off is clean and controlled; with legs driving off the platform well,</t>
  </si>
  <si>
    <t>The diver's flight is controlled and streamlined; with a stable tuck,</t>
  </si>
  <si>
    <t>The diver's entry is clean and controlled; with feet together at entry,</t>
  </si>
  <si>
    <t>Excellent posture; stable entry,</t>
  </si>
  <si>
    <t>Smooth rhythm; no hesitation,</t>
  </si>
  <si>
    <t>Clean; powerful execution,</t>
  </si>
  <si>
    <t>Fluid; symmetrical body,</t>
  </si>
  <si>
    <t>Precise; controlled underwater entry,</t>
  </si>
  <si>
    <t>The diver's approach was smooth and rhythmic; and the step count was consistent; though the entry was slightly off-vertical,</t>
  </si>
  <si>
    <t>The diver's take-off was clean and coordinated; but slightly late,</t>
  </si>
  <si>
    <t>The diver's flight was controlled and streamlined; with a good tuck; though the tuck was slightly twisted,</t>
  </si>
  <si>
    <t>The diver's entry was past vertical; but not excessively so; and they maintained their balance,</t>
  </si>
  <si>
    <t>The diver takes off with good height and control; but the feet are not together,</t>
  </si>
  <si>
    <t>The diver enters the water with a good shape and control; but the entry is not perfectly vertical,</t>
  </si>
  <si>
    <t>Excellent posture and control; no visible issues,</t>
  </si>
  <si>
    <t>Very good rhythm and consistency; no visible flaws,</t>
  </si>
  <si>
    <t>Excellent power and coordination; no visible issues,</t>
  </si>
  <si>
    <t>Very good alignment and control; no visible problems,</t>
  </si>
  <si>
    <t>Excellent control and stability; no visible issues,</t>
  </si>
  <si>
    <t>The diver takes off with good height and control; rotating smoothly from the platform,</t>
  </si>
  <si>
    <t>The diver maintains a good tuck during flight and rotates smoothly and consistently,</t>
  </si>
  <si>
    <t>The diver takes off with good height and control; rotating well into the dive,</t>
  </si>
  <si>
    <t>The diver maintains a good tuck position during flight; rotating well through the dive,</t>
  </si>
  <si>
    <t>The diver enters the water with a good body position and feet together; though slightly off-vertical,</t>
  </si>
  <si>
    <t>The diver started with good posture; arms fixed and legs together; but had slight bends upon entry,</t>
  </si>
  <si>
    <t>The diver's take-off was clean and coordinated; and the entry was strong,</t>
  </si>
  <si>
    <t>The diver's flight was controlled and extended; and the entry was strong,</t>
  </si>
  <si>
    <t>The diver's entry was strong and controlled,</t>
  </si>
  <si>
    <t>The diver's take-off is clean and controlled; but the feet are not together,</t>
  </si>
  <si>
    <t>The diver's flight is controlled and streamlined; but the legs are not fully extended,</t>
  </si>
  <si>
    <t>The diver's entry is clean and controlled; but slightly over-rotated,</t>
  </si>
  <si>
    <t>The diver takes off with good height and control; and a clean rotation,</t>
  </si>
  <si>
    <t>The diver enters the water with good form and control; and a clean entry,</t>
  </si>
  <si>
    <t>The diver started with good posture; arms fixed and legs together; and their entry was stable and controlled,</t>
  </si>
  <si>
    <t>The diver's approach was smooth and rhythmic; with consistent step count,</t>
  </si>
  <si>
    <t>The diver's take-off was clean and coordinated; but their legs were not fully extended,</t>
  </si>
  <si>
    <t>The diver's flight was controlled and streamlined; with a good tuck,</t>
  </si>
  <si>
    <t>The diver's entry was past vertical; but not excessively so; and they maintained control,</t>
  </si>
  <si>
    <t>The diver's rhythm was good; but there was a slight hesitation at the beginning of the dive,</t>
  </si>
  <si>
    <t>The diver's body position was stable during the take-off; but the legs could have been driven more,</t>
  </si>
  <si>
    <t>The diver's flight was controlled and extended; but the tuck could have been better,</t>
  </si>
  <si>
    <t>The diver's entry was strong and coordinated; but the feet could have been together,</t>
  </si>
  <si>
    <t>The diver's rhythm was steady; and there were no hesitations or balk,</t>
  </si>
  <si>
    <t>The diver's body was symmetrical; and there were no issues,</t>
  </si>
  <si>
    <t>The diver's entry was precise and controlled; and the body broke at the hips on impact,</t>
  </si>
  <si>
    <t>The diver has a good posture with straight shoulders and bent knees; but the legs are not still,</t>
  </si>
  <si>
    <t>The diver's rhythm is consistent and steps are well-coordinated; but the entry is slightly off-vertical,</t>
  </si>
  <si>
    <t>The diver's take-off is clean and coordinated; but the legs are not fully extended,</t>
  </si>
  <si>
    <t>The diver's tuck is loose and not on the shins; but the body is asymmetrical,</t>
  </si>
  <si>
    <t>The diver is past vertical and has a short entry; but the feet are not together,</t>
  </si>
  <si>
    <t>The diver's take-off is clean and aligned with the board; but the feet are not together,</t>
  </si>
  <si>
    <t>The diver maintains a good tuck during flight and rotates cleanly and symmetrically,</t>
  </si>
  <si>
    <t>The diver's take-off is clean and controlled; with feet not together,</t>
  </si>
  <si>
    <t>The diver's rhythm is consistent and steps are well-coordinated,</t>
  </si>
  <si>
    <t>The diver's take-off is clean and has good height; but the legs are not fully extended,</t>
  </si>
  <si>
    <t>The diver's tuck is loose and the body is asymmetrical; but the arms are not coordinated,</t>
  </si>
  <si>
    <t>The diver is past vertical and has a large splash; but the feet are not together,</t>
  </si>
  <si>
    <t>The diver maintains a good tuck during flight and rotates fluidly through the air,</t>
  </si>
  <si>
    <t>The diver enters the water with a strong entry; entering cleanly and controlled,</t>
  </si>
  <si>
    <t>The diver's approach was smooth and rhythmic; with a consistent step count,</t>
  </si>
  <si>
    <t>The diver's take-off was clean and well-coordinated; with adequate leg drive,</t>
  </si>
  <si>
    <t>The diver's flight was controlled and streamlined; with a tight tuck,</t>
  </si>
  <si>
    <t>The diver entered the water with a strong entry; and their body broke at the hips on impact,</t>
  </si>
  <si>
    <t>The diver's take-off is clean and powerful; with a good body rotation,</t>
  </si>
  <si>
    <t>The diver's flight is smooth and controlled; with a straight body,</t>
  </si>
  <si>
    <t>The diver's entry is clean and controlled; with a slight over-rotation,</t>
  </si>
  <si>
    <t>The diver has a good starting position; with legs apart and arms extended; except for the elbows,</t>
  </si>
  <si>
    <t>The diver has a good posture with straight shoulders and bent knees; and there are no visible nerves or re-adjustments,</t>
  </si>
  <si>
    <t>The diver's approach is smooth and steady; but there is an irregular rhythm or step count,</t>
  </si>
  <si>
    <t>The diver takes off with good height and form; but is too close to the platform,</t>
  </si>
  <si>
    <t>The diver performs a twisting movement with good form; but under-rotates,</t>
  </si>
  <si>
    <t>The diver enters the water with good form and a splash; but has an asymmetrical body,</t>
  </si>
  <si>
    <t>The diver entered the water with a controlled entry; and the body broke at the hips on impact,</t>
  </si>
  <si>
    <t>The diver has a good starting position; with legs apart and arms extended; and a proper alignment,</t>
  </si>
  <si>
    <t>The diver enters the water with a good shape and control; and a clean entry,</t>
  </si>
  <si>
    <t>The diver's starting position is excellent; with good legs apart and arms extended,</t>
  </si>
  <si>
    <t>The diver's approach is smooth and controlled; with no hesitation or balk,</t>
  </si>
  <si>
    <t>The diver maintains a good tuck throughout the flight; with a symmetrical body,</t>
  </si>
  <si>
    <t>The diver enters the water with good form and control; with a clean entry,</t>
  </si>
  <si>
    <t>The diver's take-off is clean and powerful; but the feet are not together at entry,</t>
  </si>
  <si>
    <t>The diver's entry is strong and controlled; but the feet are not together at entry,</t>
  </si>
  <si>
    <t>The diver maintains a good tuck throughout the flight; and is symmetrical,</t>
  </si>
  <si>
    <t>The diver enters the water with a good body position and is clean,</t>
  </si>
  <si>
    <t>The diver starts with a good position; with legs apart and arms extended,</t>
  </si>
  <si>
    <t>The diver enters the water with a good shape and control,</t>
  </si>
  <si>
    <t>The diver has a good starting position; with legs apart and arms extended; except for the elbows being bent,</t>
  </si>
  <si>
    <t>The diver's take-off is clean and powerful; with feet not together at the entry,</t>
  </si>
  <si>
    <t>The diver's flight is clean and controlled; with legs not fully extended,</t>
  </si>
  <si>
    <t>The diver's entry is clean and controlled; with feet not together at the entry,</t>
  </si>
  <si>
    <t>The diver has a great starting position; with legs apart and arms extended; showing excellent posture,</t>
  </si>
  <si>
    <t>The diver maintains a good tuck throughout the flight; with a stable and aligned body,</t>
  </si>
  <si>
    <t>The diver enters the water with a great body position and splash; with a clean entry,</t>
  </si>
  <si>
    <t>The diver's entry is clean and controlled; with a slight off-vertical entry,</t>
  </si>
  <si>
    <t>The diver has a great starting position; with legs apart and arms extended; and a good posture,</t>
  </si>
  <si>
    <t>The diver maintains a good tuck throughout the flight and has a symmetrical body,</t>
  </si>
  <si>
    <t>The diver's approach was smooth and rhythmic; and there were no hesitations,</t>
  </si>
  <si>
    <t>The diver's take-off was clean and well-coordinated; showing good execution,</t>
  </si>
  <si>
    <t>The diver's flight was fluid and extended; showing good execution,</t>
  </si>
  <si>
    <t>The diver entered the water with a controlled entry; showing good execution,</t>
  </si>
  <si>
    <t>The diver's take-off is clean and powerful; but the feet are not together at the entry,</t>
  </si>
  <si>
    <t>The diver's flight is clean and controlled; but the legs are not fully extended,</t>
  </si>
  <si>
    <t>The diver's entry is clean and controlled; but the feet are not together at the entry,</t>
  </si>
  <si>
    <t>The diver started with a proper stance; no wobble; and arms were fixed,</t>
  </si>
  <si>
    <t>The diver's rhythm was steady and consistent; and step count was appropriate,</t>
  </si>
  <si>
    <t>The diver's take-off was clean and powerful; and body was well-balanced,</t>
  </si>
  <si>
    <t>The diver's flight was smooth and controlled; and body was well-aligned,</t>
  </si>
  <si>
    <t>The diver entered the water with a controlled entry; and body broke at the hips,</t>
  </si>
  <si>
    <t>The diver enters the water with a good body position and break; the entry is clean and controlled,</t>
  </si>
  <si>
    <t>The diver's entry is clean and aligned with the board; but slightly off-vertical,</t>
  </si>
  <si>
    <t>The diver enters the water with a good body position and splash; but the body breaks at the hips on entry,</t>
  </si>
  <si>
    <t>The diver takes off with good height and control; and the body is aligned with the board,</t>
  </si>
  <si>
    <t>The diver maintains a good tuck throughout the flight; and the body is stable,</t>
  </si>
  <si>
    <t>The diver started with good posture; arms fixed and legs together; and maintained it throughout the dive,</t>
  </si>
  <si>
    <t>The diver's take-off was clean and powerful; with well-coordinated legs,</t>
  </si>
  <si>
    <t>The diver entered the water with control and a good shape; with feet together,</t>
  </si>
  <si>
    <t>The diver's rhythm was steady; and the approach was consistent,</t>
  </si>
  <si>
    <t>The diver's take-off was clean; and the body was aligned with the board,</t>
  </si>
  <si>
    <t>The diver's flight was controlled; and the body was symmetrical,</t>
  </si>
  <si>
    <t>The diver entered the water with control and a good shape,</t>
  </si>
  <si>
    <t>The diver's entry is clean and breaks at the hips; but the entry is slightly late,</t>
  </si>
  <si>
    <t>The diver's entry was strong and controlled; and the entry was past vertical,</t>
  </si>
  <si>
    <t>The diver maintains a good tuck throughout the flight; and the body is stable during the flight,</t>
  </si>
  <si>
    <t>The diver has a good starting position; with legs apart and arms extended; but the lack of arm fixation prevents a higher score,</t>
  </si>
  <si>
    <t>The diver's approach is smooth and rhythmic,</t>
  </si>
  <si>
    <t>The diver's flight is clean and controlled,</t>
  </si>
  <si>
    <t>The diver enters the water with a good body position,</t>
  </si>
  <si>
    <t>The diver's take-off was clean and powerful; demonstrating good form,</t>
  </si>
  <si>
    <t>The diver takes off with good height and form; entering the water cleanly,</t>
  </si>
  <si>
    <t>The diver maintains a good tuck throughout the flight; with a stable and symmetrical shape,</t>
  </si>
  <si>
    <t>The diver enters the water cleanly; with a good shape and splash,</t>
  </si>
  <si>
    <t>The diver's approach was smooth and rhythmic; with no visible issues,</t>
  </si>
  <si>
    <t>The diver's take-off was clean and well-coordinated; with no visible issues,</t>
  </si>
  <si>
    <t>The diver's flight was clean and well-executed; with no visible issues,</t>
  </si>
  <si>
    <t>The diver's entry was stable and controlled; with no visible issues,</t>
  </si>
  <si>
    <t>The diver enters the water with a good body position and shape; but the entry is slightly under-rotated,</t>
  </si>
  <si>
    <t>The dive had a controlled flight with a proper tuck and twist,</t>
  </si>
  <si>
    <t>The dive had a strong and stable entry with a good splash,</t>
  </si>
  <si>
    <t>The diver maintains a good tuck throughout the flight; with legs together and a compact body,</t>
  </si>
  <si>
    <t>The diver enters the water with a good body position and splash; executing a clean entry,</t>
  </si>
  <si>
    <t>The diver's approach was smooth and consistent; but the entry was slightly off-vertical,</t>
  </si>
  <si>
    <t>The diver's take-off was clean and powerful; but the legs were not fully extended,</t>
  </si>
  <si>
    <t>The diver's flight was smooth and controlled; but the legs were not fully extended,</t>
  </si>
  <si>
    <t>The diver's entry was strong and controlled; but the entry was slightly over-rotated,</t>
  </si>
  <si>
    <t>The diver's approach was smooth and rhythmic; with no hesitation or re-adjustment,</t>
  </si>
  <si>
    <t>The diver's take-off was clean and well-coordinated,</t>
  </si>
  <si>
    <t>The diver's flight was controlled and had a good tuck,</t>
  </si>
  <si>
    <t>The diver's entry was precise and well-executed,</t>
  </si>
  <si>
    <t>The dive had a smooth and consistent rhythm and step count; with no hesitation or balk,</t>
  </si>
  <si>
    <t>The diver's take-off was clean and well-coordinated; with adequate height,</t>
  </si>
  <si>
    <t>The diver's flight was controlled and streamlined; with a proper tuck and twist,</t>
  </si>
  <si>
    <t>The diver's entry was strong and stable; with a good splash size,</t>
  </si>
  <si>
    <t>The diver's take-off was clean and well-coordinated; but the legs could have been driven more,</t>
  </si>
  <si>
    <t>The diver entered the water with a good shape; but the feet could have been closer together,</t>
  </si>
  <si>
    <t>The diver maintains a good tuck throughout the flight; and the body is aligned,</t>
  </si>
  <si>
    <t>The diver enters the water with a good shape and control; and the entry is clean,</t>
  </si>
  <si>
    <t>The diver's flight is smooth and controlled; but the legs are not fully extended,</t>
  </si>
  <si>
    <t>The diver's approach was smooth and consistent; showing good control,</t>
  </si>
  <si>
    <t>The diver entered the water with a good shape; showing good execution,</t>
  </si>
  <si>
    <t>The diver enters the water with a good body position and no visible issues,</t>
  </si>
  <si>
    <t>The diver's take-off was clean and coordinated; and the entry was stable and controlled,</t>
  </si>
  <si>
    <t>The diver's flight was clean and coordinated; and the entry was stable and controlled,</t>
  </si>
  <si>
    <t>The diver's entry was past vertical; over-rotated by ~10Â°; and the entry was stable and controlled,</t>
  </si>
  <si>
    <t>The diver enters the water with a good body position and feet together; but the entry is slightly off-vertical,</t>
  </si>
  <si>
    <t>The diver's approach is smooth and controlled; with a confident and steady rhythm,</t>
  </si>
  <si>
    <t>The diver takes off with good height and control; and is aligned vertically,</t>
  </si>
  <si>
    <t>The diver enters the water with a controlled and balanced entry,</t>
  </si>
  <si>
    <t>The diver maintains a good tuck during flight,</t>
  </si>
  <si>
    <t>The diver enters the water with a strong entry,</t>
  </si>
  <si>
    <t>The diver started with a good posture; arms fixed and legs together; and the entry was stable and controlled,</t>
  </si>
  <si>
    <t>The diver's rhythm was smooth; and the step count was consistent,</t>
  </si>
  <si>
    <t>The diver's take-off was clean; and the body was well-balanced,</t>
  </si>
  <si>
    <t>The diver's flight was smooth; and the body was well-aligned,</t>
  </si>
  <si>
    <t>The diver entered the water with a good shape; and the entry was controlled,</t>
  </si>
  <si>
    <t>Excellent starting position; stable and controlled entry,</t>
  </si>
  <si>
    <t>Smooth and consistent approach; steady rhythm,</t>
  </si>
  <si>
    <t>Clean and well-coordinated take-off; aligned body,</t>
  </si>
  <si>
    <t>Controlled and streamlined flight; symmetrical body,</t>
  </si>
  <si>
    <t>Precise and controlled entry; body breaks at the hips on impact,</t>
  </si>
  <si>
    <t>The diver initiates with a good posture; legs are straight and knees are slightly bent, The arms are fixed and ready for the dive,</t>
  </si>
  <si>
    <t>The diver steps confidently towards the end of the board, The diver's rhythm is consistent and controlled,</t>
  </si>
  <si>
    <t>The diver jumps off the end of the board with good height, The diver rotates well and extends their legs,</t>
  </si>
  <si>
    <t>The diver maintains a good tuck throughout the flight, The diver's body is aligned horizontally,</t>
  </si>
  <si>
    <t>The diver enters the water with a good body position, The diver's feet are together,</t>
  </si>
  <si>
    <t>The diver takes off with good height and control; but is too close to the platform,</t>
  </si>
  <si>
    <t>The diver enters the water with a good shape and splash; but is asymmetrical,</t>
  </si>
  <si>
    <t>The diver's approach was smooth and consistent; but there was a slight hesitation at the beginning of the dive,</t>
  </si>
  <si>
    <t>The diver's flight was controlled and streamlined; but the tuck could have been better,</t>
  </si>
  <si>
    <t>The diver entered the water with a good shape and control; but the feet could have been closer together,</t>
  </si>
  <si>
    <t>The diver takes off with good height and control; but the legs are not fully extended during the take-off,</t>
  </si>
  <si>
    <t>The diver performs a twisting movement in the air; but the legs are not fully extended,</t>
  </si>
  <si>
    <t>The diver enters the water with a controlled entry; but the feet are not together,</t>
  </si>
  <si>
    <t>The diver enters the water with a good body position and break; entering cleanly and controlled,</t>
  </si>
  <si>
    <t>The diver's take-off is clean and controlled; with a body aligned with the board; despite feet not being together,</t>
  </si>
  <si>
    <t>The diver's flight is controlled and streamlined; with a symmetrical body,</t>
  </si>
  <si>
    <t>The diver's entry is clean and controlled; with a body breaking at the hips; despite being slightly late,</t>
  </si>
  <si>
    <t>The diver performs a twisting movement with good form; but the legs are not fully extended during the flight,</t>
  </si>
  <si>
    <t>The diver enters the water with a good shape and splash; but the entry is slightly off-vertical,</t>
  </si>
  <si>
    <t>The diver maintains a good tuck position during flight,</t>
  </si>
  <si>
    <t>The diver's entry is clean and aligned with the board; but slightly over-rotated,</t>
  </si>
  <si>
    <t>The diver's approach was smooth and consistent; and the rhythm was good,</t>
  </si>
  <si>
    <t>The diver's take-off was clean and powerful; and the body was well-coordinated,</t>
  </si>
  <si>
    <t>The diver's flight was smooth and controlled; and the body was well-aligned,</t>
  </si>
  <si>
    <t>The diver's entry was strong and controlled; and the body broke at the hips on impact,</t>
  </si>
  <si>
    <t>The diver has a good posture with straight shoulders and bent knees; but their legs are not still,</t>
  </si>
  <si>
    <t>The diver's take-off is clean and has good height; but their legs are not fully extended,</t>
  </si>
  <si>
    <t>The diver's tuck is loose and not coordinated; but their legs are not on their shins,</t>
  </si>
  <si>
    <t>The diver is past vertical and has a short entry; but their feet are not together,</t>
  </si>
  <si>
    <t>The diver's take-off is clean and controlled; with feet not together at the entry,</t>
  </si>
  <si>
    <t>The diver's approach was smooth and consistent; with a slight hesitation at the beginning of the dive,</t>
  </si>
  <si>
    <t>The diver's take-off is clean and powerful; but the feet are not together,</t>
  </si>
  <si>
    <t>The diver's take-off was clean and coordinated; with adequate leg drive,</t>
  </si>
  <si>
    <t>The diver's flight was controlled and streamlined; with a stable tuck,</t>
  </si>
  <si>
    <t>The diver entered the water with a controlled entry; and their body broke at the hips on impact,</t>
  </si>
  <si>
    <t>Competent dive with minor flaws,</t>
  </si>
  <si>
    <t>The diver has good posture with straight shoulders and bent knees; but visible nerves and re-adjustments during the dive,</t>
  </si>
  <si>
    <t>The diver rotates well and maintains a good tuck; but under-rotates,</t>
  </si>
  <si>
    <t>The diver enters with a good shape and splash; but is asymmetrical,</t>
  </si>
  <si>
    <t>The diver enters the water with a good body position and splash; with a clean entry,</t>
  </si>
  <si>
    <t>The diver's approach was smooth and rhythmic; and the entry was strong and stable,</t>
  </si>
  <si>
    <t>The diver's flight was fluid and symmetrical,</t>
  </si>
  <si>
    <t>The diver enters the water with a good shape and splash; and the entry is clean,</t>
  </si>
  <si>
    <t>The diver's approach is smooth and controlled; with a steady rhythm; but hesitated slightly before entering the water,</t>
  </si>
  <si>
    <t>The diver's take-off is clean and controlled; but the feet are not together at the entry,</t>
  </si>
  <si>
    <t>The diver's entry is clean and controlled; but slightly off-vertical and the body breaks at the hips,</t>
  </si>
  <si>
    <t>The diver has a good posture with straight shoulders and bent knees; but lacks stillness,</t>
  </si>
  <si>
    <t>The diver's rhythm is consistent and steps are well-coordinated; but the legs are not still,</t>
  </si>
  <si>
    <t>The diver has sufficient height and rotates off the platform correctly; but the legs are not coordinated,</t>
  </si>
  <si>
    <t>The diver's tuck is loose and not on the shins; but the legs are not coordinated,</t>
  </si>
  <si>
    <t>The diver is past vertical and has a short entry; but is short of vertical,</t>
  </si>
  <si>
    <t>The dive had a smooth and consistent rhythm and step count,</t>
  </si>
  <si>
    <t>The dive had a clean and well-coordinated take-off with adequate height,</t>
  </si>
  <si>
    <t>The dive had a controlled and streamlined flight with a proper tuck and twist,</t>
  </si>
  <si>
    <t>The diver's entry was strong and stable with a good splash size,</t>
  </si>
  <si>
    <t>Good starting position; legs apart and arms extended,</t>
  </si>
  <si>
    <t>Smooth and controlled approach,</t>
  </si>
  <si>
    <t>Good height and control; rotates well into the dive,</t>
  </si>
  <si>
    <t>Maintains a good tuck position; rotates well through the dive,</t>
  </si>
  <si>
    <t>Good body position; feet together; slightly off-vertical,</t>
  </si>
  <si>
    <t>The diver rotates well and maintains a good body position; but under-rotates,</t>
  </si>
  <si>
    <t>The diver enters the water with a good body position and splash; but is asymmetrical,</t>
  </si>
  <si>
    <t>The diver's take-off is clean and controlled; with a straight body,</t>
  </si>
  <si>
    <t>The diver's entry is clean and controlled; with a body that breaks at the hips,</t>
  </si>
  <si>
    <t>The diver's entry is controlled and vertical; with a slight over-rotation,</t>
  </si>
  <si>
    <t>The diver's flight was controlled and streamlined; and the tuck was tight,</t>
  </si>
  <si>
    <t>The diver enters the water with a great shape and control; with a clean entry,</t>
  </si>
  <si>
    <t>The diver's take-off is clean and powerful,</t>
  </si>
  <si>
    <t>The diver's flight is fluid and controlled; but the legs are not fully extended,</t>
  </si>
  <si>
    <t>The dive had a good rhythm and step count; and there were no hesitations or balk,</t>
  </si>
  <si>
    <t>The diver took off with good height and control; and the rotation initiation was clean,</t>
  </si>
  <si>
    <t>The diver maintained a good tuck throughout the flight; and the rotation and body position were clean,</t>
  </si>
  <si>
    <t>The diver entered the water with good form and control; and the entry was clean,</t>
  </si>
  <si>
    <t>The diver has a good starting position; with legs apart and arms extended; except for the bent arms,</t>
  </si>
  <si>
    <t>The diver's approach is smooth and controlled; except for the hesitation,</t>
  </si>
  <si>
    <t>The diver's take-off is clean and controlled; except for the feet not being together,</t>
  </si>
  <si>
    <t>The diver's flight is controlled and streamlined; except for the legs not fully extended,</t>
  </si>
  <si>
    <t>The diver's entry is clean and controlled; except for the slight off-vertical entry,</t>
  </si>
  <si>
    <t>The diver's approach is smooth and controlled; except for a slight hesitation,</t>
  </si>
  <si>
    <t>The diver's flight is controlled and streamlined; except for the legs not being fully extended,</t>
  </si>
  <si>
    <t>The diver's entry is clean and controlled; except for a slight delay,</t>
  </si>
  <si>
    <t>The diver takes off with a good rhythm and steps,</t>
  </si>
  <si>
    <t>The diver rotates well and gains height; but the legs are not fully extended during the rotation,</t>
  </si>
  <si>
    <t>The diver maintains a good tuck; but the tuck is not fully extended,</t>
  </si>
  <si>
    <t>The diver enters the water cleanly; but the feet are not together,</t>
  </si>
  <si>
    <t>The diver's rhythm is consistent and steady; and the step count is regular,</t>
  </si>
  <si>
    <t>The diver's take-off is clean and controlled; and the legs drive off the platform well,</t>
  </si>
  <si>
    <t>The diver's tuck is clean and compact; and the body is symmetrical,</t>
  </si>
  <si>
    <t>The diver's entry is clean and controlled; and the feet are together,</t>
  </si>
  <si>
    <t>The diver enters the water with a good body position; but the feet are not together at entry,</t>
  </si>
  <si>
    <t>The diver's entry is strong and controlled; but the feet are not together at the entry,</t>
  </si>
  <si>
    <t>The diver enters the water with a good shape and control; but the entry is slightly late,</t>
  </si>
  <si>
    <t>The diver's approach was smooth and rhythmic; and their step count was consistent; though the entry was slightly off-vertical,</t>
  </si>
  <si>
    <t>The diver's take-off was clean and coordinated; but their body was not fully extended,</t>
  </si>
  <si>
    <t>The diver's flight was controlled and streamlined; but the tuck was not fully streamlined,</t>
  </si>
  <si>
    <t>The diver's entry was past vertical; but not excessively so; and their entry was controlled; though it was slightly short of vertical,</t>
  </si>
  <si>
    <t>The diver started with a good posture; arms fixed and legs together,</t>
  </si>
  <si>
    <t>The diver's approach was smooth and consistent; but the hand position was not optimal,</t>
  </si>
  <si>
    <t>The diver's take-off was clean and well-coordinated; but the feet were not together,</t>
  </si>
  <si>
    <t>The diver's flight was smooth and controlled; but the body was not aligned with the board,</t>
  </si>
  <si>
    <t>The diver's entry was controlled and stable; but it was not fully vertical,</t>
  </si>
  <si>
    <t>The diver entered the water with a strong entry; showing good execution,</t>
  </si>
  <si>
    <t>The diver started with good posture and maintained it throughout the dive; and the entry was stable and controlled,</t>
  </si>
  <si>
    <t>The diver's approach was smooth and rhythmic; and there were no hesitations or balk; the step count was consistent,</t>
  </si>
  <si>
    <t>The diver maintains a good tuck throughout the flight; but the tuck is not fully extended; with knees bent,</t>
  </si>
  <si>
    <t>The diver enters the water with a good shape and control; but the entry is clean,</t>
  </si>
  <si>
    <t>The dive had a good rhythm and step count; and there were no hesitations,</t>
  </si>
  <si>
    <t>The diver's flight was controlled and streamlined; and the entry was precise and controlled,</t>
  </si>
  <si>
    <t>The dive had a good tuck and entry,</t>
  </si>
  <si>
    <t>The diver's flight is controlled and streamlined; with legs not fully extended,</t>
  </si>
  <si>
    <t>The diver takes a hesitant approach; stepping forward and then backward before entering the water; with an irregular rhythm,</t>
  </si>
  <si>
    <t>The diver jumps off the diving board with a low trajectory and under-rotates; with legs not driving upward,</t>
  </si>
  <si>
    <t>The diver's tuck is loose; with legs not on shins; and the body is not symmetrical,</t>
  </si>
  <si>
    <t>The diver enters the water with a large splash and is not fully vertical; with feet not together,</t>
  </si>
  <si>
    <t>The diver entered the water with a strong vertical position and a controlled symmetrical entry,</t>
  </si>
  <si>
    <t>The diver entered the water with a strong vertical position and a symmetrical entry,</t>
  </si>
  <si>
    <t>The diver has sufficient height and rotates off the platform well; but his legs are not coordinated,</t>
  </si>
  <si>
    <t>The diver's tuck is loose and his legs are not on his shins; which is a visible execution problem,</t>
  </si>
  <si>
    <t>The diver is past vertical and has a short entry; which is a visible execution problem,</t>
  </si>
  <si>
    <t>The diver took off with good leg drive and arm coordination; and the dive had a good body position,</t>
  </si>
  <si>
    <t>The diver maintained a good tuck throughout the flight; and the dive had a good body position,</t>
  </si>
  <si>
    <t>The diver entered the water with a good body position and no splash; and the dive had a good entry,</t>
  </si>
  <si>
    <t>The diver has a good posture with straight arms and legs; but not perfectly straight,</t>
  </si>
  <si>
    <t>The diver's steps are well-coordinated; but not perfectly synchronized,</t>
  </si>
  <si>
    <t>The diver's legs are well-coordinated; but not perfectly coordinated,</t>
  </si>
  <si>
    <t>The diver's body is symmetrical; but not perfectly symmetrical,</t>
  </si>
  <si>
    <t>The diver's feet are not perfectly together; but they are still controlled and the entry is stable,</t>
  </si>
  <si>
    <t>The diver's entry was precise and controlled; with a vertical entry,</t>
  </si>
  <si>
    <t>The diver's entry is clean and controlled; but the entry is slightly over-rotated,</t>
  </si>
  <si>
    <t>The diver's flight is smooth and controlled; with legs not fully extended,</t>
  </si>
  <si>
    <t>The diver started with good posture; arms fixed and legs together, The diver's entry was stable and controlled,</t>
  </si>
  <si>
    <t>The diver's approach was smooth and consistent, The diver's rhythm was good,</t>
  </si>
  <si>
    <t>The diver's take-off was clean and coordinated, The diver's body was aligned with the board,</t>
  </si>
  <si>
    <t>The diver's flight was controlled and streamlined, The diver's body was symmetrical,</t>
  </si>
  <si>
    <t>The diver's entry was strong and controlled, The diver's body broke at the hips on impact,</t>
  </si>
  <si>
    <t>The diver's legs are not fully extended; but the flight is clean and controlled,</t>
  </si>
  <si>
    <t>The diver's entry is clean and controlled; but the body breaks at the hips and is slightly over-rotated,</t>
  </si>
  <si>
    <t>The diver enters the water with good form,</t>
  </si>
  <si>
    <t>The diver's approach is smooth and consistent; with a steady rhythm,</t>
  </si>
  <si>
    <t>The diver takes off cleanly and with good form; despite not having feet together,</t>
  </si>
  <si>
    <t>The diver's flight is controlled and streamlined; despite not fully extended legs,</t>
  </si>
  <si>
    <t>The diver enters the water with a good shape; despite a slightly late entry,</t>
  </si>
  <si>
    <t>The diver has a good posture with straight shoulders and bent knees; and there are no visible nerves or re-adjustment,</t>
  </si>
  <si>
    <t>The diver's approach is smooth and consistent; with a minor flaw in rhythm,</t>
  </si>
  <si>
    <t>The diver rotates well and maintains a good body position; with some under-rotation,</t>
  </si>
  <si>
    <t>The diver enters the water with a good body position and splash; but there is some asymmetry,</t>
  </si>
  <si>
    <t>The dive shows some minor flaws; but they do not significantly affect the overall quality,</t>
  </si>
  <si>
    <t>The diver's flight is fluid and controlled; with legs not fully extended,</t>
  </si>
  <si>
    <t>Smooth rhythm; strong entry,</t>
  </si>
  <si>
    <t>Clean; well-coordinated,</t>
  </si>
  <si>
    <t>Controlled; symmetrical,</t>
  </si>
  <si>
    <t>Strong; stable,</t>
  </si>
  <si>
    <t>The diver takes off with good height and control; maintaining a straight body alignment,</t>
  </si>
  <si>
    <t>The diver enters the water with good form; making a clean entry,</t>
  </si>
  <si>
    <t>Smooth and controlled approach; consistent rhythm,</t>
  </si>
  <si>
    <t>Clean and controlled take-off; body aligned with board,</t>
  </si>
  <si>
    <t>Clean and controlled entry; body breaks at hips,</t>
  </si>
  <si>
    <t>The diver's approach was smooth and rhythmic; and their step count was consistent; but the entry was slightly off-vertical,</t>
  </si>
  <si>
    <t>The diver's entry was past vertical; but not excessively so; and their entry was controlled; and their entry was slightly short of vertical,</t>
  </si>
  <si>
    <t>The diver's flight is clean and controlled; maintaining a good body position,</t>
  </si>
  <si>
    <t>The diver enters the water with a good body position and splash; the entry is clean,</t>
  </si>
  <si>
    <t>The diver's starting position is excellent; with legs apart and arms extended; and the posture is excellent,</t>
  </si>
  <si>
    <t>The diver enters the water with a good shape and splash,</t>
  </si>
  <si>
    <t>The diver enters the water with a good body position and feet together; but the body breaks at the hips on entry,</t>
  </si>
  <si>
    <t>The diver entered the water with a strong and controlled entry; with a proper body break at the hips on impact,</t>
  </si>
  <si>
    <t>The diver's take-off was clean and well-coordinated; but the legs could have been more extended,</t>
  </si>
  <si>
    <t>The diver's flight was smooth and controlled; but the tuck could have been better,</t>
  </si>
  <si>
    <t>The diver entered the water with a good shape and control; but the feet could have been more together,</t>
  </si>
  <si>
    <t>The diver's entry is clean and controlled; with a slight off-vertical entry and body breaks at the hips,</t>
  </si>
  <si>
    <t>The diver takes off with good height and control; but legs are not fully extended,</t>
  </si>
  <si>
    <t>The diver maintains a good tuck position during flight; but legs and arms are not fully extended,</t>
  </si>
  <si>
    <t>The diver enters the water with a good body position and splash; but feet are not together,</t>
  </si>
  <si>
    <t>The diver started with good posture; arms fixed and legs together; the entry was stable and controlled,</t>
  </si>
  <si>
    <t>The diver's entry was smooth and consistent; the approach was rhythmic,</t>
  </si>
  <si>
    <t>The diver's take-off was clean and coordinated; the body was straight and arms extended,</t>
  </si>
  <si>
    <t>The diver's flight was controlled and streamlined; the body was symmetrical,</t>
  </si>
  <si>
    <t>The diver's entry was strong and controlled; the body broke at the hips on impact,</t>
  </si>
  <si>
    <t>The diver maintains a good tuck throughout the flight and is aligned with the long axis of the dive,</t>
  </si>
  <si>
    <t>The diver's flight is controlled and symmetrical; except for the legs not being fully extended,</t>
  </si>
  <si>
    <t>The diver entered the water with control and a proper break; with a proper body break at the hips on impact,</t>
  </si>
  <si>
    <t>The diver's flight was fluid and extended; showing good form,</t>
  </si>
  <si>
    <t>The diver entered the water with a good shape and control; showing a strong entry,</t>
  </si>
  <si>
    <t>The diver's approach is smooth and consistent; except for the hesitation,</t>
  </si>
  <si>
    <t>The diver takes off cleanly and with good form; except for the feet not being together,</t>
  </si>
  <si>
    <t>The diver enters the water with a good shape; except for the slight delay,</t>
  </si>
  <si>
    <t>The diver's body was well-balanced; and the take-off was clean,</t>
  </si>
  <si>
    <t>The diver's body was well-aligned; and the flight was controlled,</t>
  </si>
  <si>
    <t>The diver's approach is smooth and controlled; with a steady rhythm; but hesitated slightly before entry,</t>
  </si>
  <si>
    <t>The diver's take-off is clean and controlled; but the feet are not together at entry,</t>
  </si>
  <si>
    <t>The diver's entry is clean and controlled; but the entry is slightly late,</t>
  </si>
  <si>
    <t>The diver's starting position is excellent; with no visible flaws,</t>
  </si>
  <si>
    <t>The diver's approach is competent; with no issues to lower the score,</t>
  </si>
  <si>
    <t>The diver's take-off is competent; with no issues to lower the score,</t>
  </si>
  <si>
    <t>The diver's flight is competent; with no issues to lower the score,</t>
  </si>
  <si>
    <t>The diver's entry is competent; with no issues to lower the score,</t>
  </si>
  <si>
    <t>The diver's entry is clean and controlled; with a slightly over-rotated entry,</t>
  </si>
  <si>
    <t>The diver's flight was fluid and extended; with a tight tuck,</t>
  </si>
  <si>
    <t>The diver entered the water with control and a good shape; showing a strong entry,</t>
  </si>
  <si>
    <t>The diver's approach was smooth and consistent; with no hesitation or balk,</t>
  </si>
  <si>
    <t>The diver's take-off was clean and well-coordinated; with proper alignment with the board,</t>
  </si>
  <si>
    <t>The diver's flight was controlled and extended; with a symmetrical body,</t>
  </si>
  <si>
    <t>The diver entered the water with a good shape and a clean; controlled entry,</t>
  </si>
  <si>
    <t>The diver's take-off was clean and well-coordinated; with a proper alignment with the board,</t>
  </si>
  <si>
    <t>The diver's flight was smooth and controlled; with a proper alignment with the board,</t>
  </si>
  <si>
    <t>The diver's entry was strong and controlled; with a proper break at the hips on impact,</t>
  </si>
  <si>
    <t>The diver's approach was smooth and consistent; with a good rhythm,</t>
  </si>
  <si>
    <t>The diver's take-off was clean and well-coordinated; with feet together,</t>
  </si>
  <si>
    <t>The diver's flight was clean and well-executed; with arms not fully extended,</t>
  </si>
  <si>
    <t>The diver entered the water with a good shape and control; slightly over-rotated,</t>
  </si>
  <si>
    <t>The diver's entry was strong and stable and controlled,</t>
  </si>
  <si>
    <t>The diver's approach is smooth and rhythmic; with a hesitation at the beginning,</t>
  </si>
  <si>
    <t>The diver takes off with good height and form; but the legs are not fully extended,</t>
  </si>
  <si>
    <t>The diver maintains a good tuck throughout the flight; but the legs are not fully extended,</t>
  </si>
  <si>
    <t>The diver enters the water with a good shape and splash; but the feet are not together,</t>
  </si>
  <si>
    <t>The dive is of average quality; with some flaws but also some strengths,</t>
  </si>
  <si>
    <t>The diver has a good starting position; with legs apart and arms extended; but the arms are not fixed,</t>
  </si>
  <si>
    <t>The diver's approach is smooth and rhythmic; but the step count is irregular,</t>
  </si>
  <si>
    <t>The diver takes off with good height and form; but the legs are not coordinated,</t>
  </si>
  <si>
    <t>The diver's flight is clean and controlled; but the tuck is not on the longitudinal axis,</t>
  </si>
  <si>
    <t>The diver enters the water with a strong entry; but the body breaks at the hips on entry,</t>
  </si>
  <si>
    <t>The diver's take-off is clean and aligned; except for the feet not being together,</t>
  </si>
  <si>
    <t>The diver's entry is clean and aligned; except for the feet not being together,</t>
  </si>
  <si>
    <t>The diver's entry was precise and underwater,</t>
  </si>
  <si>
    <t>The diver started with good posture; arms fixed and legs together; but the legs were slightly bent upon entry,</t>
  </si>
  <si>
    <t>The diver's approach was smooth and rhythmic; but the entry was slightly bent,</t>
  </si>
  <si>
    <t>The diver's take-off was clean and coordinated; but the entry was slightly bent,</t>
  </si>
  <si>
    <t>The diver's flight was clean and coordinated; but the entry was slightly bent,</t>
  </si>
  <si>
    <t>The diver's entry was stable and controlled; but the legs were slightly bent,</t>
  </si>
  <si>
    <t>The diver takes off with good height and form; entering the water with a good shape and control,</t>
  </si>
  <si>
    <t>The diver maintains a good tuck throughout the flight; with no visible flaws,</t>
  </si>
  <si>
    <t>The diver enters the water with a good shape and control; with no visible issues,</t>
  </si>
  <si>
    <t>The diver maintains a good tuck position during flight; but the legs are not fully extended,</t>
  </si>
  <si>
    <t>The diver takes off with good height and control; despite not being fully extended,</t>
  </si>
  <si>
    <t>The diver maintains a good tuck during flight; despite not being fully extended,</t>
  </si>
  <si>
    <t>The diver enters the water with a good shape and splash; despite being slightly late,</t>
  </si>
  <si>
    <t>The diver's approach was smooth and rhythmic; but the hand position was not optimal,</t>
  </si>
  <si>
    <t>The diver's take-off was clean and powerful; but the feet were not together,</t>
  </si>
  <si>
    <t>The diver's flight was controlled and extended; but the body was not fully extended,</t>
  </si>
  <si>
    <t>The diver's entry was strong and vertical; but not fully vertical,</t>
  </si>
  <si>
    <t>The diver's entry was clean and well-executed; but it was not fully vertical,</t>
  </si>
  <si>
    <t>The diver started with good posture; arms fixed and legs together; but legs were slightly bent upon entry,</t>
  </si>
  <si>
    <t>The diver's approach was smooth and rhythmic; but the entry was slightly off-vertical,</t>
  </si>
  <si>
    <t>The diver's take-off was clean and coordinated; but legs were not fully extended upon take-off,</t>
  </si>
  <si>
    <t>The diver's flight was controlled and streamlined; but the tuck was not fully executed,</t>
  </si>
  <si>
    <t>The diver's entry was past vertical and not over-rotated; but the splash was small and the entry was short,</t>
  </si>
  <si>
    <t>The diver has a good posture with straight shoulders and bent knees; and the diver's arms are fixed and ready,</t>
  </si>
  <si>
    <t>The diver's approach is smooth and rhythmic; and the diver's step count is consistent,</t>
  </si>
  <si>
    <t>The diver's take-off is clean and coordinated; and the diver's legs drive off the board well,</t>
  </si>
  <si>
    <t>The diver's flight is controlled and streamlined; and the diver's tuck is compact,</t>
  </si>
  <si>
    <t>The diver's entry is past vertical; and the diver's entry is clean,</t>
  </si>
  <si>
    <t>The diver's take-off is clean and coordinated,</t>
  </si>
  <si>
    <t>The diver's tuck is loose and the legs are not on the shins,</t>
  </si>
  <si>
    <t>The diver is past vertical and short of the platform,</t>
  </si>
  <si>
    <t>The diver's approach was smooth and rhythmic; the step count was consistent,</t>
  </si>
  <si>
    <t>The diver's take-off was clean and coordinated; the legs provided adequate drive,</t>
  </si>
  <si>
    <t>The diver's flight was controlled and streamlined; the tuck was good,</t>
  </si>
  <si>
    <t>The diver's entry was past vertical; but not excessively so; the entry was short,</t>
  </si>
  <si>
    <t>The diver enters the water with a good body position and a small splash,</t>
  </si>
  <si>
    <t>The diver rotates well in the air,</t>
  </si>
  <si>
    <t>The dive had a clean execution and adequate height,</t>
  </si>
  <si>
    <t>The dive had a controlled execution and proper tuck and twist,</t>
  </si>
  <si>
    <t>The dive had a strong and stable execution and a good splash,</t>
  </si>
  <si>
    <t>The diver started with good posture; arms fixed and legs together; but their legs were slightly bent upon entry,</t>
  </si>
  <si>
    <t>The diver's approach was smooth and rhythmic; but hesitated slightly before entering the water,</t>
  </si>
  <si>
    <t>The diver's flight was controlled and streamlined; but their tuck was not fully extended,</t>
  </si>
  <si>
    <t>The diver entered the water with a good shape; but their entry was slightly over-rotated,</t>
  </si>
  <si>
    <t>The diver's tuck is loose and the body is asymmetrical; but the legs are not coordinated,</t>
  </si>
  <si>
    <t>The diver's take-off is clean and powerful; with feet not together,</t>
  </si>
  <si>
    <t>The diver's entry is clean and precise; with a slight over-rotation</t>
  </si>
  <si>
    <t>The diver took off with good leg drive and arm coordination; and the dive had a clean rotation initiation,</t>
  </si>
  <si>
    <t>The diver maintained a good tuck throughout the flight; and the dive had a clean rotation and a good shape,</t>
  </si>
  <si>
    <t>The diver entered the water with a good body position and a small splash; and the dive had a clean entry,</t>
  </si>
  <si>
    <t>llava_inference_time_s</t>
  </si>
  <si>
    <t>llava_QoE</t>
  </si>
  <si>
    <t>llava_QoE_Starting_Position</t>
  </si>
  <si>
    <t>llava_QoE_Approach</t>
  </si>
  <si>
    <t>llava_QoE_Take_off</t>
  </si>
  <si>
    <t>llava_QoE_Flight</t>
  </si>
  <si>
    <t>llava_QoE_Entry</t>
  </si>
  <si>
    <t>llava_sub_score_starting</t>
  </si>
  <si>
    <t>llava_sub_score_approach</t>
  </si>
  <si>
    <t>llava_sub_score_take_off</t>
  </si>
  <si>
    <t>llava_sub_score_flight</t>
  </si>
  <si>
    <t>llava_sub_score_entry</t>
  </si>
  <si>
    <t>llava_weight_starting</t>
  </si>
  <si>
    <t>llava_weight_approach</t>
  </si>
  <si>
    <t>llava_weight_take_off</t>
  </si>
  <si>
    <t>llava_adjustment</t>
  </si>
  <si>
    <t>llava_weighted_sum</t>
  </si>
  <si>
    <t>llava_value_entry</t>
  </si>
  <si>
    <t>llava_value_flight</t>
  </si>
  <si>
    <t>llava_value_take_off</t>
  </si>
  <si>
    <t>llava_value_approach</t>
  </si>
  <si>
    <t>llava_value_starting</t>
  </si>
  <si>
    <t>llava_weight_entry</t>
  </si>
  <si>
    <t>llava_weight_flight</t>
  </si>
  <si>
    <t>Acceptable starting position with slight bending of knees and visible nerves</t>
  </si>
  <si>
    <t xml:space="preserve"> sub-score of 5 indicates room for improvement,</t>
  </si>
  <si>
    <t>Good rhythm but lacks power in hurdle and knee drive</t>
  </si>
  <si>
    <t xml:space="preserve"> sub-score of 4 reflects moderate performance,</t>
  </si>
  <si>
    <t>Insufficient height and proximity to platform</t>
  </si>
  <si>
    <t>Good posture with minor room for improvement in stability,</t>
  </si>
  <si>
    <t>Controlled approach with occasional hesitation impacting fluidity,</t>
  </si>
  <si>
    <t>Solid take-off with effective leg drive but slight off-vertical lean and late rotation initiation,</t>
  </si>
  <si>
    <t>Tuck position with loose alignment and twists not on the longitudinal axis,</t>
  </si>
  <si>
    <t>Past vertical by 10 degrees with medium splash size affecting entry quality,</t>
  </si>
  <si>
    <t>The starting position is neutral with minor room for improvement in stillness,</t>
  </si>
  <si>
    <t>The approach is steady and well-executed with minimal drift,</t>
  </si>
  <si>
    <t>The take-off is strong with good leg drive and coordination,</t>
  </si>
  <si>
    <t>The flight is competent with slight deviations from alignment,</t>
  </si>
  <si>
    <t>The entry is clean with a moderate splash and slight bend at the hips,</t>
  </si>
  <si>
    <t>The starting position is excellent with a neutral posture and no visible nerves or re-adjustment, Sub-score: 10,</t>
  </si>
  <si>
    <t>The approach is smooth; rhythmic; and well-executed with a low hurdle and strong knee drive, Sub-score: 10,</t>
  </si>
  <si>
    <t>The take-off is solid with sufficient height and powerful leg drive, Sub-score: 10,</t>
  </si>
  <si>
    <t>The flight phase is mostly excellent with a clean tuck position and controlled rotation, However; minor flaws in the tuck and slight under-rotation result in a sub-score of 8,5,</t>
  </si>
  <si>
    <t>The entry phase contains several flaws such as over-rotation; bent knees; and feet crossing at entry, Sub-score: 6,5,</t>
  </si>
  <si>
    <t>Knees slightly bent indicating lack of stillness and proper form; with visible nerves and re-adjustment affecting overall stability,</t>
  </si>
  <si>
    <t>Hesitation and irregular rhythm suggest inconsistency and lack of confidence in the approach phase,</t>
  </si>
  <si>
    <t>Insufficient height and proximity to the platform indicate poor take-off execution impacting subsequent phases,</t>
  </si>
  <si>
    <t>Loose tuck and bent knees compromise aerodynamics and execution quality during flight,</t>
  </si>
  <si>
    <t>Over-rotation past the vertical axis and medium splash size reflect suboptimal entry technique,</t>
  </si>
  <si>
    <t>Significant lack of stillness and poor posture with visible nerves and re-adjustment</t>
  </si>
  <si>
    <t>Irregular rhythm or step count</t>
  </si>
  <si>
    <t>Insufficient height and too close to platform</t>
  </si>
  <si>
    <t>Loose tuck and bent knees in pike position</t>
  </si>
  <si>
    <t>Past vertical over-rotation and large splash</t>
  </si>
  <si>
    <t>Loose tuck and slight bend in knees indicate a need for better posture at take-off, The diver could benefit from more vertical alignment and tighter tuck,</t>
  </si>
  <si>
    <t>Rhythm is regular but there is an irregularity that may cause hesitation or balk, This affects the overall quality of the approach,</t>
  </si>
  <si>
    <t>Insufficient height and proximity to the edge suggest a need for a higher launch point and better edge management,</t>
  </si>
  <si>
    <t>Loose tuck and twists not aligned on the longitudinal axis show a lack of control during flight, These issues impact the execution and form,</t>
  </si>
  <si>
    <t>Past vertical by approximately 10 degrees and a large splash indicate over-rotation and a less controlled entry into the water,</t>
  </si>
  <si>
    <t>Slight bending of knees and loose tuck indicate a need for better posture at take-off,</t>
  </si>
  <si>
    <t>Consistent rhythm and hurdle drive show strong preparation for the take-off,</t>
  </si>
  <si>
    <t>Insufficient height and proximity to the platform edge highlight a weak take-off,</t>
  </si>
  <si>
    <t>Loose tuck and slight twist tilt point to minor execution issues,</t>
  </si>
  <si>
    <t>Over-rotation leads to a large splash affecting entry quality,</t>
  </si>
  <si>
    <t>The diver starts with a stable position but suffers from knee separation and poor posture,</t>
  </si>
  <si>
    <t>A well-paced approach with a strong hurdle results in a high sub-score,</t>
  </si>
  <si>
    <t>The take-off has sufficient height but is slightly close to the platform and lacks optimal leg drive,</t>
  </si>
  <si>
    <t>The flight is compromised by a loose tuck and over-rotation past vertical,</t>
  </si>
  <si>
    <t>The entry phase features an over-rotated entry and bent arms impacting the overall quality,</t>
  </si>
  <si>
    <t>Competent start with minor flaws in posture and tuck; justifying a sub-score of 6,</t>
  </si>
  <si>
    <t>Consistent rhythm and hurdle drive contribute to an approach score of 8,</t>
  </si>
  <si>
    <t>Insufficient height and proximity to platform edge result in a take-off score of 5,</t>
  </si>
  <si>
    <t>Some technical issues like loose tuck and twists affect the flight score of 7,</t>
  </si>
  <si>
    <t>Past vertical by 10 degrees leads to a low entry score of 4,</t>
  </si>
  <si>
    <t>Knees slightly bent and arms not fixed; indicating initial tension and lack of stability</t>
  </si>
  <si>
    <t>Hesitation and irregular rhythm suggest a lack of confidence and control during the approach phase</t>
  </si>
  <si>
    <t>Insufficient height and proximity to the platform indicate a suboptimal launch</t>
  </si>
  <si>
    <t>Loose tuck and bent knees in pike position affect the dive's symmetry and execution quality</t>
  </si>
  <si>
    <t>Past vertical by approximately 10Â° and medium splash size contribute to an average entry performance</t>
  </si>
  <si>
    <t>Less than optimal starting position with slight bend in knees and loose posture,</t>
  </si>
  <si>
    <t>Competent approach with regular rhythm and well-driven hurdle,</t>
  </si>
  <si>
    <t>Insufficient height and proximity to platform edge result in lower take-off height,</t>
  </si>
  <si>
    <t>Loose tuck and twists not aligned impact aerodynamics and form,</t>
  </si>
  <si>
    <t>Significant over-rotation and large splash indicate poor entry technique,</t>
  </si>
  <si>
    <t>The diver starts with a neutral posture and slight deviations in knee alignment and arm fixation result in a sub-score of 6,</t>
  </si>
  <si>
    <t>A steady approach with lateral drift results in a sub-score of 7,</t>
  </si>
  <si>
    <t>Sufficient height and strong leg drive contribute to a sub-score of 8,</t>
  </si>
  <si>
    <t>Minimalistic form with loose tuck and tilt results in a sub-score of 6,</t>
  </si>
  <si>
    <t>Medium splash and foot-together entry result in a sub-score of 7,</t>
  </si>
  <si>
    <t>The starting position is excellent with a neutral posture and no visible nerves,</t>
  </si>
  <si>
    <t>The approach is flawless with consistent rhythm and good hurdle technique,</t>
  </si>
  <si>
    <t>The take-off is executed flawlessly with sufficient height and good form,</t>
  </si>
  <si>
    <t>The flight is very good with a straight body shape and proper tuck; though there is slight over-rotation,</t>
  </si>
  <si>
    <t>The entry is satisfactory with feet together and a medium splash; though it could be cleaner,</t>
  </si>
  <si>
    <t>Strong posture and controlled start with minor knee separation</t>
  </si>
  <si>
    <t>Consistent rhythm and effective hurdle driving</t>
  </si>
  <si>
    <t>Insufficient height and proximity to platform edge; off-vertical lean present</t>
  </si>
  <si>
    <t>Loose tuck; bent knees; and under-rotation</t>
  </si>
  <si>
    <t>Past vertical by 10Â°; large splash; bent arms at entry</t>
  </si>
  <si>
    <t>Flawless start with no defects; justifying a perfect score,</t>
  </si>
  <si>
    <t>Smooth and controlled approach without any flaws,</t>
  </si>
  <si>
    <t>Excellent execution except for the over-rotation,</t>
  </si>
  <si>
    <t>Clean entry with minimal splash; contributing to a high score,</t>
  </si>
  <si>
    <t>Good posture with minimal re-adjustment; scoring 8 due to slightly less-than-ideal alignment,</t>
  </si>
  <si>
    <t>Consistent rhythm and control during approach; earning a 9,</t>
  </si>
  <si>
    <t>Sufficient height but slightly low; resulting in a 7,5,</t>
  </si>
  <si>
    <t>Competent tuck position but loose form; leading to a 6,5,</t>
  </si>
  <si>
    <t>Past vertical but medium splash; justified by a 7,</t>
  </si>
  <si>
    <t>The diver starts with a stable posture; though knee separation slightly detracts from the score,</t>
  </si>
  <si>
    <t>A confident and controlled approach contributes significantly to the dive's quality,</t>
  </si>
  <si>
    <t>Clean take-off with minor room for improvement in leg drive,</t>
  </si>
  <si>
    <t>Excellent flight phase with proper alignment and control,</t>
  </si>
  <si>
    <t>Medium splash with slight bend in knees impacting the final score,</t>
  </si>
  <si>
    <t>The starting position is excellent; demonstrating readiness and control,</t>
  </si>
  <si>
    <t>The approach is executed flawlessly with good rhythm and technique,</t>
  </si>
  <si>
    <t>The take-off is very good; though slightly compromised by over-rotation,</t>
  </si>
  <si>
    <t>The flight is strong with good symmetry and alignment; but the tuck could be tighter,</t>
  </si>
  <si>
    <t>The entry is satisfactory with a controlled splash and good body position; but over-rotation and bent arms lower the score,</t>
  </si>
  <si>
    <t>Good posture with minor knee bend</t>
  </si>
  <si>
    <t xml:space="preserve"> no visible nerves or re-adjustment</t>
  </si>
  <si>
    <t>Strong rhythm and hurdle drive</t>
  </si>
  <si>
    <t xml:space="preserve"> slight lateral drift</t>
  </si>
  <si>
    <t>Basic starting position with minor flexibility</t>
  </si>
  <si>
    <t xml:space="preserve"> score of 5 due to slight bend in knees and visible nerves,</t>
  </si>
  <si>
    <t>Reasonable rhythm but with hesitation and instability</t>
  </si>
  <si>
    <t xml:space="preserve"> score of 4,</t>
  </si>
  <si>
    <t>Insufficient height and off-vertical lean</t>
  </si>
  <si>
    <t>Knees slightly bent and poor posture indicate a lower starting score due to lack of stability and control,</t>
  </si>
  <si>
    <t>Hesitation and irregular rhythm suggest a need for more consistent movement leading up to the dive,</t>
  </si>
  <si>
    <t>Insufficient height and proximity to the platform result in a lower take-off score,</t>
  </si>
  <si>
    <t>Loose tuck and misaligned twists contribute to a lower flight score,</t>
  </si>
  <si>
    <t>Over-rotation and medium splash size reflect a lower entry score,</t>
  </si>
  <si>
    <t>Moderate anchoring with some flexibility</t>
  </si>
  <si>
    <t xml:space="preserve"> knees slightly bent but stable</t>
  </si>
  <si>
    <t>Consistent rhythm and good hurdle driving; though there's slight hesitation</t>
  </si>
  <si>
    <t>Insufficient height and proximity to platform; indicating need for more power off the board</t>
  </si>
  <si>
    <t>Loose tuck and bent knees; impacting rotational accuracy and form</t>
  </si>
  <si>
    <t>Knees slightly bent upon take-off; body not perfectly vertical; over-rotated past vertical by ~10Â°</t>
  </si>
  <si>
    <t>Consistent rhythm with slight hesitation; regular step count; irregular rhythm or step count; lateral drift</t>
  </si>
  <si>
    <t>Insufficient height from the board; too close to the platform; insufficient height; too close to the platform</t>
  </si>
  <si>
    <t>Loose tuck (knees apart; hands not on shins); bent knees in pike position; loose tuck (knees apart; hands not on shins); bent knees in pike position</t>
  </si>
  <si>
    <t>Past vertical (over-rotated) â€” degrees estimate: -10Â°; splash size (small rip / medium); past vertical (over-rotated) â€” degrees estimate: -10Â°; bent arms at entry</t>
  </si>
  <si>
    <t>Minor flaws in stillness and posture during take-off</t>
  </si>
  <si>
    <t>Irregular rhythm and hesitation during approach</t>
  </si>
  <si>
    <t>Insufficient height and proximity to platform during take-off</t>
  </si>
  <si>
    <t>Loose tuck and twists not on longitudinal axis during flight</t>
  </si>
  <si>
    <t>Clean entry with minimal flaws</t>
  </si>
  <si>
    <t>The diver had some wobble and slight bending at take-off but maintained control and form throughout the dive,</t>
  </si>
  <si>
    <t>The approach showed consistent rhythm and technique with a well-driven hurdle,</t>
  </si>
  <si>
    <t>The diver did not achieve sufficient height off the platform and was too close to the edge,</t>
  </si>
  <si>
    <t>The diver's tuck was loose and twists were tilted; indicating room for improvement in form,</t>
  </si>
  <si>
    <t>The diver entered past vertical by approximately 10 degrees resulting in a large splash,</t>
  </si>
  <si>
    <t>The diver starts with a stable and controlled posture; contributing to a high initial score of 9,</t>
  </si>
  <si>
    <t>A steady and precise approach results in a sub-score of 8,5,</t>
  </si>
  <si>
    <t>A well-timed and aligned take-off contributes to a perfect score of 9,</t>
  </si>
  <si>
    <t>Although the tuck position is maintained; minor over-rotation reduces the score to 7,5,</t>
  </si>
  <si>
    <t>The entry is mostly clean; but a slight bend at the hips lowers the score to 7,</t>
  </si>
  <si>
    <t>Slight wobble in posture and knees apart indicate room for improvement but maintain control,</t>
  </si>
  <si>
    <t>Consistent rhythm and hurdle drive show good technique,</t>
  </si>
  <si>
    <t>Insufficient height and proximity to platform edge highlight minor execution flaw,</t>
  </si>
  <si>
    <t>Tuck position loose and twist misaligned; indicating need for better form,</t>
  </si>
  <si>
    <t>Over-rotated and large splash suggest significant flaws,</t>
  </si>
  <si>
    <t>Knees slightly bent upon take-off and body not perfectly vertical indicate a need for improvement in initial posture and alignment,</t>
  </si>
  <si>
    <t>Regular rhythm and consistent step count show good approach execution,</t>
  </si>
  <si>
    <t>Insufficient height and too close to platform edge highlight a technical flaw in take-off,</t>
  </si>
  <si>
    <t>Loose tuck and twists not on longitudinal axis point to minor execution issues,</t>
  </si>
  <si>
    <t>Past vertical by ~10Â° and large splash signify significant entry defects,</t>
  </si>
  <si>
    <t>The starting position is excellent with a neutral posture and no visible nerves; earning a full score of 10,</t>
  </si>
  <si>
    <t>The approach is competent with a steady rhythm and effective hurdle; receiving a sub-score of 9,5,</t>
  </si>
  <si>
    <t>The take-off is slightly lacking in height and proximity to the platform; resulting in a sub-score of 7,5,</t>
  </si>
  <si>
    <t>The flight has minor flaws such as a loose tuck and under-rotation; leading to a sub-score of 6,5,</t>
  </si>
  <si>
    <t>The entry is over-rotated and has a medium splash size; earning a sub-score of 4,5,</t>
  </si>
  <si>
    <t>The diver had slight issues with knee alignment and arm fixation; which impacted their starting posture,</t>
  </si>
  <si>
    <t>The approach showed hesitation and an irregular rhythm; affecting the overall flow into the take-off,</t>
  </si>
  <si>
    <t>Although there was insufficient height achieved; the diver was able to maintain proximity to the platform; preventing a more severe deduction,</t>
  </si>
  <si>
    <t>The flight phase demonstrated control despite the loose tuck and bent knees; indicating good rotational execution,</t>
  </si>
  <si>
    <t>The entry was executed cleanly with feet together and a moderate splash; contributing positively to the final score,</t>
  </si>
  <si>
    <t>The diver starts with a stable posture and controlled balance; though there is a slight bend in the knees that could be improved,</t>
  </si>
  <si>
    <t>The approach is steady and rhythmic; showing good control and consistency,</t>
  </si>
  <si>
    <t>The take-off is powerful and vertical; indicating a strong initial launch,</t>
  </si>
  <si>
    <t>The flight is clean with a pike position and prompt initiation of rotation; although there is a slight over-rotation leading to a larger splash,</t>
  </si>
  <si>
    <t>The entry is executed cleanly with feet together and a medium splash; though there is a slight bend in the knees impacting the sharpness of the entry,</t>
  </si>
  <si>
    <t>The starting position is excellent; with a stable stance and no visible nerves or re-adjustment issues (score: 10),</t>
  </si>
  <si>
    <t>The approach is competent; with a regular rhythm and effective hurdle and knee drive (score: 9,5),</t>
  </si>
  <si>
    <t>The take-off is strong; with sufficient height and proper alignment to the platform (score: 8,5),</t>
  </si>
  <si>
    <t>The flight is good; maintaining a straight body position and keeping knees together; though there is an over-rotation past vertical (score: 7,5),</t>
  </si>
  <si>
    <t>The entry is satisfactory; with a clean splash and feet close together; though there is a slight bend in the knees (score: 6,5)</t>
  </si>
  <si>
    <t>The diver starts with a stable posture and controlled movements; contributing to a moderate starting position score,</t>
  </si>
  <si>
    <t>The diver demonstrates consistent strides and maintains focus; resulting in a higher approach score,</t>
  </si>
  <si>
    <t>Despite a slight lateral drift; the diver achieves adequate height and a strong leg drive; earning a high take-off score,</t>
  </si>
  <si>
    <t>The diver maintains a pike position with good rotational coordination; although there's a noticeable over-rotation impacting the aesthetics,</t>
  </si>
  <si>
    <t>A clean entry with a small splash and good body shape contributes significantly to the final entry score,</t>
  </si>
  <si>
    <t>Strong start with good posture and arm fixation; minor flaw in tuck position,</t>
  </si>
  <si>
    <t>Confident approach with regular rhythm and high knee drive; excellent phase,</t>
  </si>
  <si>
    <t>Lack of height and slight rotation initiation; minor flaws in take-off,</t>
  </si>
  <si>
    <t>Loose tuck; bent knees; and under-rotation; impacting flight quality,</t>
  </si>
  <si>
    <t>Significant flaws in entry: over-rotation; large splash; and bent arms; reflecting poor execution,</t>
  </si>
  <si>
    <t>The diver's posture could be improved for better stability; but he maintains control over his body position,</t>
  </si>
  <si>
    <t>The diver exhibits good consistency and fluidity in his approach,</t>
  </si>
  <si>
    <t>The diver achieves sufficient height and initiates the take-off from a stable position,</t>
  </si>
  <si>
    <t>The diver's form during flight is compromised by loose tucking and misaligned twists,</t>
  </si>
  <si>
    <t>The diver's entry is clean but over-rotated; resulting in a larger splash,</t>
  </si>
  <si>
    <t>The starting position is excellent; with no wobble or poor posture; earning a sub-score of 10,</t>
  </si>
  <si>
    <t>The approach is very good; with minor deviations from an ideal approach; earning a sub-score of 9,5,</t>
  </si>
  <si>
    <t>The take-off is adequate but could be more precise; earning a sub-score of 7,5,</t>
  </si>
  <si>
    <t>The flight has multiple small flaws including loose tuck and asymmetrical body shape; earning a sub-score of 6,5,</t>
  </si>
  <si>
    <t>The entry is satisfactory; with a large splash indicating over-rotation; earning a sub-score of 4,5,</t>
  </si>
  <si>
    <t>Flawless starting position with stable posture and good form,</t>
  </si>
  <si>
    <t>Solid approach with steady rhythm and consistent step counts,</t>
  </si>
  <si>
    <t>Powerful take-off with minor over-rotation,</t>
  </si>
  <si>
    <t>Mostly aligned flight with minor deviations from longitudinal axis,</t>
  </si>
  <si>
    <t>Good entry with medium splash and feet/hands not together,</t>
  </si>
  <si>
    <t>Slight wobble and knees apart indicate room for improvement; yet the diver maintains control,</t>
  </si>
  <si>
    <t>Rhythm and step count show competence; contributing positively to the dive,</t>
  </si>
  <si>
    <t>Insufficient height impacts potential; but the diver stays within bounds,</t>
  </si>
  <si>
    <t>Loose tuck and twist tilt detract from execution quality; but overall body shape is acceptable,</t>
  </si>
  <si>
    <t>Past vertical rotation leads to a larger splash; impacting final score,</t>
  </si>
  <si>
    <t>Excellent starting position with stable posture and no visible wobbling,</t>
  </si>
  <si>
    <t>Competent approach with minimal hesitation at the hurdle,</t>
  </si>
  <si>
    <t>Solid take-off with sufficient height and proper knee drive; slight lean off the vertical axis,</t>
  </si>
  <si>
    <t>Good flight with tuck position and knees close together; slight separation of knees,</t>
  </si>
  <si>
    <t>Clean entry with minor splash size and feet crossing upon entry,</t>
  </si>
  <si>
    <t>Arms not fixed and poor posture contribute to a lower starting position score,</t>
  </si>
  <si>
    <t>Irregular rhythm and weak hurdle reduce the approach phase's quality,</t>
  </si>
  <si>
    <t>Insufficient height and proximity to the platform negatively impact the take-off phase,</t>
  </si>
  <si>
    <t>Loose tuck and bent knees in pike position detract from the flight phase's execution,</t>
  </si>
  <si>
    <t>Over-rotation past vertical compromises the final impression and completion of the dive,</t>
  </si>
  <si>
    <t>Stable posture with arms fixed</t>
  </si>
  <si>
    <t xml:space="preserve"> minor knee bend for stability</t>
  </si>
  <si>
    <t>Consistent rhythm and good hurdle drive</t>
  </si>
  <si>
    <t xml:space="preserve"> slight hesitation avoided</t>
  </si>
  <si>
    <t>The diver had minor issues with knee alignment and posture stability during the take-off; resulting in a lower score,</t>
  </si>
  <si>
    <t>The approach showed good rhythm and control; but a slight hesitation at the hurdle impacted the overall quality,</t>
  </si>
  <si>
    <t>Although the take-off lacked sufficient height and alignment; it demonstrated a reasonable effort,</t>
  </si>
  <si>
    <t>The flight displayed decent execution but suffered from loose tucks and tilted twists,</t>
  </si>
  <si>
    <t>The entry was over-rotated and featured a large splash; indicating significant flaws,</t>
  </si>
  <si>
    <t>Slight bend in knees and off-vertical lean indicate a need for better posture and stillness,</t>
  </si>
  <si>
    <t>Consistent rhythm and step count show competent execution; however; minimal lateral drift suggests room for improvement,</t>
  </si>
  <si>
    <t>Insufficient height and proximity to platform edge highlight issues with initial phase,</t>
  </si>
  <si>
    <t>Loose tuck and twists not aligned detract from the technical quality of the flight,</t>
  </si>
  <si>
    <t>Past vertical and large splash demonstrate poor entry technique,</t>
  </si>
  <si>
    <t>The starting position is excellent with a calm and balanced stance; earning a full score of 10,</t>
  </si>
  <si>
    <t>The approach is strong with good rhythm and step count; receiving a score of 9,5,</t>
  </si>
  <si>
    <t>The take-off is solid with sufficient height and strong leg drive; scoring 8,5,</t>
  </si>
  <si>
    <t>The flight is very good with a tight tuck and symmetrical body shape; except for minor under-rotation and foot positioning; which results in a score of 7,5,</t>
  </si>
  <si>
    <t>The entry is satisfactory with a medium splash and controlled completion; earning a score of 6,5,</t>
  </si>
  <si>
    <t>Some good posture is observed despite visible nerves and knees apart in tuck</t>
  </si>
  <si>
    <t>Hesitation and irregular rhythm indicate a lack of confidence approaching the platform</t>
  </si>
  <si>
    <t>Insufficient height and off-vertical lean suggest a rushed take-off attempt</t>
  </si>
  <si>
    <t>Twists are slightly tilted but under-rotation is minimal; indicating controlled execution</t>
  </si>
  <si>
    <t>Large splash due to over-rotation; but entry is relatively clean with bent arms and feet not together</t>
  </si>
  <si>
    <t>The starting position is perfect with a neutral posture and no visible nerves or adjustments,</t>
  </si>
  <si>
    <t>The approach is smooth; rhythmic; and well-executed with a good hurdle,</t>
  </si>
  <si>
    <t>The take-off is clean and effective with sufficient height and distance from the platform,</t>
  </si>
  <si>
    <t>The flight is strong overall with minor over-rotation and a slight tilt at entry,</t>
  </si>
  <si>
    <t>The entry is satisfactory with feet together and a medium splash size,</t>
  </si>
  <si>
    <t>The diver had some minor issues with knee positioning and stability at the start but overall maintained control,</t>
  </si>
  <si>
    <t>The approach showed consistent rhythm and proper hurdle driving; indicating good technique,</t>
  </si>
  <si>
    <t>The take-off lacked sufficient height and was too close to the platform edge; leading to an under-rotated launch,</t>
  </si>
  <si>
    <t>The flight phase exhibited loose tuck positioning and misaligned twists; affecting the dive's precision,</t>
  </si>
  <si>
    <t>The entry was past vertical by about 10 degrees and resulted in a large splash; indicating poor control,</t>
  </si>
  <si>
    <t>Basic starting position with slight bending of knees and visible nerves</t>
  </si>
  <si>
    <t xml:space="preserve"> sub-score of 5,</t>
  </si>
  <si>
    <t>Consistent rhythm and step count with minor hesitation</t>
  </si>
  <si>
    <t xml:space="preserve"> sub-score of 6,</t>
  </si>
  <si>
    <t>Insufficient height and proximity to the platform</t>
  </si>
  <si>
    <t>The diver starts with a neutral posture and slight knee bend; showing some flexibility but room for improvement in arm fixation,</t>
  </si>
  <si>
    <t>The approach is steady with a rhythmic pace and stable press; though there's minor hesitation,</t>
  </si>
  <si>
    <t>The take-off is executed with sufficient height and strong leg drive; maintaining a near-vertical alignment,</t>
  </si>
  <si>
    <t>The flight shows good coordination with a tight tuck and proper twist alignment; although there's slight tilt,</t>
  </si>
  <si>
    <t>The entry is clean with a splash that indicates a controlled descent; though it's slightly over-rotated,</t>
  </si>
  <si>
    <t>The diver starts with a neutral posture and slight knee separation; indicating minor deviations from the ideal starting position,</t>
  </si>
  <si>
    <t>The approach is steady and controlled with good knee drive; though it lacks perfect rhythm,</t>
  </si>
  <si>
    <t>The take-off is executed with sufficient height and strong leg drive; maintaining a near-vertical take-off,</t>
  </si>
  <si>
    <t>The flight shows competent execution with a pike position and alignment on the longitudinal axis; despite some under-rotation and loose tuck,</t>
  </si>
  <si>
    <t>The entry is clean with a medium splash; demonstrating good technique upon entering the water,</t>
  </si>
  <si>
    <t>The diver exhibits minor wobble and knee separation; indicating room for improvement in maintaining stillness,</t>
  </si>
  <si>
    <t>The approach is steady and controlled; contributing positively to the overall quality,</t>
  </si>
  <si>
    <t>The take-off is adequate but lacks the necessary height to maximize the dive's potential,</t>
  </si>
  <si>
    <t>The flight is mostly streamlined and efficient; though the loose tuck slightly detracts from the score,</t>
  </si>
  <si>
    <t>The entry is clean but over-rotated; impacting the final phase negatively,</t>
  </si>
  <si>
    <t>Loose tuck and slight bending of knees indicate a lower-quality start; earning a score of 5,</t>
  </si>
  <si>
    <t>Consistent rhythm and hurdle drive contribute to an above-average approach score of 8,</t>
  </si>
  <si>
    <t>Insufficient height and off-vertical lean result in a below-average take-off score of 6,</t>
  </si>
  <si>
    <t>Loose tuck and under-rotation detract from the flight score; which is rated at 7,</t>
  </si>
  <si>
    <t>Past vertical angle and large splash significantly impact the entry score; resulting in a low score of 4,</t>
  </si>
  <si>
    <t>Minor flaws in arms fixation and knee bend reduce the starting position quality,</t>
  </si>
  <si>
    <t>Regular rhythm but hesitation at the hurdle slightly impacts the approach phase,</t>
  </si>
  <si>
    <t>Insufficient height and proximity to the platform negatively affect the take-off phase,</t>
  </si>
  <si>
    <t>Loose tuck and twists not aligned on the longitudinal axis decrease the flight phase's precision,</t>
  </si>
  <si>
    <t>Past vertical by approximately 10 degrees and large splash impact the entry phase's execution,</t>
  </si>
  <si>
    <t>Knees slightly bent and rounded shoulders indicate a need for more stillness</t>
  </si>
  <si>
    <t xml:space="preserve"> arms not fixed suggest a lack of stability,</t>
  </si>
  <si>
    <t>Irregular rhythm and weak hurdle indicate hesitation and low knee drive; affecting overall approach quality,</t>
  </si>
  <si>
    <t>Insufficient height and proximity to the platform highlight issues with initial launch height and positioning,</t>
  </si>
  <si>
    <t>Loose tuck and bent knees in pike position show a lack of form and control during the aerial phase,</t>
  </si>
  <si>
    <t>Lack of stillness and slight bend in knees indicate poor posture at the start; contributing to a lower score,</t>
  </si>
  <si>
    <t>Consistent rhythm and hurdle drive show good execution; justifying an above-average score,</t>
  </si>
  <si>
    <t>Insufficient height and proximity to the platform suggest a need for more power in the take-off phase,</t>
  </si>
  <si>
    <t>Loose tuck and deviation from the longitudinal axis reduce the technical quality of the flight,</t>
  </si>
  <si>
    <t>Past vertical by approximately 10 degrees and large splash impact negatively on entry technique,</t>
  </si>
  <si>
    <t>The starting position is excellent; indicating thorough preparation and execution,</t>
  </si>
  <si>
    <t>The approach is strong; demonstrating good control and preparation,</t>
  </si>
  <si>
    <t>The take-off is clean and well-executed; contributing positively to the flight phase,</t>
  </si>
  <si>
    <t>The flight is executed flawlessly; showcasing excellent form and technique,</t>
  </si>
  <si>
    <t>The entry is compromised due to excessive rotation and a large splash; impacting the overall quality of the dive,</t>
  </si>
  <si>
    <t>Loose posture and slight wobble at knees</t>
  </si>
  <si>
    <t xml:space="preserve"> starting position is rated as 5 due to these issues,</t>
  </si>
  <si>
    <t>Rhythm is somewhat irregular</t>
  </si>
  <si>
    <t xml:space="preserve"> approach is rated as 7 because the step count is mostly correct,</t>
  </si>
  <si>
    <t>Loose tuck and slight bending of knees indicate a lower-quality start</t>
  </si>
  <si>
    <t xml:space="preserve"> rated 5 out of 10,</t>
  </si>
  <si>
    <t>Late hurdle jump and irregular rhythm detract from efficiency</t>
  </si>
  <si>
    <t xml:space="preserve"> rated 4,5 out of 10,</t>
  </si>
  <si>
    <t>Insufficient height and late rotation initiation result in a subpar take-off</t>
  </si>
  <si>
    <t>The diver starts with a neutral posture; though knees are slightly apart and arms are not fixed; contributing to a lower-quality start,</t>
  </si>
  <si>
    <t>The approach is steady and controlled; showing good technique with a low hurdle and strong knee drive,</t>
  </si>
  <si>
    <t>The take-off is adequate in terms of height; though slightly close to the platform and with a slight lean over the vertical axis,</t>
  </si>
  <si>
    <t>The flight is mostly straight; but the diver crosses their feet upon entry and tilts their twists; affecting the quality,</t>
  </si>
  <si>
    <t>The entry is past vertical; leading to a larger splash; and the diver bends their arms and breaks their body shape upon entry,</t>
  </si>
  <si>
    <t>The diver's starting position had minor flaws such as slightly bent knees and a slight lean; resulting in a sub-score of 5,</t>
  </si>
  <si>
    <t>Despite a regular rhythm; the approach lacked precise step counts; earning a sub-score of 7,5,</t>
  </si>
  <si>
    <t>The take-off was insufficiently high and too close to the platform edge; leading to a sub-score of 6,</t>
  </si>
  <si>
    <t>The flight phase showed loose tucks and twists not aligned properly; contributing to a sub-score of 6,5,</t>
  </si>
  <si>
    <t>The entry was past vertical by approximately 10 degrees and resulted in a large splash; giving it a sub-score of 4,</t>
  </si>
  <si>
    <t>Knees slightly bent and arms not fixed; indicating slight instability and need for better posture</t>
  </si>
  <si>
    <t>Hesitation and irregular rhythm suggest a lack of confidence and control over the approach</t>
  </si>
  <si>
    <t>Insufficient height and too close to the platform imply potential loss of momentum and execution quality</t>
  </si>
  <si>
    <t>Loose tuck and bent knees negatively impact body shape and form during flight phase</t>
  </si>
  <si>
    <t>Past vertical by approximately 10Â° and medium splash size indicate good control but room for improvement in entry angle and water impact</t>
  </si>
  <si>
    <t>The diver starts with a perfect posture; showing no signs of nerves or re-adjustment,</t>
  </si>
  <si>
    <t>The diver approaches steadily with consistent rhythm and step count; maintaining a good hurdle,</t>
  </si>
  <si>
    <t>The diver achieves sufficient height and initiates the take-off at an appropriate distance from the platform,</t>
  </si>
  <si>
    <t>The diver maintains a straight tuck position with minor knee separation; though over-rotated by approximately 10Â° and entered past vertical by about 10Â°,</t>
  </si>
  <si>
    <t>The diver enters the water with feet together; but over-rotated by approximately 10Â° and entered past vertical by about 10Â°,</t>
  </si>
  <si>
    <t>The starting position has room for improvement with slightly bent knees and visible nerves</t>
  </si>
  <si>
    <t xml:space="preserve"> sub-score: 5</t>
  </si>
  <si>
    <t>The approach shows regular rhythm and step count but lacks consistency due to hesitation at the hurdle</t>
  </si>
  <si>
    <t xml:space="preserve"> sub-score: 6</t>
  </si>
  <si>
    <t>The take-off is insufficiently high and too close to the platform edge</t>
  </si>
  <si>
    <t>Knees slightly separated with visible nerves</t>
  </si>
  <si>
    <t xml:space="preserve"> over-rotation present but posture still competent,</t>
  </si>
  <si>
    <t>Late hurdle and lateral drift</t>
  </si>
  <si>
    <t xml:space="preserve"> approach shows effort but lacks rhythm,</t>
  </si>
  <si>
    <t>The diver starts with a stable position but has noticeable knee separation which affects the initial stability,</t>
  </si>
  <si>
    <t>The approach is steady and controlled with good form and minimal deviations from perfection,</t>
  </si>
  <si>
    <t>The take-off is executed with sufficient height and proper alignment; showing good technique,</t>
  </si>
  <si>
    <t>The flight demonstrates competent execution with minor deviations in tuck position and twist alignment,</t>
  </si>
  <si>
    <t>The entry is clean with a medium splash size; though there is a notable past-vertical rotation,</t>
  </si>
  <si>
    <t>Knees slightly bent and arms not fixed; indicating slight imbalance and re-adjustment</t>
  </si>
  <si>
    <t>Hesitation and irregular rhythm suggest lack of confidence and control</t>
  </si>
  <si>
    <t>Insufficient height and too close to platform affect initial momentum</t>
  </si>
  <si>
    <t>Loose tuck and bent knees compromise aerodynamic efficiency</t>
  </si>
  <si>
    <t>Past vertical over-rotation and medium splash indicate deviation from ideal form</t>
  </si>
  <si>
    <t>The starting position is excellent with a neutral posture and no visible nerves; earning a sub-score of 10,</t>
  </si>
  <si>
    <t>The approach is strong with consistent rhythm and a well-executed hurdle; receiving a sub-score of 9,5,</t>
  </si>
  <si>
    <t>The take-off is solid with sufficient height and a stable press position; scoring 8,5,</t>
  </si>
  <si>
    <t>The flight is competent with some minor deviations from the longitudinal axis; resulting in a sub-score of 7,5,</t>
  </si>
  <si>
    <t>The entry is clean with a medium-sized splash and feet together; earning an 8,</t>
  </si>
  <si>
    <t>Knees slightly bent; shoulders not fully back; sub-score of 5 due to poor posture and knees apart in tuck position</t>
  </si>
  <si>
    <t>Regular rhythm and step count</t>
  </si>
  <si>
    <t xml:space="preserve"> sub-score of 4 due to late hurdle jump</t>
  </si>
  <si>
    <t>Insufficient height from platform</t>
  </si>
  <si>
    <t xml:space="preserve"> sub-score of 3 due to insufficient height</t>
  </si>
  <si>
    <t>Knees slightly bent upon take-off; arms not fixed; knees apart; hands not on shins - Sub-score: 5</t>
  </si>
  <si>
    <t>Regular rhythm and step count; hesitation at the hurdle - Late hurdle jump - Sub-score: 4,5</t>
  </si>
  <si>
    <t>Insufficient height from platform; too close to platform; off-vertical lean - Sub-score: 6</t>
  </si>
  <si>
    <t>Loose tuck (knees apart); twists not on longitudinal axis - Sub-score: 7</t>
  </si>
  <si>
    <t>Past vertical by ~10Â°; large splash - Sub-score: 3</t>
  </si>
  <si>
    <t>Minor knee separation and slight re-adjustment indicate a need for improvement but maintain stability,</t>
  </si>
  <si>
    <t>Irregular rhythm impacts initial momentum but overall control is present,</t>
  </si>
  <si>
    <t>Insufficient height and proximity to the platform affect the initial launch,</t>
  </si>
  <si>
    <t>Loose tuck and bent knees in pike position show flexibility issues but maintain body integrity,</t>
  </si>
  <si>
    <t>Clean entry with feet together and minimal splash indicates strong execution,</t>
  </si>
  <si>
    <t>Loose starting position with slight bending of knees indicates a need for better stability at the beginning of the dive,</t>
  </si>
  <si>
    <t>Consistent rhythm and hurdle drive contribute positively to the approach phase,</t>
  </si>
  <si>
    <t>Insufficient height and proximity to platform edge suggest room for improvement in this phase,</t>
  </si>
  <si>
    <t>Loose tuck and slight tilt in twists detract from the overall execution quality,</t>
  </si>
  <si>
    <t>Significant over-rotation and large splash impact negatively on the entry phase,</t>
  </si>
  <si>
    <t>Moderate starting position with minor defects like loose tuck and rounded shoulders</t>
  </si>
  <si>
    <t xml:space="preserve"> sub-score of 6,5</t>
  </si>
  <si>
    <t xml:space="preserve"> sub-score of 8,0</t>
  </si>
  <si>
    <t>Neutral posture with controlled movements; slight bend in knees; no visible nerves or re-adjustment, Arms fixed and in position,</t>
  </si>
  <si>
    <t>Steady rhythm and step count approaching the platform; minimal hesitation or balk; regular step count,</t>
  </si>
  <si>
    <t>Sufficient height achieved; initiate take-off at a reasonable distance from the platform; slight over-rotation past vertical; moderate splash size,</t>
  </si>
  <si>
    <t>Maintains tuck position with knees close together; twists aligned along the longitudinal axis; loose tuck; minor deviation in twists,</t>
  </si>
  <si>
    <t>Past vertical (over-rotated) by approximately 10 degrees</t>
  </si>
  <si>
    <t>Knees slightly bent upon take-off; arms not fixed; minor deviation from ideal starting position</t>
  </si>
  <si>
    <t>Regular rhythm with consistent step count; low hurdle but strong knee drive; minor lateral drift present</t>
  </si>
  <si>
    <t>Insufficient height from platform; too close to platform; off-vertical lean observed</t>
  </si>
  <si>
    <t>Loose tuck (knees apart); twists not on longitudinal axis; multiple small flaws affect execution quality</t>
  </si>
  <si>
    <t>Past vertical by approximately 10 degrees; large splash; significant over-rotation leads to poor entry performance</t>
  </si>
  <si>
    <t>Minor flaws in starting position due to slight knee bend and visible nerves</t>
  </si>
  <si>
    <t xml:space="preserve"> sub-score of 5</t>
  </si>
  <si>
    <t>Good rhythm and consistency in steps</t>
  </si>
  <si>
    <t xml:space="preserve"> sub-score of 8</t>
  </si>
  <si>
    <t>Insufficient height and proximity to platform edge</t>
  </si>
  <si>
    <t>The starting position is excellent; demonstrating stability and readiness for the dive,</t>
  </si>
  <si>
    <t>The approach is smooth and well-executed; contributing to a high-quality start,</t>
  </si>
  <si>
    <t>The take-off is strong and properly aligned; ensuring a successful launch,</t>
  </si>
  <si>
    <t>The flight is mostly straight with minor deviations; resulting in a very good execution,</t>
  </si>
  <si>
    <t>The entry is clean with feet together; though a slight bend in the knees impacts the final score,</t>
  </si>
  <si>
    <t>Minor flaws in posture and slight bend in knees; indicating need for better preparation,</t>
  </si>
  <si>
    <t>Good rhythm overall; though irregularity suggests hesitation,</t>
  </si>
  <si>
    <t>Achieves necessary height but has slight off-vertical lean,</t>
  </si>
  <si>
    <t>Maintains straight position but loose tuck and non-pointed toes introduce minor execution flaws,</t>
  </si>
  <si>
    <t>Past vertical by about 10 degrees; resulting in medium splash size,</t>
  </si>
  <si>
    <t>Satisfactory start with minor alignment issues</t>
  </si>
  <si>
    <t>Competent approach with irregular rhythm and lateral drift</t>
  </si>
  <si>
    <t>Insufficient height and proximity to platform affect take-off quality</t>
  </si>
  <si>
    <t>Good technique marred by loose tucking and off-axis twists</t>
  </si>
  <si>
    <t>Clean entry with slight over-rotation impacting final score</t>
  </si>
  <si>
    <t>The approach is flawless with consistent rhythm and effective hurdle,</t>
  </si>
  <si>
    <t>The take-off is executed perfectly with sufficient height and distance from the platform,</t>
  </si>
  <si>
    <t>The flight is strong overall; though there is a slight tilt in the twists due to over-rotation,</t>
  </si>
  <si>
    <t>The entry is solid with a medium splash size and feet together; but there is a notable over-rotation past vertical,</t>
  </si>
  <si>
    <t>The approach is smooth with consistent step counts and good form; also scoring a full 10,</t>
  </si>
  <si>
    <t>The take-off is solid with sufficient height and prompt initiation of rotation; receiving a score of 9,</t>
  </si>
  <si>
    <t>The flight is mostly controlled with a tuck position and pointy body shape; but there's a slight deviation in the tuck and a slight tilt in the twist; resulting in a score of 8,</t>
  </si>
  <si>
    <t>The entry is clean with a past-vertical lean and medium splash; earning a score of 7,</t>
  </si>
  <si>
    <t>The approach is flawless with consistent rhythm and good knee drive,</t>
  </si>
  <si>
    <t>The take-off is executed with sufficient height and proper distance from the platform,</t>
  </si>
  <si>
    <t>The flight is strong overall; though there is minor over-rotation past vertical,</t>
  </si>
  <si>
    <t>The entry is clean with a medium splash size; though the feet are not perfectly together,</t>
  </si>
  <si>
    <t>Satisfactory start with minor issues in posture and nerve tension</t>
  </si>
  <si>
    <t>Competent approach with irregular rhythm and lateral drift indicating hesitance</t>
  </si>
  <si>
    <t>Weak take-off with insufficient height and proximity to the platform</t>
  </si>
  <si>
    <t>Poor flight with loose tuck and twists not aligned on the longitudinal axis</t>
  </si>
  <si>
    <t>Unjudgable entry due to over-rotation and large splash</t>
  </si>
  <si>
    <t>Slight bend in knees and loose tuck indicate room for improvement in starting position; yet maintain acceptable height,</t>
  </si>
  <si>
    <t>Consistent rhythm and hurdle drive reflect competent approach phase,</t>
  </si>
  <si>
    <t>Insufficient height and proximity to edge highlight the need for greater verticality at take-off,</t>
  </si>
  <si>
    <t>Loose tuck and misaligned twists impact flight quality; though body shape remains intact,</t>
  </si>
  <si>
    <t>Past vertical and large splash demonstrate notable flaws in entry technique,</t>
  </si>
  <si>
    <t>The diver starts with a neutral posture and slight bend in the knees; which contributes to a solid foundation for the dive,</t>
  </si>
  <si>
    <t>The approach is smooth and rhythmic; with a well-executed hurdle and low knee drive,</t>
  </si>
  <si>
    <t>The take-off is strong; achieving sufficient height and initiating at an appropriate distance from the platform,</t>
  </si>
  <si>
    <t>The flight demonstrates good form with a straight body and slight bend in the knees; though some over-rotation is present,</t>
  </si>
  <si>
    <t>The entry is clean; with feet together and a medium splash size; contributing positively to the overall quality of the dive,</t>
  </si>
  <si>
    <t>Knees slightly bent; arms not fixed; presence of visible nerves and re-adjustment</t>
  </si>
  <si>
    <t>Hesitation and irregular rhythm</t>
  </si>
  <si>
    <t xml:space="preserve"> lack of confidence and control</t>
  </si>
  <si>
    <t xml:space="preserve"> poor initial launch</t>
  </si>
  <si>
    <t>Knees slightly bent upon take-off; body not perfectly vertical; knees apart in tuck position; over-rotated past vertical by ~10Â°</t>
  </si>
  <si>
    <t>Regular rhythm with consistent step count; low hurdle but adequate knee drive; slight lateral drift during approach</t>
  </si>
  <si>
    <t>Insufficient height from platform; too close to platform edge; off-vertical lean at take-off</t>
  </si>
  <si>
    <t>Loose tuck (knees apart); twists not on longitudinal axis (tilt)</t>
  </si>
  <si>
    <t>Past vertical (over-rotated) - approximately 20Â°; splash size is medium; past vertical (over-rotated) - approximately 20Â°</t>
  </si>
  <si>
    <t>Minor flaws in posture and slight bending of knees indicate a starting position score of 2,5</t>
  </si>
  <si>
    <t>Irregular rhythm and weak approach form result in an approach score of 3,0</t>
  </si>
  <si>
    <t>Insufficient height and proximity to the platform contribute to a take-off score of 4,0</t>
  </si>
  <si>
    <t>Loose tuck and bent knees during flight phase lead to a flight score of 6,0</t>
  </si>
  <si>
    <t>Over-rotation past vertical and large splash impact result in an entry score of 7,0</t>
  </si>
  <si>
    <t>Irregular rhythm and lateral drift observed</t>
  </si>
  <si>
    <t xml:space="preserve"> sub-score of 4,</t>
  </si>
  <si>
    <t>Loose tuck and slight bend in knees indicate a need for better posture at take-off, The diver could improve stability before entering the air,</t>
  </si>
  <si>
    <t>Rhythm and hurdle drive are adequate; showing competence in approach technique,</t>
  </si>
  <si>
    <t>Insufficient height and off-vertical lean suggest that the diver needs to jump higher and maintain a more vertical position,</t>
  </si>
  <si>
    <t>Loose tuck and tilted twists impact the dive's fluidity, Better tuck and alignment would enhance the flight phase,</t>
  </si>
  <si>
    <t>Over-rotation and large splash are significant flaws; affecting the entry's precision and aesthetics,</t>
  </si>
  <si>
    <t>The diver exhibits instability and poor posture at the start; contributing to a lower sub-score,</t>
  </si>
  <si>
    <t>Irregular rhythm and lateral drift reduce the score further,</t>
  </si>
  <si>
    <t>Loose tuck and over-rotation result in a mid-range sub-score,</t>
  </si>
  <si>
    <t>Significant over-rotation and a medium-sized splash bring down the final entry score,</t>
  </si>
  <si>
    <t>The starting position is excellent; showing a stable and poised stance without any visible nerves or adjustments,</t>
  </si>
  <si>
    <t>The approach is smooth and rhythmic; with a strong knee drive and consistent step count,</t>
  </si>
  <si>
    <t>The take-off is powerful and high; setting a strong foundation for the flight,</t>
  </si>
  <si>
    <t>The flight is competent with a pike position and decent rotational control; although there is slight over-rotation and tilting,</t>
  </si>
  <si>
    <t>The entry is satisfactory with feet together; but a small splash indicates room for improvement,</t>
  </si>
  <si>
    <t>Minor alignment issues and knee separation result in a score of 5 out of 10,</t>
  </si>
  <si>
    <t>Strong rhythm and step count contribute to an 8 out of 10,</t>
  </si>
  <si>
    <t>Insufficient height and proximity to the platform edge bring this down to 6,</t>
  </si>
  <si>
    <t>Loose tuck and twists not perfectly aligned lead to a 7,</t>
  </si>
  <si>
    <t>Over-rotation results in a high vertical entry; earning a 9,</t>
  </si>
  <si>
    <t>The diver shows slight bending of the knees and a lack of stillness; contributing to a lower score,</t>
  </si>
  <si>
    <t>Irregular rhythm and weak hurdle indicate a need for more consistent approach technique,</t>
  </si>
  <si>
    <t>Insufficient height and proximity to the platform suggest a need for greater vertical distance at take-off,</t>
  </si>
  <si>
    <t>Loose tucking and misaligned twists result in a lower execution quality,</t>
  </si>
  <si>
    <t>Over-rotation past the vertical axis contributes to a higher entry point into the water; though the splash remains clean,</t>
  </si>
  <si>
    <t>Neutral posture with slight bend in knees</t>
  </si>
  <si>
    <t xml:space="preserve"> minor deviation from perfect alignment,</t>
  </si>
  <si>
    <t xml:space="preserve"> minimal lateral drift,</t>
  </si>
  <si>
    <t>Strong leg drive and prompt rotation</t>
  </si>
  <si>
    <t>Hesitation at the start with irregular rhythm</t>
  </si>
  <si>
    <t xml:space="preserve"> lateral drift on approach</t>
  </si>
  <si>
    <t>Insufficient height from take-off</t>
  </si>
  <si>
    <t xml:space="preserve"> too close to platform</t>
  </si>
  <si>
    <t>Stable start with good posture; slight room for improvement in rigidity</t>
  </si>
  <si>
    <t>Consistent rhythm and hurdle clearance; minor lateral drift</t>
  </si>
  <si>
    <t>Sufficient height and vertical alignment; potential for higher height</t>
  </si>
  <si>
    <t>Controlled rotation with slight tilt; good body shape</t>
  </si>
  <si>
    <t>Clean entry with medium splash; tight foot closure needed</t>
  </si>
  <si>
    <t>The starting position is excellent with a neutral posture and no visible nerves or re-adjustment,</t>
  </si>
  <si>
    <t>The approach is excellent with a steady rhythm; focused attention; and strong knee drive,</t>
  </si>
  <si>
    <t>The take-off is flawless with sufficient height and clean initiation of rotation,</t>
  </si>
  <si>
    <t>The flight is very good with a streamlined body shape and consistent twists; though there is slight deviation from the ideal alignment,</t>
  </si>
  <si>
    <t>The entry is very good with over-rotation and a medium splash size; but the foot positioning and body break at entry could be improved,</t>
  </si>
  <si>
    <t>Loose tuck and slight bend in knees indicate a less than ideal start; scoring 5,</t>
  </si>
  <si>
    <t>Regular rhythm and step count show competent preparation; scoring 6,</t>
  </si>
  <si>
    <t>Insufficient height and proximity to the platform result in a score of 4,</t>
  </si>
  <si>
    <t>Loose tuck and twists not on the longitudinal axis contribute to a score of 7,</t>
  </si>
  <si>
    <t>Over-rotation past vertical and large splash lead to a score of 3,</t>
  </si>
  <si>
    <t>The diver had some issues with maintaining a perfect starting position due to slightly bent knees and an imperfect vertical alignment,</t>
  </si>
  <si>
    <t>The approach was steady but showed minor inconsistencies in step count and a slight hesitation at the end,</t>
  </si>
  <si>
    <t>There was insufficient height achieved during the take-off; and the diver was too close to the platform edge which impacted the initial phase of the dive,</t>
  </si>
  <si>
    <t>The flight phase suffered from loose tucking and bent knees in the pike position; affecting the overall form,</t>
  </si>
  <si>
    <t>The entry was past vertical by about 10 degrees and resulted in a large splash; indicating over-rotation,</t>
  </si>
  <si>
    <t>Regular rhythm with consistent step count; minimal hesitation or balk; slight lateral drift</t>
  </si>
  <si>
    <t>Past vertical (over-rotated) - approximately 20Â°</t>
  </si>
  <si>
    <t>The diver starts with a neutral posture and controlled approach; earning a score of 8 due to minimal deviation from optimal form,</t>
  </si>
  <si>
    <t>The diver maintains a regular rhythm and effective knee drive; contributing to a score of 9 for consistent technique,</t>
  </si>
  <si>
    <t>The diver achieves sufficient height but has a slight lean; resulting in a score of 7,5 that reflects the need for a more vertical take-off,</t>
  </si>
  <si>
    <t>The diver maintains a pike position and executes twists along the longitudinal axis; scoring 8,5 for good control despite minor deviations,</t>
  </si>
  <si>
    <t>The diver enters past the vertical axis and creates a medium splash; leading to a score of 6,5 for acceptable entry technique,</t>
  </si>
  <si>
    <t>Moderate starting position with slight bending of knees and alignment issues</t>
  </si>
  <si>
    <t>Good approach with consistent rhythm and controlled hurdle; though there's some hesitation</t>
  </si>
  <si>
    <t>Acceptable take-off with insufficient height and proximity to the platform; causing an off-vertical lean and late rotation initiation</t>
  </si>
  <si>
    <t>Flawed flight with loose tucks and twists not on the longitudinal axis</t>
  </si>
  <si>
    <t>Significant execution flaws leading to over-rotation past vertical and a large entry splash</t>
  </si>
  <si>
    <t>The starting position is mostly good with minor room for improvement in posture,</t>
  </si>
  <si>
    <t>The approach is strong with regular rhythm and effective hurdle,</t>
  </si>
  <si>
    <t>The take-off is solid but slightly low in height and close to the platform,</t>
  </si>
  <si>
    <t>The flight has issues with tuck position and twist alignment; leading to a moderate score,</t>
  </si>
  <si>
    <t>The entry is clean but over-rotated; resulting in a mid-range score,</t>
  </si>
  <si>
    <t>The diver starts with knees slightly bent and arms not fixed; leading to a score of 5 due to minor flaws in positioning,</t>
  </si>
  <si>
    <t>The approach is regular with a consistent step count; but there is lateral drift affecting the overall quality; resulting in a score of 4,5,</t>
  </si>
  <si>
    <t>The take-off is insufficiently high and too close to the platform; causing an off-vertical lean; which results in a score of 3,5,</t>
  </si>
  <si>
    <t>The diver maintains a loose tuck and twists not on the longitudinal axis; scoring 6 for maintaining form during the flight phase,</t>
  </si>
  <si>
    <t>The entry is past vertical by approximately 10 degrees; resulting in a large splash; earning a score of 7 for a solid entry,</t>
  </si>
  <si>
    <t>The diver starts in a stable position with good posture and controlled movements; contributing positively to the score,</t>
  </si>
  <si>
    <t>The approach is steady with a few minor lapses in concentration; impacting the overall quality,</t>
  </si>
  <si>
    <t>The take-off is effective with good height but lacks full verticality and proper rotation; affecting the execution,</t>
  </si>
  <si>
    <t>The flight demonstrates good control with minor issues in symmetry and twist alignment; maintaining a decent level of difficulty,</t>
  </si>
  <si>
    <t>The entry is clean with a medium splash; showing good technique despite the over-rotation,</t>
  </si>
  <si>
    <t>Good posture with minimal re-adjustment</t>
  </si>
  <si>
    <t xml:space="preserve"> sub-score justified as 8</t>
  </si>
  <si>
    <t>Solid coordination and rhythm</t>
  </si>
  <si>
    <t xml:space="preserve"> sub-score justified as 9</t>
  </si>
  <si>
    <t>Effective leg drive and alignment</t>
  </si>
  <si>
    <t>The starting position is excellent; showing stability and proper posture without any visible nerves or adjustments (score: 10),</t>
  </si>
  <si>
    <t>The approach is very good; with a regular rhythm; consistent step count; and a strong press off the platform (score: 9,5),</t>
  </si>
  <si>
    <t>The take-off is strong; demonstrating sufficient height and powerful leg drive for a clean launch (score: 8,5),</t>
  </si>
  <si>
    <t>The flight is competent; with minor deviations from ideal form such as a loose tuck and slight over-rotation (score: 7,5),</t>
  </si>
  <si>
    <t>The entry is satisfactory; with a moderate degree of over-rotation leading to a larger splash (score: 6,5),</t>
  </si>
  <si>
    <t>The take-off is executed with good verticality and sufficient height,</t>
  </si>
  <si>
    <t>The flight is mostly accurate with minor deviations from the ideal twist pattern,</t>
  </si>
  <si>
    <t>The entry is solid with a medium splash size and feet together; though there is a slight bend at the hips,</t>
  </si>
  <si>
    <t>Knees slightly bent upon take-off; poor posture due to bent knees and slight lean,</t>
  </si>
  <si>
    <t>Consistent rhythm with slight hesitation at the end of approach; irregular step count</t>
  </si>
  <si>
    <t>Insufficient height from platform; too close to platform edge; over-rotated past vertical by ~10Â°</t>
  </si>
  <si>
    <t>Loose tuck; knees apart; twists tilted</t>
  </si>
  <si>
    <t>Past vertical; large splash indicating significant flaw in entry technique</t>
  </si>
  <si>
    <t>Knees slightly bent indicating a lack of stillness</t>
  </si>
  <si>
    <t xml:space="preserve"> visible nerves and re-adjustment suggest suboptimal starting position,</t>
  </si>
  <si>
    <t>Hesitation and irregular rhythm affecting the consistency of the approach steps,</t>
  </si>
  <si>
    <t>Insufficient height and proximity to the platform impacting initial stability,</t>
  </si>
  <si>
    <t>Loose tuck and bent knees compromising body shape and efficiency during flight,</t>
  </si>
  <si>
    <t>The diver has minor issues with knee alignment and posture stability; resulting in a sub-score of 6,5,</t>
  </si>
  <si>
    <t>The approach is steady but lacks consistency in step count; earning a sub-score of 7,0,</t>
  </si>
  <si>
    <t>The take-off is insufficiently high; with the diver too close to the platform; giving a sub-score of 4,5,</t>
  </si>
  <si>
    <t>The flight phase shows controlled execution with slight tilting in the twists; justifying a sub-score of 8,0,</t>
  </si>
  <si>
    <t>The entry is clean but over-rotated; leading to a sub-score of 6,0,</t>
  </si>
  <si>
    <t>Suboptimal posture and slight bending of knees</t>
  </si>
  <si>
    <t xml:space="preserve"> arms fixed but shoulders rounded</t>
  </si>
  <si>
    <t>Irregular rhythm and lateral drift during approach phase</t>
  </si>
  <si>
    <t>Insufficient height and too close to platform edge</t>
  </si>
  <si>
    <t>Loose tuck and bent knees indicating lack of precision</t>
  </si>
  <si>
    <t>The starting position is excellent; with a stable posture and no visible nerves or adjustments,</t>
  </si>
  <si>
    <t>The approach is very good; with a regular rhythm; strong hurdle; and coordinated press,</t>
  </si>
  <si>
    <t>The take-off is strong; with effective leg drive and proper alignment,</t>
  </si>
  <si>
    <t>The flight is good; with minor deviations from perfect form due to over-rotation,</t>
  </si>
  <si>
    <t>The entry is satisfactory; with a medium splash and some issues in body positioning and foot placement,</t>
  </si>
  <si>
    <t>The starting position is excellent with a neutral posture and no visible nerves or adjustments,</t>
  </si>
  <si>
    <t>The approach is smooth and well-executed with strong knee drive and good form,</t>
  </si>
  <si>
    <t>The take-off is executed at an appropriate angle and initiates precisely,</t>
  </si>
  <si>
    <t>The flight shows good control with minor deviations in the tuck position and slight over-rotation,</t>
  </si>
  <si>
    <t>The entry has a significant splash due to over-rotation past vertical,</t>
  </si>
  <si>
    <t>The diver's starting position was adequate with minor issues in posture and knee alignment</t>
  </si>
  <si>
    <t>The approach showed good form with consistent steps and effective hurdle drive</t>
  </si>
  <si>
    <t>The take-off demonstrated sufficient height and strong leg drive; though there was a slight off-vertical lean</t>
  </si>
  <si>
    <t>The flight phase had noticeable flaws such as a loose tuck and tilted twists</t>
  </si>
  <si>
    <t>The entry was executed cleanly with a solid splash and feet together; earning high marks</t>
  </si>
  <si>
    <t>Knees slightly bent upon take-off indicate a need for better posture at the start,</t>
  </si>
  <si>
    <t>Irregular rhythm and low hurdle suggest room for improvement in timing and height,</t>
  </si>
  <si>
    <t>Insufficient height and proximity to the edge highlight issues with the initial launch,</t>
  </si>
  <si>
    <t>Loose tuck and misaligned twists show areas needing refinement,</t>
  </si>
  <si>
    <t>Past vertical indicates over-rotation; but the entry itself is clean without major flaws,</t>
  </si>
  <si>
    <t>Minor flaws in posture and arm fixation; but overall acceptable starting position,</t>
  </si>
  <si>
    <t>Irregular rhythm and weak hurdle indicate hesitation and lack of confidence in approach,</t>
  </si>
  <si>
    <t>Insufficient height and proximity to platform suggest poor take-off technique,</t>
  </si>
  <si>
    <t>Loose tuck; bent knees; and twists off-axis indicate poor flight execution,</t>
  </si>
  <si>
    <t>Past vertical by 10 degrees and bent arms/feet at entry suggest over-rotation and lack of control,</t>
  </si>
  <si>
    <t>Knees slightly bent upon take-off and poor posture indicate lower quality,</t>
  </si>
  <si>
    <t>Irregular rhythm and weak hurdle contribute to a less optimal approach,</t>
  </si>
  <si>
    <t>Insufficient height and proximity to the platform negatively impact the take-off,</t>
  </si>
  <si>
    <t>Loose tuck and bent knees in the pike position suggest suboptimal flight execution,</t>
  </si>
  <si>
    <t>Past vertical by approximately 10 degrees over-rotation results in a high-quality entry,</t>
  </si>
  <si>
    <t>The diver had some minor issues with knee alignment and wobble at take-off; but overall maintained control,</t>
  </si>
  <si>
    <t>The approach showed good rhythm and balance; though it lacked consistency in steps,</t>
  </si>
  <si>
    <t>The take-off was insufficiently high and close to the platform edge; leading to an off-vertical lean,</t>
  </si>
  <si>
    <t>The flight phase displayed loose tucking and misaligned twists; impacting the execution quality,</t>
  </si>
  <si>
    <t>The entry was past vertical by about 10 degrees; causing a larger splash than ideal,</t>
  </si>
  <si>
    <t>Stable and controlled start with minor bend in knees</t>
  </si>
  <si>
    <t xml:space="preserve"> high score due to lack of major flaws,</t>
  </si>
  <si>
    <t>Smooth and rhythmic approach with regular steps and good form</t>
  </si>
  <si>
    <t xml:space="preserve"> lower score due to minor deviations from perfection,</t>
  </si>
  <si>
    <t>Strong take-off with sufficient height and level launch</t>
  </si>
  <si>
    <t>Moderate starting position with loose tuck and bent knees</t>
  </si>
  <si>
    <t xml:space="preserve"> sub-score justified as 6,</t>
  </si>
  <si>
    <t>Approach was steady but showed hesitation</t>
  </si>
  <si>
    <t xml:space="preserve"> sub-score justified as 5,</t>
  </si>
  <si>
    <t>Take-off had insufficient height and leaned forward</t>
  </si>
  <si>
    <t>The diver starts with a stable posture; though the knee separation impacts the initial stability,</t>
  </si>
  <si>
    <t>The approach is steady and controlled; with minor lateral drift,</t>
  </si>
  <si>
    <t>The take-off has sufficient height but suffers from an off-vertical lean,</t>
  </si>
  <si>
    <t>The flight demonstrates a pike position with some under-rotation and tilt,</t>
  </si>
  <si>
    <t>The entry is clean with a moderate splash; though the bend in the arms affects the entry's fluidity,</t>
  </si>
  <si>
    <t>Knees slightly bent upon take-off; arms not fixed; minor deviations from ideal starting position</t>
  </si>
  <si>
    <t>Regular rhythm; consistent step count; well-driven hurdle; slight hesitation noted</t>
  </si>
  <si>
    <t>Insufficient height; too close to platform; notable deviation from optimal take-off technique</t>
  </si>
  <si>
    <t>Loose tuck; bent knees in pike position; technical flaws observed</t>
  </si>
  <si>
    <t>Past vertical by approximately 10Â°; medium splash size; satisfactory entry execution</t>
  </si>
  <si>
    <t>Minor flaws in starting position with slight bending of knees and lack of stillness</t>
  </si>
  <si>
    <t>Irregular rhythm and weak hurdle indicating hesitation and instability</t>
  </si>
  <si>
    <t>Insufficient height and proximity to platform suggesting poor take-off execution</t>
  </si>
  <si>
    <t>Loose tuck and twists not aligned on the longitudinal axis</t>
  </si>
  <si>
    <t>Past vertical by approximately 10 degrees over-rotation indicating excessive rotation past vertical</t>
  </si>
  <si>
    <t>The diver starts with a decent posture but lacks full extension in the knees and proper arm fixation,</t>
  </si>
  <si>
    <t>The approach is steady and consistent; showing good control,</t>
  </si>
  <si>
    <t>The take-off is adequate with sufficient height and angle; though there's room for better leg drive,</t>
  </si>
  <si>
    <t>The flight phase includes some technical flaws such as under-rotation and lack of pointed feet; impacting the form,</t>
  </si>
  <si>
    <t>The entry is significantly over-rotated; leading to a large splash and poor entry technique,</t>
  </si>
  <si>
    <t>Knees slightly bent; posture not fully still; poor posture with rounded shoulders</t>
  </si>
  <si>
    <t>Regular rhythm and step count; consistent approach to platform; irregular rhythm or step count; weak hurdle and low knee drive</t>
  </si>
  <si>
    <t xml:space="preserve"> too close to the platform</t>
  </si>
  <si>
    <t>Loose tuck (knees apart); twists not on longitudinal axis (tilt); loose tuck (knees apart); twists not aligned</t>
  </si>
  <si>
    <t>The starting position is excellent; showing no wobble or poor posture, The diver is in a stable position with knees slightly bent and arms fixed, No defects observed,</t>
  </si>
  <si>
    <t>The approach is very good; with a regular rhythm and step count, The diver has a strong hurdle and knee drive, The press is well-coordinated and the diver maintains balance throughout the approach, Minor deviations from perfection result in a high score,</t>
  </si>
  <si>
    <t>The take-off is solid; demonstrating sufficient height and proper alignment with the platform, However; the diver initiates rotation promptly and achieves an over-rotation of approximately 10 degrees; resulting in a lower score,</t>
  </si>
  <si>
    <t>The flight phase includes several small flaws such as a loose tuck; bent knees in the pike position; and toes not pointed, These flaws contribute to a satisfactory score,</t>
  </si>
  <si>
    <t>The entry is satisfactory; with a past vertical indicating some deviation from the intended trajectory, The splash size is medium; contributing to a lower score,</t>
  </si>
  <si>
    <t>Minor flaws in posture and slight bending of knees during take-off,</t>
  </si>
  <si>
    <t>Irregular rhythm and hesitation during approach,</t>
  </si>
  <si>
    <t>Insufficient height and proximity to the platform during take-off,</t>
  </si>
  <si>
    <t>Loose tuck and twists not on the longitudinal axis during flight,</t>
  </si>
  <si>
    <t>Past vertical by approximately 10Â°; but relatively clean entry,</t>
  </si>
  <si>
    <t>The approach is steady and well-executed; maintaining a straight line towards the platform,</t>
  </si>
  <si>
    <t>The take-off is high and vertical; demonstrating good height and prompt initiation of rotation,</t>
  </si>
  <si>
    <t>The flight phase is very good with symmetrical body shape and alignment along the longitudinal axis; except for slight over-rotation,</t>
  </si>
  <si>
    <t>The entry is past vertical due to over-rotation; affecting the overall quality but still showing a clean finish,</t>
  </si>
  <si>
    <t>The diver shows minor wobble and slight knee bend at take-off; indicating room for improvement but maintaining control,</t>
  </si>
  <si>
    <t>The diver demonstrates consistent rhythm and proper hurdle driving; contributing positively to the score,</t>
  </si>
  <si>
    <t>Despite insufficient height; the diver maintains good posture during take-off,</t>
  </si>
  <si>
    <t>The diver exhibits loose tuck and tilted twists; affecting aerodynamics and form,</t>
  </si>
  <si>
    <t>The diver enters past vertical; resulting in a larger splash impacting the final score,</t>
  </si>
  <si>
    <t>Significant bending in the knees and visible nerves/re-adjustment indicate a lower quality start,</t>
  </si>
  <si>
    <t>Irregular rhythm or step count and weak hurdle affect the overall execution,</t>
  </si>
  <si>
    <t>Insufficient height and proximity to the platform result in a lower take-off quality,</t>
  </si>
  <si>
    <t>Loose tuck and bent knees compromise the flight phase's quality,</t>
  </si>
  <si>
    <t>Over-rotation past the vertical axis and small splash size indicate a controlled but not optimal entry,</t>
  </si>
  <si>
    <t>Posture and arm flexibility could improve</t>
  </si>
  <si>
    <t xml:space="preserve"> some form elements present</t>
  </si>
  <si>
    <t>Irregular rhythm and lateral drift negatively impact approach execution</t>
  </si>
  <si>
    <t>Insufficient height and proximity to platform edge affect take-off quality</t>
  </si>
  <si>
    <t>Loose tuck and bent knees compromise flight shape and control</t>
  </si>
  <si>
    <t>Knees slightly bent upon take-off indicate a need for more stillness</t>
  </si>
  <si>
    <t xml:space="preserve"> poor posture suggests room for improvement in form,</t>
  </si>
  <si>
    <t>Irregular rhythm and hesitations during the approach lead to a weak hurdle and knee drive; affecting initial momentum,</t>
  </si>
  <si>
    <t>Insufficient height and proximity to the platform suggest a need for greater vertical clearance from the board,</t>
  </si>
  <si>
    <t>Loose tucking and bent knees in the pike position result in asymmetrical body shape and under-rotation,</t>
  </si>
  <si>
    <t>Slight wobble in posture and knees not fully straight during take-off</t>
  </si>
  <si>
    <t>Consistent rhythm with regular step count; minor hesitation at hurdle</t>
  </si>
  <si>
    <t>Insufficient height and too close to platform edge; off-vertical lean; late rotation initiation</t>
  </si>
  <si>
    <t>Loose tuck position (knees apart); twists not on longitudinal axis</t>
  </si>
  <si>
    <t>Past vertical by ~10Â°; large splash; over-rotated past vertical</t>
  </si>
  <si>
    <t>Excellent posture; knees slightly bent; arms fixed; no visible flaws</t>
  </si>
  <si>
    <t>Regular rhythm; strong hurdle; knee drive; consistent approach execution</t>
  </si>
  <si>
    <t>Sufficient height; slight hesitation at edge; minor hesitation during take-off</t>
  </si>
  <si>
    <t>Straight body shape; pointed toes; under-rotation; under-rotation affects flight quality</t>
  </si>
  <si>
    <t>Past vertical by about 5Â°; medium splash; over-rotation impacts entry quality</t>
  </si>
  <si>
    <t>The diver starts with a neutral posture and minimal knee separation; earning a sub-score of 7,0,</t>
  </si>
  <si>
    <t>A steady and controlled approach with minor lateral drift results in a sub-score of 8,0,</t>
  </si>
  <si>
    <t>Sufficient height and initiation distance contribute to a sub-score of 6,5,</t>
  </si>
  <si>
    <t>Strong rotational alignment and body shape during flight lead to a high sub-score of 9,0,</t>
  </si>
  <si>
    <t>Clean entry with a medium splash size and slightly bent knees result in a sub-score of 7,5,</t>
  </si>
  <si>
    <t>Knees slightly bent; visible nerves and re-adjustment; minor over-rotation past vertical</t>
  </si>
  <si>
    <t xml:space="preserve"> minor hesitation/balk</t>
  </si>
  <si>
    <t xml:space="preserve"> minor under-rotation</t>
  </si>
  <si>
    <t>Excellent performance with no defects,</t>
  </si>
  <si>
    <t>Strong and balanced approach,</t>
  </si>
  <si>
    <t>Solid take-off with minor over-rotation,</t>
  </si>
  <si>
    <t>Good form with slight tilt,</t>
  </si>
  <si>
    <t>Past vertical with medium splash and slight bend at the hips,</t>
  </si>
  <si>
    <t>Minor flaws in starting position due to slight knee bend and body alignment issues</t>
  </si>
  <si>
    <t>Steady approach with minimal lateral drift</t>
  </si>
  <si>
    <t xml:space="preserve"> sub-score of 7,5</t>
  </si>
  <si>
    <t>The diver demonstrates good posture but lacks stillness due to knee separation; resulting in a sub-score of 7,0,</t>
  </si>
  <si>
    <t>A steady approach with consistent steps contributes to a solid score of 8,0,</t>
  </si>
  <si>
    <t>Achieves sufficient height and proximity to the platform; contributing to a high score of 9,0,</t>
  </si>
  <si>
    <t>Maintains a tight tuck and symmetry; though under-rotation reduces the score to 8,0,</t>
  </si>
  <si>
    <t>Over-rotation past vertical and bent arms at entry result in a lower score of 6,0,</t>
  </si>
  <si>
    <t xml:space="preserve"> adequate height but room for improvement</t>
  </si>
  <si>
    <t>Solid posture with minimal wobble; arms fixed; contributing to a high starting position score,</t>
  </si>
  <si>
    <t>Consistent rhythm and step count leading up to the platform; indicating strong technique,</t>
  </si>
  <si>
    <t>Achieves sufficient height but slightly low; impacting potential for a higher score,</t>
  </si>
  <si>
    <t>Maintains a tight tuck with some room for improvement in alignment and extension,</t>
  </si>
  <si>
    <t>Past vertical by about 10 degrees; resulting in a medium splash size,</t>
  </si>
  <si>
    <t>Knees slightly bent upon take-off; body not fully still; lacking stillness and proper posture,</t>
  </si>
  <si>
    <t>Regular rhythm and step count; minimal hesitation; consistent approach pattern,</t>
  </si>
  <si>
    <t>Insufficient height; too close to platform; affecting initial momentum,</t>
  </si>
  <si>
    <t>Loose tuck; knees apart; hands not on shins; pike position with bent knees; impacting rotational efficiency,</t>
  </si>
  <si>
    <t>Past vertical by approximately 10 degrees; medium splash size; satisfactory entry technique despite rotation issues,</t>
  </si>
  <si>
    <t>Knees slightly bent; visible nerves and re-adjustment; sub-score of 2 due to slight deviation from straight,</t>
  </si>
  <si>
    <t>Hesitation at the hurdle and irregular rhythm</t>
  </si>
  <si>
    <t xml:space="preserve"> sub-score of 3 due to minor hesitation impacting approach,</t>
  </si>
  <si>
    <t xml:space="preserve"> sub-score of 4 due to lower than ideal take-off height,</t>
  </si>
  <si>
    <t>Minor flaws in posture and arm fixation result in a sub-score of 6,</t>
  </si>
  <si>
    <t>Controlled approach with some hesitation results in a sub-score of 7,</t>
  </si>
  <si>
    <t>Sufficient height achieved with slight lean results in a sub-score of 8,</t>
  </si>
  <si>
    <t>Loose tuck and asymmetrical body shape lead to a sub-score of 5,</t>
  </si>
  <si>
    <t>Over-rotated entry with large splash and poor body alignment results in a sub-score of 2,</t>
  </si>
  <si>
    <t>Knees slightly bent upon take-off and poor posture indicate a starting position with room for improvement,</t>
  </si>
  <si>
    <t>Irregular rhythm and weak hurdle suggest hesitation and instability in the approach phase,</t>
  </si>
  <si>
    <t>Insufficient height and off-vertical lean indicate issues with initial launch,</t>
  </si>
  <si>
    <t>Loose tuck and tilted twists affect the overall shape and execution quality,</t>
  </si>
  <si>
    <t>Past vertical (over-rotated) and small splash impact negatively affect the entry phase,</t>
  </si>
  <si>
    <t>The diver starts with a stable position but lacks perfect stillness due to knee separation and rounded shoulders,</t>
  </si>
  <si>
    <t>The approach is executed smoothly with a consistent rhythm; showing good control,</t>
  </si>
  <si>
    <t>The take-off has sufficient height but leans off-vertical; impacting the initial vertical alignment,</t>
  </si>
  <si>
    <t>The flight maintains a straight body with minimal twists; but the tuck is loose,</t>
  </si>
  <si>
    <t>The entry is clean with feet together; but the over-rotation affects the final presentation,</t>
  </si>
  <si>
    <t>The diver starts with a stable posture despite minor knee separation; indicating good preparation for the dive,</t>
  </si>
  <si>
    <t>The diver's approach is steady and controlled; contributing positively to the overall execution,</t>
  </si>
  <si>
    <t>The take-off is powerful and initiates at the correct distance; showcasing solid technique,</t>
  </si>
  <si>
    <t>The diver maintains a tight tuck and consistent body shape; though there is a slight tilt that affects symmetry,</t>
  </si>
  <si>
    <t>The entry is affected by over-rotation and bent arms; which detract from the dive's precision,</t>
  </si>
  <si>
    <t>Knees slightly bent with visible nerves and re-adjustment; indicating a lack of stillness and proper posture,</t>
  </si>
  <si>
    <t>Hesitation and irregular rhythm disrupt the flow leading into the take-off phase,</t>
  </si>
  <si>
    <t>Insufficient height and proximity to the platform reduce initial momentum and potential height,</t>
  </si>
  <si>
    <t>Loose tuck and bent knees during rotation compromise aerodynamic efficiency and body shape,</t>
  </si>
  <si>
    <t>Over-rotation past vertical and medium splash size reflect a suboptimal entry technique,</t>
  </si>
  <si>
    <t>The starting position could be improved with tighter knees and better arm coordination; but it is not completely wobbly,</t>
  </si>
  <si>
    <t>The approach shows good form and rhythm; contributing positively to the overall score,</t>
  </si>
  <si>
    <t>The take-off lacks sufficient height; making it difficult to achieve a higher score,</t>
  </si>
  <si>
    <t>The flight phase has several minor defects such as loose tucks and off-axis twists; impacting the execution quality,</t>
  </si>
  <si>
    <t>The entry is over-rotated past vertical and results in a large splash; significantly lowering the final score,</t>
  </si>
  <si>
    <t>Knees slightly bent upon take-off and poor posture indicated a lower starting quality,</t>
  </si>
  <si>
    <t>Irregular rhythm and lateral drift detract from the precision of the approach,</t>
  </si>
  <si>
    <t>Insufficient height and proximity to platform highlight major flaws in the take-off phase,</t>
  </si>
  <si>
    <t>Loose tuck and twists off-axis contribute to a low-quality flight phase,</t>
  </si>
  <si>
    <t>Past vertical (over-rotated) and large splash signify a failed entry,</t>
  </si>
  <si>
    <t>Slight bending of knees and rounded shoulders indicate room for improvement</t>
  </si>
  <si>
    <t xml:space="preserve"> arms fixed but posture could be better,</t>
  </si>
  <si>
    <t>Regular rhythm and step count; though hesitant at the hurdle; suggest some minor flaws in timing and confidence,</t>
  </si>
  <si>
    <t>Insufficient height and proximity to platform highlight need for more vertical clearance and distance from the board,</t>
  </si>
  <si>
    <t>Loose tuck and bent knees in pike position show deviation from optimal form; impacting overall execution quality,</t>
  </si>
  <si>
    <t>Regular rhythm and good hurdle drive contribute positively to the approach phase,</t>
  </si>
  <si>
    <t>Insufficient height and proximity to platform edge negatively impact take-off quality,</t>
  </si>
  <si>
    <t>Loose tuck and twists not aligned affect precision during flight,</t>
  </si>
  <si>
    <t>Past vertical and large splash highlight issues with entry technique,</t>
  </si>
  <si>
    <t>Stable starting position with minor knee bend; contributing to a score of 7</t>
  </si>
  <si>
    <t>Good rhythm and strong hurdle jump; rated at 8</t>
  </si>
  <si>
    <t>Sufficient height with slight lean; scored at 6,5</t>
  </si>
  <si>
    <t>Consistent body shape and controlled twists; resulting in a score of 9</t>
  </si>
  <si>
    <t>Solid entry with medium splash and crossed feet; scoring 8</t>
  </si>
  <si>
    <t>Slight bending of knees and rounded shoulders; but overall posture and arm positioning are mostly correct,</t>
  </si>
  <si>
    <t>Regular rhythm and consistent step count; minimal lateral drift; good knee drive and arm coordination,</t>
  </si>
  <si>
    <t>Insufficient height from platform and too close to the edge; off-vertical lean present,</t>
  </si>
  <si>
    <t>Loose tuck and twists not aligned on the longitudinal axis; indicating lower quality execution,</t>
  </si>
  <si>
    <t>Past vertical by approximately 10 degrees; large splash size,</t>
  </si>
  <si>
    <t xml:space="preserve"> over-rotation past vertical</t>
  </si>
  <si>
    <t>Stable posture with minor knee bend</t>
  </si>
  <si>
    <t xml:space="preserve"> slight deviation from perfect form,</t>
  </si>
  <si>
    <t>Consistent rhythm and alignment</t>
  </si>
  <si>
    <t xml:space="preserve"> minor irregularity in step count,</t>
  </si>
  <si>
    <t>Sufficient height</t>
  </si>
  <si>
    <t>Knees slightly bent; poor posture; slight re-adjustment; sub-score: 2,0</t>
  </si>
  <si>
    <t xml:space="preserve"> sub-score: 3,0</t>
  </si>
  <si>
    <t>Insufficient height; too close to platform; sub-score: 4,0</t>
  </si>
  <si>
    <t>Loose tuck; bent knees in pike position; sub-score: 6,0</t>
  </si>
  <si>
    <t>The diver shows slight bending of knees and visible nerves; indicating a lack of stillness and proper posture,</t>
  </si>
  <si>
    <t>Hesitation at the start and irregular rhythm suggest inconsistency in the approach phase,</t>
  </si>
  <si>
    <t>Insufficient height and proximity to the platform impact the initial phase of the dive,</t>
  </si>
  <si>
    <t>Loose tuck and bent knees in the pike position demonstrate a lack of control in the flight phase,</t>
  </si>
  <si>
    <t>Over-rotation past the vertical axis and resulting large splash highlight issues with entry technique,</t>
  </si>
  <si>
    <t>Knees slightly bent and posture not ideal</t>
  </si>
  <si>
    <t xml:space="preserve"> sub-score 5</t>
  </si>
  <si>
    <t>Good rhythm and hurdle drive</t>
  </si>
  <si>
    <t xml:space="preserve"> sub-score 8</t>
  </si>
  <si>
    <t>The diver starts with a balanced stance and no visible nerves; indicating a high-quality beginning,</t>
  </si>
  <si>
    <t>The diver demonstrates a steady approach with a strong knee drive; contributing positively to the score,</t>
  </si>
  <si>
    <t>The take-off is executed with sufficient height and stability; though there is room for improvement in leg extension,</t>
  </si>
  <si>
    <t>The diver maintains a decent body shape throughout the flight; but over-rotates significantly which affects the quality,</t>
  </si>
  <si>
    <t>The entry is clean with feet together and a moderate splash; showing competence but not perfection,</t>
  </si>
  <si>
    <t>Knees slightly bent and arms not fixed; leading to a lower starting score due to poor posture and re-adjustment,</t>
  </si>
  <si>
    <t>Hesitation and irregular rhythm reduce confidence and control during the approach phase,</t>
  </si>
  <si>
    <t>Insufficient height and proximity to the platform negatively impact the initial momentum,</t>
  </si>
  <si>
    <t>Loose tuck and bent knees compromise aerodynamics and form throughout the flight,</t>
  </si>
  <si>
    <t>Over-rotation past vertical reduces entry efficiency; though overall entry is clean,</t>
  </si>
  <si>
    <t>Flawless start with no wobble or poor posture; indicating excellent preparation,</t>
  </si>
  <si>
    <t>Steady rhythm and strong hurdle demonstrate good control throughout the approach phase,</t>
  </si>
  <si>
    <t>Sufficient height and proper alignment at take-off result in an optimal launch angle,</t>
  </si>
  <si>
    <t>Perfect tuck and streamlined body shape during flight show exceptional execution,</t>
  </si>
  <si>
    <t>Clean entry with minimal splash and feet together upon impact,</t>
  </si>
  <si>
    <t>Knees slightly bent; poor posture; slight wobble; justified sub-score of 2,5</t>
  </si>
  <si>
    <t>Irregular rhythm; hesitation; justified sub-score of 3,0</t>
  </si>
  <si>
    <t>Insufficient height; too close to platform; justified sub-score of 4,0</t>
  </si>
  <si>
    <t>Loose tuck; bent knees in pike position; justified sub-score of 6,0</t>
  </si>
  <si>
    <t>Past vertical by 10Â°; medium splash; justified sub-score of 7,0</t>
  </si>
  <si>
    <t>The diver starts with a stable but slightly wobbly posture; earning a sub-score of 7,</t>
  </si>
  <si>
    <t>A steady rhythm and strong hurdle contribute to an approach score of 8,</t>
  </si>
  <si>
    <t>Sufficient height and alignment earn this phase a score of 9,</t>
  </si>
  <si>
    <t>Well-tucked body and controlled rotation result in a flight score of 8,</t>
  </si>
  <si>
    <t>Clean entry with a minor bend in the knees gives a score of 7,</t>
  </si>
  <si>
    <t>Slight bend in knees and slight deviation from vertical pose indicate minor flaws but maintain acceptable height,</t>
  </si>
  <si>
    <t>Consistent rhythm and well-driven hurdle suggest a solid approach phase,</t>
  </si>
  <si>
    <t>Insufficient height and proximity to platform edge highlight critical areas needing improvement,</t>
  </si>
  <si>
    <t>Loose tuck and misaligned twists show deviations from ideal form and execution,</t>
  </si>
  <si>
    <t>Over-rotation and large splash reflect poor entry technique impacting overall quality,</t>
  </si>
  <si>
    <t>Knees slightly bent and arms not fixed; leading to slight instability and reduced execution quality</t>
  </si>
  <si>
    <t>Insufficient height and too close to the platform result in a suboptimal launch</t>
  </si>
  <si>
    <t>Loose tuck and bent knees in the pike position negatively impact aerodynamics and form</t>
  </si>
  <si>
    <t>Past vertical by approximately 10Â° and medium splash size indicate controlled but not ideal entry</t>
  </si>
  <si>
    <t xml:space="preserve"> sub-score of 4 indicates room for improvement in posture and muscle tension management,</t>
  </si>
  <si>
    <t>Controlled approach with regular rhythm and low hurdle</t>
  </si>
  <si>
    <t xml:space="preserve"> sub-score of 6 reflects good consistency and control,</t>
  </si>
  <si>
    <t>Despite minor flaws in posture and tuck position; the starting position is competent,</t>
  </si>
  <si>
    <t>The approach is consistent with good rhythm and step count; though there's a slight lateral drift,</t>
  </si>
  <si>
    <t>The take-off lacks sufficient height; leading to an under-rotated entry,</t>
  </si>
  <si>
    <t>The flight has loose tucks and tilted twists; impacting the technical quality,</t>
  </si>
  <si>
    <t>The entry is over-rotated; resulting in a medium-sized splash,</t>
  </si>
  <si>
    <t>Slight bend in knees and relaxed arms indicate a less optimal start; yet the posture and arm positioning are commendable,</t>
  </si>
  <si>
    <t>Regular rhythm and step count show competence; though hesitation detracts from fluidity,</t>
  </si>
  <si>
    <t>Insufficient height and proximity to the platform suggest room for improvement in launch technique,</t>
  </si>
  <si>
    <t>Loose tuck and bent knees compromise rotational precision; but overall execution is strong,</t>
  </si>
  <si>
    <t>Past vertical over-rotation impacts form; but the body remains compact and feet together,</t>
  </si>
  <si>
    <t>The diver starts with a neutral posture; though knees are slightly apart and arms are not fixed; resulting in a sub-score of 6,</t>
  </si>
  <si>
    <t>A regular rhythm and confident steps lead to a strong press at take-off; earning an 8,</t>
  </si>
  <si>
    <t>Achieves sufficient height and initiates take-off on time; with a solid leg drive and arm coordination; scoring 7,</t>
  </si>
  <si>
    <t>Maintains a straight body shape and executes twists along the longitudinal axis; despite some tilting; receiving a 6,</t>
  </si>
  <si>
    <t>Significant over-rotation results in a high splash and bent limbs; justifying a 4,</t>
  </si>
  <si>
    <t>The diver maintains a basic starting position with slight knee separation and unfixed arms; earning a sub-score of 6,</t>
  </si>
  <si>
    <t>The approach shows a regular rhythm with consistent step count; contributing a sub-score of 7,</t>
  </si>
  <si>
    <t>Despite a low hurdle; the diver fails to achieve sufficient height; resulting in a sub-score of 4,</t>
  </si>
  <si>
    <t>The flight phase exhibits loose tuck and bent knees in the pike position; leading to a sub-score of 5,</t>
  </si>
  <si>
    <t>The entry is marked by an over-rotation causing the diver to be past vertical; yet the splash size is controlled; earning a sub-score of 8,</t>
  </si>
  <si>
    <t>Posture could be more stable and arms less flexible</t>
  </si>
  <si>
    <t xml:space="preserve"> slight wobble observed</t>
  </si>
  <si>
    <t>Irregular rhythm or step count and weak knee drive indicate flawed approach</t>
  </si>
  <si>
    <t>Insufficient height and proximity to platform suggest poor take-off execution</t>
  </si>
  <si>
    <t>Loose tuck and bent knees in pike position demonstrate form issues</t>
  </si>
  <si>
    <t>The diver begins with a balanced stance and good posture; contributing to a score of 9,0,</t>
  </si>
  <si>
    <t>The approach is steady and rhythmic; with minor hesitation impacting the full potential score of 9,0,</t>
  </si>
  <si>
    <t>The take-off is effective; achieving sufficient height and initiating from a stable press position; earning a score of 9,0,</t>
  </si>
  <si>
    <t>The flight maintains a straight body line; but slight over-rotation results in a score of 7,5,</t>
  </si>
  <si>
    <t>The entry has a medium splash and feet together; scoring 6,5 due to the over-rotation impact,</t>
  </si>
  <si>
    <t>The diver starts with a stable and balanced posture; which sets a strong foundation for the dive,</t>
  </si>
  <si>
    <t>Smooth and rhythmic approach ensures a powerful take-off,</t>
  </si>
  <si>
    <t>Solid take-off initiates the dive with momentum and control,</t>
  </si>
  <si>
    <t>Clean flight with minor deviations in knee alignment impacting the score slightly,</t>
  </si>
  <si>
    <t>Medium splash indicates satisfactory entry; though foot positioning and hip alignment could improve,</t>
  </si>
  <si>
    <t>The approach is flawless with a steady rhythm and controlled steps,</t>
  </si>
  <si>
    <t>The take-off is executed with sufficient height and proper distance from the platform edge,</t>
  </si>
  <si>
    <t>The flight is impeccable with a tight tuck and symmetrical body alignment,</t>
  </si>
  <si>
    <t>The entry is clean with minimal splash; though there is a slight over-rotation of about 5 degrees,</t>
  </si>
  <si>
    <t>Basic starting position with minor flaws such as slightly bent knees and uncoordinated arms</t>
  </si>
  <si>
    <t>Good control and regularity during the approach phase</t>
  </si>
  <si>
    <t>Solid take-off but lacks sufficient height from the platform</t>
  </si>
  <si>
    <t>Flawed execution with loose tucks and off-axis twists</t>
  </si>
  <si>
    <t>Past vertical by approximately 10 degrees leading to a large splash</t>
  </si>
  <si>
    <t>The starting position is excellent; demonstrating stability and proper posture without any visible flaws,</t>
  </si>
  <si>
    <t>The approach is consistent and well-executed; contributing positively to the overall score,</t>
  </si>
  <si>
    <t>The take-off is solid and initiates rotation correctly; earning full marks,</t>
  </si>
  <si>
    <t>The flight is mostly clean but suffers from slight over-rotation which impacts the final score,</t>
  </si>
  <si>
    <t>The entry is satisfactory but could be improved to enhance the overall execution of the dive,</t>
  </si>
  <si>
    <t>The starting position is excellent; with a stable stance and no visible nerves or adjustments,</t>
  </si>
  <si>
    <t>The approach is smooth and rhythmic; showing strong technique,</t>
  </si>
  <si>
    <t>The take-off is powerful and initiates rotation correctly,</t>
  </si>
  <si>
    <t>The flight is mostly on track with slight over-rotation</t>
  </si>
  <si>
    <t xml:space="preserve"> the tuck position could be tighter,</t>
  </si>
  <si>
    <t>The starting position has minor flaws such as slightly bent knees and unfixed arms; leading to a sub-score of 6,</t>
  </si>
  <si>
    <t>The approach is mostly regular with a good rhythm and effective hurdle driving; earning a sub-score of 7,</t>
  </si>
  <si>
    <t>The take-off lacks sufficient height and is too close to the platform; resulting in a lower sub-score of 4,</t>
  </si>
  <si>
    <t>The flight phase shows loose tucks and bent knees; contributing to a sub-score of 5,</t>
  </si>
  <si>
    <t>The entry is clean with a medium splash size; receiving a sub-score of 6,</t>
  </si>
  <si>
    <t>Arms not fixed; slight wobble in posture; Poor posture with rounded shoulders and bent knees</t>
  </si>
  <si>
    <t xml:space="preserve"> Weak hurdle with low knee drive</t>
  </si>
  <si>
    <t>Insufficient height</t>
  </si>
  <si>
    <t xml:space="preserve"> Too close to the platform</t>
  </si>
  <si>
    <t>Loose tuck and poor posture indicate a lower quality start with a score of 4,</t>
  </si>
  <si>
    <t>Hesitation and irregular rhythm suggest a less confident approach with a score of 3,</t>
  </si>
  <si>
    <t>Insufficient height and off-vertical lean are significant issues with a score of 5,</t>
  </si>
  <si>
    <t>Loose tuck and twists not aligned indicate a lack of precision in flight with a score of 6,</t>
  </si>
  <si>
    <t>Past vertical (over-rotated) by approximately 10 degrees suggests an issue with entry with a score of 7,</t>
  </si>
  <si>
    <t>The diver starts with slightly bent knees and an unaligned body; indicating initial control issues,</t>
  </si>
  <si>
    <t>The approach is steady with consistent rhythm; showing good coordination but lacking full knee drive and lateral stability,</t>
  </si>
  <si>
    <t>The take-off lacks sufficient height and is too close to the platform; impacting the initial phase negatively,</t>
  </si>
  <si>
    <t>The flight phase displays loose tucking and twists not aligned on the longitudinal axis; contributing to poor form,</t>
  </si>
  <si>
    <t>The entry is over-rotated past vertical and results in a large splash; indicating a lack of proper entry technique,</t>
  </si>
  <si>
    <t>The diver has a stable posture with minor knee separation; indicating good control from the start,</t>
  </si>
  <si>
    <t>The approach demonstrates a steady rhythm and proper hurdle technique; though there is some lateral drift,</t>
  </si>
  <si>
    <t>The take-off initiates with adequate height but lacks precise timing; resulting in an off-vertical lean,</t>
  </si>
  <si>
    <t>The flight displays decent form with a pike position; but the diver under-rotates and fails to align the twists properly,</t>
  </si>
  <si>
    <t>The entry features a medium splash with feet together; showing some improvement in the entry phase,</t>
  </si>
  <si>
    <t>The diver starts with a perfect posture; showing stability and control from the onset,</t>
  </si>
  <si>
    <t>The approach is steady and rhythmic; though there is a slight hesitation that does not significantly affect the overall quality,</t>
  </si>
  <si>
    <t>The take-off is executed with adequate height and leg drive; although there is a slight lean away from vertical,</t>
  </si>
  <si>
    <t>The flight demonstrates controlled twists and knee separation; albeit with some deviation from full point on the feet and a slight tilt in the twist axis,</t>
  </si>
  <si>
    <t>The entry is clean with a medium splash; however; the diver enters too far past vertical; resulting in significant over-rotation,</t>
  </si>
  <si>
    <t>The starting position is adequate with a neutral posture and controlled walk; justifying an 8,</t>
  </si>
  <si>
    <t>The approach is steady and consistent; earning a 9,</t>
  </si>
  <si>
    <t>The take-off is strong but slightly leans over the vertical axis; resulting in a 7,5,</t>
  </si>
  <si>
    <t>The flight phase has some under-rotation and tilt; scoring 6,5,</t>
  </si>
  <si>
    <t>The entry is satisfactory with feet together but a large splash due to body break; scoring 4,</t>
  </si>
  <si>
    <t>Loose tuck and poor posture during take-off contribute to a lower starting position score,</t>
  </si>
  <si>
    <t>Regular rhythm and step count but slight hesitation at the hurdle result in a mid-range approach score,</t>
  </si>
  <si>
    <t>Insufficient height and proximity to the platform reduce the take-off score,</t>
  </si>
  <si>
    <t>Loose tuck and twists not on the longitudinal axis decrease the flight score,</t>
  </si>
  <si>
    <t>Over-rotation past vertical and large splash significantly impact the entry score,</t>
  </si>
  <si>
    <t>The approach is smooth and consistent with good knee drive and a well-executed hurdle,</t>
  </si>
  <si>
    <t>The take-off is clean and high with a strong leg drive and a vertical body at take-off,</t>
  </si>
  <si>
    <t>The flight is mostly straight with minor over-rotation past the vertical axis,</t>
  </si>
  <si>
    <t>The entry is satisfactory with a medium splash size and feet together; though there is some body break at the hips,</t>
  </si>
  <si>
    <t>The diver starts with a stable position; though knee separation impacts the initial stability,</t>
  </si>
  <si>
    <t>Smooth and controlled approach with consistent pressure on the platform,</t>
  </si>
  <si>
    <t>Solid take-off with effective leg drive</t>
  </si>
  <si>
    <t xml:space="preserve"> slight lean back reduces the score,</t>
  </si>
  <si>
    <t>Moderate over-rotation past vertical</t>
  </si>
  <si>
    <t>The starting position is excellent with stillness and proper posture; earning a full score of 10,</t>
  </si>
  <si>
    <t>The approach is smooth and well-controlled; contributing to a strong overall performance worth 10 points,</t>
  </si>
  <si>
    <t>The take-off is solid with a slight lean over the vertical axis; scoring 9,5 points,</t>
  </si>
  <si>
    <t>The flight shows good execution with minor under-rotation; resulting in 8,5 points,</t>
  </si>
  <si>
    <t>The entry is clean with a small splash; earning 9 points,</t>
  </si>
  <si>
    <t>Moderate starting position with some flexibility</t>
  </si>
  <si>
    <t xml:space="preserve"> could be improved for a higher score</t>
  </si>
  <si>
    <t>Approach was steady but showed hesitation; impacting the initial momentum</t>
  </si>
  <si>
    <t>Take-off had sufficient height but was too close to the platform edge; indicating room for improvement</t>
  </si>
  <si>
    <t>Flight displayed good form but had issues with tuck and longitudinal axis alignment; affecting execution quality</t>
  </si>
  <si>
    <t>Knees slightly bent and arms not fixed; indicating initial tension and adjustment needed for better posture</t>
  </si>
  <si>
    <t>Hesitation and irregular rhythm suggest lack of confidence and control during the approach phase</t>
  </si>
  <si>
    <t>Insufficient height and proximity to the platform impact the dive's initial momentum and trajectory</t>
  </si>
  <si>
    <t>Loose tuck and bent knees in pike position affect the overall shape and execution quality</t>
  </si>
  <si>
    <t>Past vertical by 10Â° and medium splash size indicate strong entry but with some flaws</t>
  </si>
  <si>
    <t>Solid posture with minor balance issues</t>
  </si>
  <si>
    <t xml:space="preserve"> sub-score of 8 reflects a strong foundation,</t>
  </si>
  <si>
    <t>Controlled approach with slight hesitation</t>
  </si>
  <si>
    <t xml:space="preserve"> sub-score of 6 indicates room for improvement,</t>
  </si>
  <si>
    <t>Sufficient height but over-rotated</t>
  </si>
  <si>
    <t>The approach is flawless with steady rhythm; consistent step counts; and effective hurdle execution,</t>
  </si>
  <si>
    <t>The take-off is excellent with sufficient height; proper press; and effective leg drive,</t>
  </si>
  <si>
    <t>The flight is very good with a well-executed tuck position; though there is slight over-rotation and knee separation,</t>
  </si>
  <si>
    <t>The entry is excellent with a clean splash and minimal body break at the hips,</t>
  </si>
  <si>
    <t>Minor flaws in posture and arm positioning contribute to a lower starting position score,</t>
  </si>
  <si>
    <t>Irregular rhythm and hesitation detract from the approach phase,</t>
  </si>
  <si>
    <t>Loose tuck and bent knees compromise the technical aspects of the flight,</t>
  </si>
  <si>
    <t>Over-rotation and small splash result in a below-average entry,</t>
  </si>
  <si>
    <t>Excellent starting position with a calm and poised stance,</t>
  </si>
  <si>
    <t>Smooth and controlled approach with a strong hurdle,</t>
  </si>
  <si>
    <t>Solid take-off with minor over-rotation and late kick-out,</t>
  </si>
  <si>
    <t>Competent flight with minor deviations from ideal form,</t>
  </si>
  <si>
    <t>Satisfactory entry with a decent splash and some bend at the hips,</t>
  </si>
  <si>
    <t>Posture and arm flexibility need improvement</t>
  </si>
  <si>
    <t xml:space="preserve"> minor flaws observed</t>
  </si>
  <si>
    <t>Hesitation and irregular rhythm impact confidence and precision</t>
  </si>
  <si>
    <t>Insufficient height and proximity to platform reduce take-off effectiveness</t>
  </si>
  <si>
    <t>Loose tuck and bent knees in pike position indicate room for better form</t>
  </si>
  <si>
    <t>The diver's posture could be improved with less knee separation and better alignment; resulting in a lower score,</t>
  </si>
  <si>
    <t>The approach demonstrates good rhythm and focus; contributing positively to the score,</t>
  </si>
  <si>
    <t>The take-off shows strong leg drive but lacks precision in timing; leading to a moderate score,</t>
  </si>
  <si>
    <t>The pike position and streamlined body shape maintain a decent form; though the under-rotation reduces the score,</t>
  </si>
  <si>
    <t>The entry was executed cleanly with a balanced entry point; earning a modest score,</t>
  </si>
  <si>
    <t>Loose tuck and slight bend in knees during take-off indicate a less precise start,</t>
  </si>
  <si>
    <t>Rhythm and hurdle drive are adequate for an above-average approach score,</t>
  </si>
  <si>
    <t>Insufficient height and proximity to platform edge negatively impact the take-off score,</t>
  </si>
  <si>
    <t>Loose tuck and twists not aligned bring down the flight score,</t>
  </si>
  <si>
    <t>Past vertical and large splash reflect a poor entry technique,</t>
  </si>
  <si>
    <t>The approach is smooth with consistent rhythm and good knee drive,</t>
  </si>
  <si>
    <t>The take-off is solid with sufficient height and appropriate distance from the platform,</t>
  </si>
  <si>
    <t>The flight is mostly straight with controlled twists and a slight over-rotation,</t>
  </si>
  <si>
    <t>The entry is clean with feet together and a medium splash size,</t>
  </si>
  <si>
    <t>Slight wobble and need for better posture</t>
  </si>
  <si>
    <t xml:space="preserve"> sub-score 6</t>
  </si>
  <si>
    <t>Irregular rhythm and weak hurdle</t>
  </si>
  <si>
    <t xml:space="preserve"> sub-score 4</t>
  </si>
  <si>
    <t>The diver's starting position could be improved with more stable knees and less re-adjustment</t>
  </si>
  <si>
    <t xml:space="preserve"> sub-score of 5 reflects this,</t>
  </si>
  <si>
    <t>The approach demonstrates good control and regular steps; contributing to a sub-score of 7,5,</t>
  </si>
  <si>
    <t>Although the take-off height is sufficient; it is too close to the platform edge; resulting in a sub-score of 6,</t>
  </si>
  <si>
    <t>The diver maintained a decent form during the flight phase; with some loose tucks and off-axis twists; sub-score of 6,</t>
  </si>
  <si>
    <t>The starting position lacks full stillness and coordination; resulting in a sub-score of 5,</t>
  </si>
  <si>
    <t>The approach shows some hesitation and lateral drift; contributing to a sub-score of 4,</t>
  </si>
  <si>
    <t>The take-off is insufficient in height and too close to the platform; leading to a sub-score of 3,</t>
  </si>
  <si>
    <t>The flight phase exhibits multiple flaws including a loose tuck and bent knees; earning a sub-score of 6,</t>
  </si>
  <si>
    <t>The entry phase shows past and short of vertical positions; which results in a sub-score of 7,</t>
  </si>
  <si>
    <t>The diver starts with slightly bent knees and a less than ideal alignment with the platform; which affects their initial height,</t>
  </si>
  <si>
    <t>The approach is consistent with regular rhythm and step count; showing good control and preparation for the dive,</t>
  </si>
  <si>
    <t>The take-off lacks sufficient height and is too close to the platform; impacting the overall height potential,</t>
  </si>
  <si>
    <t>The flight demonstrates some looseness in the tuck and bent knees in the pike position; indicating room for improvement in form,</t>
  </si>
  <si>
    <t>The entry is executed cleanly with a small splash; demonstrating strong technique,</t>
  </si>
  <si>
    <t>Moderate starting position with minor issues like slight bending of knees and rounded shoulders</t>
  </si>
  <si>
    <t xml:space="preserve"> sub-score justified by these observations,</t>
  </si>
  <si>
    <t>Approach shows regular rhythm and good hurdle driving</t>
  </si>
  <si>
    <t xml:space="preserve"> sub-score reflects this competence,</t>
  </si>
  <si>
    <t>Take-off has insufficient height and is too close to the platform edge</t>
  </si>
  <si>
    <t>Knees slightly bent and arms not fixed; leading to a score of 2,0 due to poor posture and re-adjustment</t>
  </si>
  <si>
    <t>Hesitation and irregular rhythm; resulting in a score of 3,0 indicating a lack of confidence and control</t>
  </si>
  <si>
    <t>Insufficient height and too close to the platform; earning a score of 4,0 for insufficient height</t>
  </si>
  <si>
    <t>Loose tuck and bent knees in pike position; contributing to a score of 6,0 which impacts aerodynamics and form</t>
  </si>
  <si>
    <t>Past vertical by approximately 10Â° over-rotation; receiving a score of 7,0 for a larger splash and less streamlined entry</t>
  </si>
  <si>
    <t>The diver starts with a stable and balanced stance; contributing to a high-quality beginning,</t>
  </si>
  <si>
    <t>The approach is executed smoothly with proper rhythm and knee drive; ensuring a strong foundation for the dive,</t>
  </si>
  <si>
    <t>The take-off is effective; achieving adequate height and initiating rotation appropriately,</t>
  </si>
  <si>
    <t>The flight is generally clean; though there are minor deviations from the longitudinal axis,</t>
  </si>
  <si>
    <t>The entry is satisfactory; with a moderate splash and feet together; although the body shape could be improved,</t>
  </si>
  <si>
    <t>The diver had issues with knee alignment and posture; leading to a score of 2,0,</t>
  </si>
  <si>
    <t>Irregular rhythm and lateral drift contributed to a score of 3,0,</t>
  </si>
  <si>
    <t>Insufficient height and proximity to the platform resulted in a score of 4,0,</t>
  </si>
  <si>
    <t>Loose tuck and bent knees during flight led to a score of 6,0,</t>
  </si>
  <si>
    <t>Over-rotation past vertical and short of vertical at entry scored 7,0,</t>
  </si>
  <si>
    <t>Good posture with slight bend in knees; hands raised for balance; no visible nerves or re-adjustment,</t>
  </si>
  <si>
    <t>Consistent rhythm and step count</t>
  </si>
  <si>
    <t xml:space="preserve"> hurdle driven well</t>
  </si>
  <si>
    <t xml:space="preserve"> minimal hesitation or balk,</t>
  </si>
  <si>
    <t>Excellent starting position with a neutral posture and no visible nerves,</t>
  </si>
  <si>
    <t>Strong approach with steady rhythm and good form,</t>
  </si>
  <si>
    <t>Powerful take-off with sufficient height but slight over-rotation,</t>
  </si>
  <si>
    <t>Clean flight with minor under-rotation,</t>
  </si>
  <si>
    <t>Satisfactory entry with clean finish but bent knees,</t>
  </si>
  <si>
    <t>Slight bend in knees and loose tuck indicate room for improvement but overall posture is decent,</t>
  </si>
  <si>
    <t>Rhythm could be more regular; but the approach is generally competent,</t>
  </si>
  <si>
    <t>Insufficient height and proximity to the platform detract from the take-off quality,</t>
  </si>
  <si>
    <t>Loose tuck and slight tilt of twists suggest some deviation from ideal form,</t>
  </si>
  <si>
    <t>Past vertical by ~10Â° and large splash indicate significant flaws at entry,</t>
  </si>
  <si>
    <t>Loose starting position with slightly bent knees results in a sub-score of 5,</t>
  </si>
  <si>
    <t>Consistent approach with good rhythm and hurdle drive earns an 8,</t>
  </si>
  <si>
    <t>Insufficient height and proximity to platform edge result in a 6,</t>
  </si>
  <si>
    <t>Loose tuck and slight tilt in twists contribute to a 7,</t>
  </si>
  <si>
    <t>Significant over-rotation and large splash impact entry phase negatively; resulting in a 4,</t>
  </si>
  <si>
    <t>The diver's starting position lacks stillness and proper posture; contributing to a lower sub-score,</t>
  </si>
  <si>
    <t>Irregular rhythm; step count; and lateral drift detract from the approach phase's effectiveness,</t>
  </si>
  <si>
    <t>Insufficient height and weak knee drive result in a below-average take-off,</t>
  </si>
  <si>
    <t>Loose tuck and over-rotation indicate flaws in technique but maintain a reasonable form,</t>
  </si>
  <si>
    <t>Over-rotation past vertical adds to the difficulty of achieving a clean entry,</t>
  </si>
  <si>
    <t>The starting position is excellent; showing stability and proper form without any visible flaws,</t>
  </si>
  <si>
    <t>The approach is competent with a strong hurdle and knee drive; though it could be slightly more precise,</t>
  </si>
  <si>
    <t>The take-off initiates with sufficient height and is not too close or far from the platform; but there is an over-rotated body which affects the score,</t>
  </si>
  <si>
    <t>The flight is mostly executed well with a tuck position and pointed feet; but there is asymmetry in body shape which lowers the score,</t>
  </si>
  <si>
    <t>The entry is satisfactory with a past vertical rotation and medium splash; but could benefit from a cleaner finish with less bend in the knees and feet together,</t>
  </si>
  <si>
    <t>Stable starting position with minor knee separation impacting the initial stability,</t>
  </si>
  <si>
    <t>Smooth and controlled approach without significant flaws,</t>
  </si>
  <si>
    <t>Strong take-off with slight over-rotation affecting vertical alignment,</t>
  </si>
  <si>
    <t>Solid flight with minor deviations from the longitudinal axis,</t>
  </si>
  <si>
    <t>Past vertical entry due to over-rotation resulting in a larger splash,</t>
  </si>
  <si>
    <t>Loose tuck and poor posture during take-off contribute to a lower-quality start,</t>
  </si>
  <si>
    <t>Hesitation and irregular rhythm detract from the approach phase,</t>
  </si>
  <si>
    <t>Insufficient height and proximity to the platform result in a flawed take-off,</t>
  </si>
  <si>
    <t>Loose tuck and twists not on the longitudinal axis indicate poor execution,</t>
  </si>
  <si>
    <t>Over-rotation past vertical and large splash mark a significant error in the entry phase,</t>
  </si>
  <si>
    <t>Knees slightly bent; arms not fixed; minor defects in posture and arm fixation</t>
  </si>
  <si>
    <t>Hesitation at the hurdle; irregular rhythm or step count; hesitation and irregularity detected</t>
  </si>
  <si>
    <t>Insufficient height; too close to platform; insufficient height and proximity issues identified</t>
  </si>
  <si>
    <t>Loose tuck (knees apart; hands not on shins); bent knees in pike position; loose tuck and knee bend observed</t>
  </si>
  <si>
    <t>Past vertical (over-rotated) - approximately 10Â° over-rotation</t>
  </si>
  <si>
    <t>The diver's starting position could be improved for greater stability; but it is not poor enough to warrant a lower score,</t>
  </si>
  <si>
    <t>The approach is solid with good rhythm and control; earning a higher sub-score,</t>
  </si>
  <si>
    <t>The take-off is executed with appropriate height and distance from the platform; contributing positively to the final QoE,</t>
  </si>
  <si>
    <t>While the flight shows some technical flaws like loose tucks and asymmetrical twists; it is not so severe as to justify a lower score,</t>
  </si>
  <si>
    <t>The entry is affected by over-rotation and bent arms; which lowers the final QoE,</t>
  </si>
  <si>
    <t>Despite slight bending of knees and loose tuck; the diver maintains sufficient height and shows good approach,</t>
  </si>
  <si>
    <t>Strong hurdle drive compensates for irregular rhythm; indicating a competent approach,</t>
  </si>
  <si>
    <t>Insufficient height and proximity to platform edge are major flaws that lower the score,</t>
  </si>
  <si>
    <t>Loose tuck and twists off the longitudinal axis indicate poor execution,</t>
  </si>
  <si>
    <t>Past vertical and medium splash size suggest over-rotation but a controlled entry,</t>
  </si>
  <si>
    <t>Flawless starting position with stable posture and fixed arms</t>
  </si>
  <si>
    <t>Smooth and controlled approach with consistent step counts</t>
  </si>
  <si>
    <t>Solid take-off achieving sufficient height upon leaving the platform</t>
  </si>
  <si>
    <t>Good execution with slight over-rotation by approximately 5Â°</t>
  </si>
  <si>
    <t>Past vertical entry by about 10Â° affecting splash size</t>
  </si>
  <si>
    <t>The diver starts with a neutral posture and slight knee bend; showing good control but with noticeable knee separation,</t>
  </si>
  <si>
    <t>The approach is steady with consistent steps and a focused gaze; indicating good rhythm and control,</t>
  </si>
  <si>
    <t>The take-off is executed with sufficient height and proper angle; demonstrating strong leg drive and coordination,</t>
  </si>
  <si>
    <t>The flight maintains a straight body shape with minor deviations in twist alignment; affecting symmetry but not overall form,</t>
  </si>
  <si>
    <t>The entry is clean with feet together; but the over-rotation past vertical significantly impacts the entry quality,</t>
  </si>
  <si>
    <t>Slight bend in knees and loose tuck affect overall form but maintain decent posture</t>
  </si>
  <si>
    <t>Regular rhythm and consistent steps contribute positively to approach phase</t>
  </si>
  <si>
    <t>Insufficient height and proximity to platform edge negatively impact take-off phase</t>
  </si>
  <si>
    <t>Loose tuck and misaligned twists detract from execution quality</t>
  </si>
  <si>
    <t>Over-rotation and large splash indicate poor entry technique</t>
  </si>
  <si>
    <t>The start is perfect with a neutral posture and no visible nerves,</t>
  </si>
  <si>
    <t>The approach is flawless with consistent rhythm and step count,</t>
  </si>
  <si>
    <t>The take-off is excellent with sufficient height and proper distance from the platform,</t>
  </si>
  <si>
    <t>The flight is very good overall but has minor deviations from the ideal form due to slight twists on the longitudinal axis,</t>
  </si>
  <si>
    <t>The entry is satisfactory with a medium splash and feet together; though there is a slight bend at the hips,</t>
  </si>
  <si>
    <t>Controlled approach with occasional hesitation,</t>
  </si>
  <si>
    <t>Solid take-off with strong leg drive,</t>
  </si>
  <si>
    <t>Maintains body shape but suffers from loose tuck and twist tilt,</t>
  </si>
  <si>
    <t>Past vertical and bent arms indicate a poor entry,</t>
  </si>
  <si>
    <t>The starting position is excellent with a calm demeanor and no visible nerves,</t>
  </si>
  <si>
    <t>The approach is smooth with consistent rhythm and strong coordination,</t>
  </si>
  <si>
    <t>The take-off is solid and well-coordinated,</t>
  </si>
  <si>
    <t>The flight is mostly controlled but shows slight deviations in tuck position and twist alignment,</t>
  </si>
  <si>
    <t>The entry is satisfactory with feet together but could benefit from cleaner positioning and less body break,</t>
  </si>
  <si>
    <t>The starting position has some room for improvement with slightly bent knees and visible nerves; resulting in a sub-score of 5,</t>
  </si>
  <si>
    <t>The approach shows regular rhythm and step count but has a minor hesitation at the hurdle; earning a sub-score of 6,</t>
  </si>
  <si>
    <t>The take-off is flawed due to insufficient height and proximity to the platform; leading to a sub-score of 4,</t>
  </si>
  <si>
    <t>The flight phase exhibits loose tucks and misaligned twists; contributing to a sub-score of 7,</t>
  </si>
  <si>
    <t>The entry is over-rotated and causes a large splash; resulting in a sub-score of 3,</t>
  </si>
  <si>
    <t>Slight bending of knees and visible nerves suggest starting position is not ideal</t>
  </si>
  <si>
    <t xml:space="preserve"> sub-score reflects minor flaws,</t>
  </si>
  <si>
    <t>Irregular rhythm and inconsistent step count indicate hesitation during approach</t>
  </si>
  <si>
    <t xml:space="preserve"> sub-score reflects these issues,</t>
  </si>
  <si>
    <t>Insufficient height and too close to the platform affect take-off quality</t>
  </si>
  <si>
    <t>The diver shows readiness for take-off with a neutral posture; though there is slight bending in the knees that could be improved,</t>
  </si>
  <si>
    <t>Smooth and controlled approach with good knee drive and consistent rhythm,</t>
  </si>
  <si>
    <t>Sufficient height achieved; initiating rotation properly,</t>
  </si>
  <si>
    <t>Solid execution of twists; though body shape is compromised by loose tuck and bent knees,</t>
  </si>
  <si>
    <t>Past vertical; leading to a less optimal entry with notable splash,</t>
  </si>
  <si>
    <t>Minor flaws in posture and stillness during take-off</t>
  </si>
  <si>
    <t>Insufficient height and proximity to the platform during take-off</t>
  </si>
  <si>
    <t>Loose tuck and bent knees during flight phase</t>
  </si>
  <si>
    <t>Significant over-rotation past vertical and under-rotation short of vertical during entry</t>
  </si>
  <si>
    <t>Knees slightly bent upon take-off and body not perfectly vertical indicate a loose tuck and slight deviation from vertical alignment; justifying a score of 6,</t>
  </si>
  <si>
    <t>Regular rhythm with consistent step count and well-driven hurdle result in a clean approach phase; earning an 8,</t>
  </si>
  <si>
    <t>Insufficient height from the platform and proximity to the edge suggest a need for greater distance from the edge; resulting in a 5,</t>
  </si>
  <si>
    <t>Loose tuck and tilted twists indicate a lack of precision; justifying a 7,</t>
  </si>
  <si>
    <t>Past vertical by approximately 10 degrees and large splash suggest over-rotation and a less controlled entry; justifying a 4,</t>
  </si>
  <si>
    <t>Good posture with slight bend in knees</t>
  </si>
  <si>
    <t xml:space="preserve"> no visible nerves or re-adjustment,</t>
  </si>
  <si>
    <t>Strong and level approach with minimal lateral drift,</t>
  </si>
  <si>
    <t>Solid take-off with sufficient height</t>
  </si>
  <si>
    <t xml:space="preserve"> slight over-rotation past vertical,</t>
  </si>
  <si>
    <t>Satisfactory but could improve with better posture and arm positioning</t>
  </si>
  <si>
    <t>Good technique with minor hesitations</t>
  </si>
  <si>
    <t>Lacks height and proper body alignment</t>
  </si>
  <si>
    <t>Poor execution with loose tucks and bent knees</t>
  </si>
  <si>
    <t>Over-rotated and short of vertical; affecting entry quality</t>
  </si>
  <si>
    <t>Knees slightly bent upon take-off and body not fully still</t>
  </si>
  <si>
    <t xml:space="preserve"> minor defects present leading to a sub-score of 5,</t>
  </si>
  <si>
    <t>Regular rhythm with consistent step count but low hurdle and weak knee drive</t>
  </si>
  <si>
    <t xml:space="preserve"> minor defects present leading to a sub-score of 4,</t>
  </si>
  <si>
    <t>Insufficient height from platform and too close to platform</t>
  </si>
  <si>
    <t>The starting position is excellent with a stable stance and no visible nerves or re-adjustment, Sub-score: 10</t>
  </si>
  <si>
    <t>The approach is very good with a steady rhythm; consistent step count; and a well-executed hurdle, Sub-score: 9</t>
  </si>
  <si>
    <t>The take-off has issues with insufficient height and late kick-out; resulting in a sub-score of 7</t>
  </si>
  <si>
    <t>The flight has significant flaws including loose tuck and under-rotation; leading to a sub-score of 6</t>
  </si>
  <si>
    <t>The entry has major errors including over-rotation and bent feet; resulting in a sub-score of 5</t>
  </si>
  <si>
    <t>The diver shows slight bending of the knees and visible nerves; indicating a lack of stillness and proper posture,</t>
  </si>
  <si>
    <t>Irregular rhythm and step count suggest hesitation and lack of consistency in the approach phase,</t>
  </si>
  <si>
    <t>Insufficient height and proximity to the platform affect the quality of the take-off,</t>
  </si>
  <si>
    <t>Loose tuck and bent knees in the pike position demonstrate poor execution in the flight phase,</t>
  </si>
  <si>
    <t>Over-rotation past the vertical axis by approximately 10 degrees and a large splash indicate suboptimal entry technique,</t>
  </si>
  <si>
    <t xml:space="preserve"> sub-score 2,5</t>
  </si>
  <si>
    <t xml:space="preserve"> sub-score 3,0</t>
  </si>
  <si>
    <t>Flawless starting position with stable alignment and no wobble</t>
  </si>
  <si>
    <t>Consistent rhythm and proper form throughout the approach</t>
  </si>
  <si>
    <t>Sufficient height and optimal launch angle</t>
  </si>
  <si>
    <t>Well-executed tuck position with knees close together</t>
  </si>
  <si>
    <t>Slightly past vertical with minimal under-rotation (~5Â°)</t>
  </si>
  <si>
    <t>The starting position is good with a neutral posture and proper alignment; justifying an above-average sub-score of 8,</t>
  </si>
  <si>
    <t>The approach is steady and controlled; contributing positively to the total score with a sub-score of 9,</t>
  </si>
  <si>
    <t>The take-off is solid with sufficient height and leg drive; earning a sub-score of 7,5,</t>
  </si>
  <si>
    <t>The flight phase shows competent execution with controlled body shape; receiving a sub-score of 6,5,</t>
  </si>
  <si>
    <t>Despite the diver's over-rotation; the entry is completed without major errors; resulting in a sub-score of 4,</t>
  </si>
  <si>
    <t>Stable and aligned start with no wobble or re-adjustment</t>
  </si>
  <si>
    <t>Smooth and steady approach with consistent rhythm and step count</t>
  </si>
  <si>
    <t>Strong and effective take-off with sufficient height and proper alignment</t>
  </si>
  <si>
    <t>Solid execution with slight over-rotation by approximately 5Â° past vertical</t>
  </si>
  <si>
    <t>Clean entry with feet together and minimal splash</t>
  </si>
  <si>
    <t>Knees slightly bent and arms not fixed; indicating initial preparation issues but not severe enough to be considered a major flaw,</t>
  </si>
  <si>
    <t>Hesitation and irregular rhythm suggest a lack of confidence and control during approach phase,</t>
  </si>
  <si>
    <t>Insufficient height and proximity to platform indicate poor take-off technique,</t>
  </si>
  <si>
    <t>Loose tuck and bent knees compromise overall form and execution,</t>
  </si>
  <si>
    <t>Past vertical over-rotation impacts entry precision,</t>
  </si>
  <si>
    <t>Moderate starting position with minor defects like loose tuck and bent knees</t>
  </si>
  <si>
    <t xml:space="preserve"> sub-score of 6,5 indicates an average start,</t>
  </si>
  <si>
    <t>Consistent approach with regular rhythm and good hurdle drive</t>
  </si>
  <si>
    <t xml:space="preserve"> sub-score of 8,0 reflects strong approach phase,</t>
  </si>
  <si>
    <t>Insufficient height and off-vertical lean result in a low sub-score of 4,5; indicating poor take-off execution,</t>
  </si>
  <si>
    <t>Excellent posture and stability,</t>
  </si>
  <si>
    <t>Steady rhythm and strong hurdle,</t>
  </si>
  <si>
    <t>Sufficient height and alignment,</t>
  </si>
  <si>
    <t>Straight body position but slight over-rotation,</t>
  </si>
  <si>
    <t>Past vertical by ~5Â° but satisfactory splash,</t>
  </si>
  <si>
    <t>The diver starts with good posture and balance; contributing positively to the start score,</t>
  </si>
  <si>
    <t>The approach is steady and regular; earning a decent score despite minimal lateral drift,</t>
  </si>
  <si>
    <t>The take-off is solid but lacks height; impacting the take-off score,</t>
  </si>
  <si>
    <t>The flight has several small flaws such as loose tuck and tilted twists; resulting in a lower score,</t>
  </si>
  <si>
    <t>The entry is compromised by over-rotation and bent arms; leading to a low entry score,</t>
  </si>
  <si>
    <t>The starting position lacks stillness and shows slight bending of the knees; indicating poor posture and nerve tension, The sub-score is 4 because the overall execution is competent but flawed,</t>
  </si>
  <si>
    <t>The approach is marked by an irregular rhythm and a weak hurdle; leading to hesitation and an inconsistent approach, The sub-score is 3 reflecting these flaws,</t>
  </si>
  <si>
    <t>The take-off is insufficiently high and too close to the platform; resulting in a lower sub-score of 2,</t>
  </si>
  <si>
    <t>The flight phase exhibits a loose tuck and bent knees in the pike position; which are significant flaws, However; the entry phase compensates somewhat; giving a sub-score of 5,</t>
  </si>
  <si>
    <t>The entry is strong despite the over-rotation; earning a sub-score of 6,</t>
  </si>
  <si>
    <t>Slight bending of knees and loose tuck indicate a need for better posture; yet the diver maintains acceptable height,</t>
  </si>
  <si>
    <t>Consistent rhythm and hurdle driving show good preparation for the take-off,</t>
  </si>
  <si>
    <t>Loose tuck and tilted twists reflect poor execution during flight phase,</t>
  </si>
  <si>
    <t>Past vertical suggests over-rotation; contributing to a higher quality of execution,</t>
  </si>
  <si>
    <t>The diver starts with a neutral posture but exhibits a notable knee separation in the tuck position which impacts the initial stability,</t>
  </si>
  <si>
    <t>The approach is steady and controlled with a balanced press on the platform; though there is a slight lateral drift,</t>
  </si>
  <si>
    <t>The take-off is effective with sufficient height and proper distance from the platform; although there's an off-vertical lean,</t>
  </si>
  <si>
    <t>The diver enters a pike position with symmetric body alignment; but there's a noticeable tilt that affects symmetry,</t>
  </si>
  <si>
    <t>The entry is past vertical due to over-rotation; resulting in a larger splash; but the dive is otherwise executed cleanly with feet together,</t>
  </si>
  <si>
    <t>The approach is steady with consistent rhythm and effective hurdle; receiving a score of 9,5,</t>
  </si>
  <si>
    <t>The take-off is well-executed with sufficient height and proper angle; scoring 8,5,</t>
  </si>
  <si>
    <t>The flight is clean and controlled with minimal deviation; resulting in a score of 9,</t>
  </si>
  <si>
    <t>The entry is smooth with feet together and a moderate splash; earning a score of 7,5,</t>
  </si>
  <si>
    <t>Minor flaws in posture and balance during starting position phase</t>
  </si>
  <si>
    <t>Hesitation and instability in approach phase</t>
  </si>
  <si>
    <t>Weak take-off with insufficient height and proximity to platform</t>
  </si>
  <si>
    <t>Lack of form and control in flight phase due to loose tuck and bent knees</t>
  </si>
  <si>
    <t>Loss of vertical alignment and large splash upon entry</t>
  </si>
  <si>
    <t>Flawless starting position with stable posture and no defects observed,</t>
  </si>
  <si>
    <t>Strong approach with steady rhythm and consistent step counts; though there's slight irregularity,</t>
  </si>
  <si>
    <t>High take-off with over-rotated rotation (approximately 10Â°); impacting the initial phase,</t>
  </si>
  <si>
    <t>Good form in the tuck position with slight deviations from the longitudinal axis and under-rotation,</t>
  </si>
  <si>
    <t>Solid entry with clean splash; feet together; and body breaking at hips,</t>
  </si>
  <si>
    <t>The starting position has significant flaws such as slight bending of knees and visible nerves; contributing to a score of 2,5,</t>
  </si>
  <si>
    <t>The approach shows irregular rhythm and weak hurdle; warranting a score of 3,0,</t>
  </si>
  <si>
    <t>The take-off is too close to the platform; indicating insufficient height; earning a score of 4,0,</t>
  </si>
  <si>
    <t>The flight phase displays loose tuck and bent knees; resulting in a score of 6,0,</t>
  </si>
  <si>
    <t>The entry is past vertical by approximately 10 degrees and short of vertical by about 10 degrees; justifying a score of 7,0,</t>
  </si>
  <si>
    <t>Moderate starting position with some flexibility but room for improvement</t>
  </si>
  <si>
    <t xml:space="preserve"> sub-score of 6,0 reflects this,</t>
  </si>
  <si>
    <t>Competent approach with regular rhythm; though minor irregularity present; sub-score of 7,5 accounts for this,</t>
  </si>
  <si>
    <t>Significant flaws in take-off execution due to insufficient height and proximity to platform edge</t>
  </si>
  <si>
    <t xml:space="preserve"> sub-score of 4,5 highlights these issues,</t>
  </si>
  <si>
    <t>The starting position is excellent; showing stability and proper form without any visible nerves or re-adjustment, Score: 10,</t>
  </si>
  <si>
    <t>The approach is mostly good with a strong hurdle and knee drive; though there is noticeable hesitation or balk, Score: 7,5,</t>
  </si>
  <si>
    <t>The take-off initiates well with sufficient height and proximity to the platform edge; but the diver is off-vertical by approximately 10 degrees, Score: 8,5,</t>
  </si>
  <si>
    <t>The flight demonstrates a tuck position with knees apart and hands not on shins; but the diver over-rotates past vertical by about 20 degrees, Score: 6,5,</t>
  </si>
  <si>
    <t>The entry shows a medium splash size and feet together at impact; but the body shape is broken at the hips upon entry, Score: 4,5,</t>
  </si>
  <si>
    <t>Stable posture with slight bend in knees; no visible wobbling or poor posture</t>
  </si>
  <si>
    <t>Steady rhythm with consistent step count; no hesitation or irregularity</t>
  </si>
  <si>
    <t>Sufficient height and proper knee drive; good vertical alignment</t>
  </si>
  <si>
    <t>Straight body shape with pointed toes; minimal rotation off the longitudinal axis</t>
  </si>
  <si>
    <t>Past vertical but not overrotated; medium splash size</t>
  </si>
  <si>
    <t>Knees slightly bent upon take-off; body not perfectly vertical; over-rotated past vertical by ~10Â°; knees apart in tuck position</t>
  </si>
  <si>
    <t>Regular rhythm with consistent step count; low but controlled hurdle</t>
  </si>
  <si>
    <t>Insufficient height from platform; too close to platform edge; insufficient height; too close to platform edge</t>
  </si>
  <si>
    <t>Loose tuck (knees apart; hands not on shins); bent knees in pike position; twists not on the longitudinal axis</t>
  </si>
  <si>
    <t>Past vertical (over-rotated) - approximately 20Â°; medium splash size</t>
  </si>
  <si>
    <t>The diver had slight bending of the knees and was not entirely still at the start; contributing to a score of 5,</t>
  </si>
  <si>
    <t>Irregular rhythm and step count; along with hesitation; led to a score of 4,</t>
  </si>
  <si>
    <t>Insufficient height and proximity to the platform resulted in a score of 3,</t>
  </si>
  <si>
    <t>Loose tuck and deviations from the longitudinal axis affected the score to 6,</t>
  </si>
  <si>
    <t>Over-rotation past the vertical axis by approximately 10 degrees and a medium splash size contributed to a score of 7,</t>
  </si>
  <si>
    <t>Moderate starting position with some flexibility in posture</t>
  </si>
  <si>
    <t xml:space="preserve"> minor defects like loose tuck and bent knees prevent a higher score,</t>
  </si>
  <si>
    <t>Approach has consistent rhythm but shows irregularity and lateral drift; impacting the initial momentum,</t>
  </si>
  <si>
    <t>Take-off lacks sufficient height and is too close to the platform edge; leading to a compromised start,</t>
  </si>
  <si>
    <t>Flight demonstrates good control despite minor defects such as loose tuck and misaligned twists,</t>
  </si>
  <si>
    <t>The diver exhibits slight bending of the knees and visible nerves; resulting in a score of 2,5 for starting position,</t>
  </si>
  <si>
    <t>The diver shows irregular rhythm and weak hurdle; leading to a score of 1,5 for approach,</t>
  </si>
  <si>
    <t>The diver takes off with insufficient height and is too close to the platform; earning a score of 3,0 for take-off,</t>
  </si>
  <si>
    <t>The diver maintains a loose tuck with knees apart and bends in the pike position; receiving a score of 4,0 for flight,</t>
  </si>
  <si>
    <t>The diver enters past vertical; indicating over-rotation; and has a medium splash; resulting in a score of 6,0 for entry,</t>
  </si>
  <si>
    <t>Knees slightly bent; arms not fixed; presence of visible nerves and re-adjustment indicating poor posture</t>
  </si>
  <si>
    <t xml:space="preserve"> diver is too close to the platform</t>
  </si>
  <si>
    <t>Moderate wobble and slight bend in knees indicate a need for improvement in starting stability,</t>
  </si>
  <si>
    <t>Consistent rhythm and strong hurdle drive reflect good approach technique,</t>
  </si>
  <si>
    <t>Proximity to platform edge compromises take-off height; though overall execution remains solid,</t>
  </si>
  <si>
    <t>Loose tuck and tilted body affect flight quality; resulting in lower sub-score,</t>
  </si>
  <si>
    <t>Significant over-rotation results in large splash; impacting entry phase score,</t>
  </si>
  <si>
    <t>Minor flaws in posture and slight wobble</t>
  </si>
  <si>
    <t xml:space="preserve"> starting position sub-score: 5</t>
  </si>
  <si>
    <t>Regular rhythm but hesitation at the hurdle</t>
  </si>
  <si>
    <t xml:space="preserve"> approach sub-score: 6</t>
  </si>
  <si>
    <t>Insufficient height and proximity to the platform edge</t>
  </si>
  <si>
    <t>Minor flaws in starting position due to slightly bent knees and lack of full alignment with the platform,</t>
  </si>
  <si>
    <t>Steady and controlled approach with consistent rhythm and step count,</t>
  </si>
  <si>
    <t>Insufficient height and proximity to the platform edge; indicating room for improvement,</t>
  </si>
  <si>
    <t>Some errors in tuck position and twisting alignment; impacting overall quality,</t>
  </si>
  <si>
    <t>Past vertical by approximately 10 degrees and large splash size; resulting in lower entry quality,</t>
  </si>
  <si>
    <t>Knees slightly bent upon take-off; slight wobble in posture; sub-score: 6</t>
  </si>
  <si>
    <t>Consistent rhythm with regular step count; minor hesitation at hurdle jump; sub-score: 7</t>
  </si>
  <si>
    <t>Insufficient height from platform; too close to the edge; sub-score: 5</t>
  </si>
  <si>
    <t>Loose tuck position; twists tilted; sub-score: 4</t>
  </si>
  <si>
    <t>Past vertical by approximately 10 degrees; medium splash size; sub-score: 8</t>
  </si>
  <si>
    <t>The diver starts with a neutral posture and slight bend in the knees; which is acceptable but not ideal for maximum stability,</t>
  </si>
  <si>
    <t>The approach is steady and controlled; showing good rhythm and balance,</t>
  </si>
  <si>
    <t>The take-off is powerful with sufficient height; although it could benefit from more vertical height,</t>
  </si>
  <si>
    <t>The flight is streamlined with a tuck position; but there is an over-rotation that impacts aerodynamics,</t>
  </si>
  <si>
    <t>The entry is clean with a medium splash; demonstrating good technique despite the slight over-rotation,</t>
  </si>
  <si>
    <t>Lack of stillness and proper posture due to arms not fixed and slightly bent knees,</t>
  </si>
  <si>
    <t>Irregular rhythm and weak hurdle indicate poor preparation,</t>
  </si>
  <si>
    <t>Insufficient height and proximity to the platform compromise initial momentum,</t>
  </si>
  <si>
    <t>Loose tuck and twists off the longitudinal axis decrease execution precision,</t>
  </si>
  <si>
    <t>Over-rotation past vertical affects control but maintains body alignment,</t>
  </si>
  <si>
    <t>Minor flaws in posture and slight wobble at the start affect the initial score,</t>
  </si>
  <si>
    <t>Irregular rhythm and hesitation during the approach contribute to a lower score,</t>
  </si>
  <si>
    <t>Insufficient height and proximity to the platform negatively impact this phase,</t>
  </si>
  <si>
    <t>Loose tuck and bent knees in the pike position reduce the execution quality,</t>
  </si>
  <si>
    <t>Over-rotation past the vertical axis and medium splash size result in a moderate final score,</t>
  </si>
  <si>
    <t>The starting position is excellent with a calm demeanor and proper posture,</t>
  </si>
  <si>
    <t>The approach is strong with a steady rhythm and good knee drive,</t>
  </si>
  <si>
    <t>The take-off is generally good with sufficient height but could benefit from fuller leg extension,</t>
  </si>
  <si>
    <t>The flight is mostly clean with minor over-rotation affecting form,</t>
  </si>
  <si>
    <t>The entry is satisfactory with a moderate splash and decent body shape,</t>
  </si>
  <si>
    <t>Suboptimal posture and slight bending of knees indicate room for improvement in starting position</t>
  </si>
  <si>
    <t>Irregular rhythm and low knee drive suggest hesitation and lack of confidence during approach</t>
  </si>
  <si>
    <t>Insufficient height and proximity to the platform negatively impact take-off quality</t>
  </si>
  <si>
    <t>Loose tuck and bent knees in pike position reduce flight execution quality</t>
  </si>
  <si>
    <t>Both over-rotation and under-rotation result in a less than ideal entry; though splash size and body position are within acceptable limits</t>
  </si>
  <si>
    <t>The starting position is excellent; providing a strong foundation for the dive,</t>
  </si>
  <si>
    <t>The approach is very good; showing confidence and proper stride,</t>
  </si>
  <si>
    <t>The take-off is strong but slightly over-rotated,</t>
  </si>
  <si>
    <t>The flight execution is good; though the tuck could be tighter,</t>
  </si>
  <si>
    <t>The entry is satisfactory; with a medium splash and crossed feet,</t>
  </si>
  <si>
    <t>The diver's starting position had some room for improvement with slightly bent knees and a lack of full alignment with the platform,</t>
  </si>
  <si>
    <t>The approach was executed steadily and precisely without any major flaws,</t>
  </si>
  <si>
    <t>The take-off lacked sufficient height and was too close to the platform edge; resulting in a lower sub-score,</t>
  </si>
  <si>
    <t>The flight phase had loose tucks and twists not aligned properly; which impacted the overall quality,</t>
  </si>
  <si>
    <t>The entry was over-rotated and resulted in a large splash; significantly lowering the final QoE,</t>
  </si>
  <si>
    <t>Slight bend in knees and loose tuck indicate room for improvement but maintain an acceptable posture,</t>
  </si>
  <si>
    <t>Regular rhythm and effective hurdle drive contribute positively to this phase,</t>
  </si>
  <si>
    <t>Insufficient height and proximity to edge detract from potential height gain,</t>
  </si>
  <si>
    <t>Loose tuck and twist tilt compromise body shape and control,</t>
  </si>
  <si>
    <t>Past vertical by 10Â° and large splash result in a low-quality entry,</t>
  </si>
  <si>
    <t>The approach is very good; though minor improvements in rhythm and step count would enhance the score,</t>
  </si>
  <si>
    <t>The take-off is executed flawlessly; contributing to a high-quality start,</t>
  </si>
  <si>
    <t>The flight is outstanding; maintaining a straight body and controlled rotation,</t>
  </si>
  <si>
    <t>The entry is good but over-rotated; resulting in a larger splash and lower final score,</t>
  </si>
  <si>
    <t>Knees slightly bent and slight wobble observed</t>
  </si>
  <si>
    <t xml:space="preserve"> poor posture with rounded shoulders and bent knees</t>
  </si>
  <si>
    <t>Irregular rhythm and step count</t>
  </si>
  <si>
    <t xml:space="preserve"> hesitation and lack of strength in the approach</t>
  </si>
  <si>
    <t>The diver starts with a neutral posture and slight knee separation; indicative of a controlled start,</t>
  </si>
  <si>
    <t>Smooth and rhythmic approach with a well-executed hurdle and low knee drive,</t>
  </si>
  <si>
    <t>Achieves sufficient height and initiates take-off with proper press and vertical alignment,</t>
  </si>
  <si>
    <t>Demonstrates competent execution with pike position and toe-pointing; though there are minor flaws in tuck form and twist alignment,</t>
  </si>
  <si>
    <t>Past vertical; resulting in a larger splash; with bent arms or knees and feet/hands not together upon entry,</t>
  </si>
  <si>
    <t>Minor flaws in stillness and posture; leading to a score of 4</t>
  </si>
  <si>
    <t>Regular rhythm with slight hesitation; contributing to a score of 5</t>
  </si>
  <si>
    <t>Insufficient height and too close to platform; resulting in a score of 3</t>
  </si>
  <si>
    <t>Loose tuck and tilted twists; scoring 6</t>
  </si>
  <si>
    <t>Significant over-rotation past vertical and large splash; leading to a score of 2</t>
  </si>
  <si>
    <t>The starting position is good with a neutral posture and stable stance; contributing positively to the score,</t>
  </si>
  <si>
    <t>The approach is steady but has a slight hesitation that impacts the flow,</t>
  </si>
  <si>
    <t>The take-off is adequate in height but too close to the platform edge; reducing potential,</t>
  </si>
  <si>
    <t>The flight shows reasonable twist execution but suffers from over-rotation which affects form,</t>
  </si>
  <si>
    <t>The entry is clean with a medium splash; demonstrating solid technique,</t>
  </si>
  <si>
    <t>Knees slightly bent and visible nerves suggest room for improvement in starting position</t>
  </si>
  <si>
    <t>Regular rhythm but hesitation at the hurdle indicates need for smoother approach</t>
  </si>
  <si>
    <t>Loose tuck and twists off the longitudinal axis compromise flight execution</t>
  </si>
  <si>
    <t>Past vertical over-rotation and large splash highlight significant flaws in entry technique</t>
  </si>
  <si>
    <t>The diver's starting position has minor flaws which result in a sub-score of 2,5</t>
  </si>
  <si>
    <t>The approach shows some control but lacks fluidity; resulting in a sub-score of 3,0</t>
  </si>
  <si>
    <t>The take-off is compromised by insufficient height and proximity to the platform; leading to a sub-score of 1,5</t>
  </si>
  <si>
    <t>The flight phase has minor execution errors such as a loose tuck and off-axis twists; earning a sub-score of 4,0</t>
  </si>
  <si>
    <t>The entry is over-rotated past the vertical axis; resulting in a sub-score of 6,0</t>
  </si>
  <si>
    <t>Knees slightly bent upon take-off; body not perfectly vertical; knees apart; slight wobble in posture</t>
  </si>
  <si>
    <t>Consistent rhythm with regular step count; low hurdle but controlled</t>
  </si>
  <si>
    <t>Insufficient height from board; too close to the platform; off-vertical lean</t>
  </si>
  <si>
    <t>Loose tuck (knees apart); twists not on longitudinal axis</t>
  </si>
  <si>
    <t>Past vertical by approximately 10 degrees; large splash</t>
  </si>
  <si>
    <t>The starting position is good with a neutral posture and slightly bent knees</t>
  </si>
  <si>
    <t xml:space="preserve"> score is 8 due to minor knee bend</t>
  </si>
  <si>
    <t>The approach is steady but ends with slight hesitation</t>
  </si>
  <si>
    <t xml:space="preserve"> score is 7,5 due to minor irregularity in step count</t>
  </si>
  <si>
    <t>The take-off is strong with sufficient height and alignment</t>
  </si>
  <si>
    <t>The diver's knees were slightly bent at take-off; indicating a minor wobble and lack of full vertical alignment,</t>
  </si>
  <si>
    <t>The approach showed consistent rhythm and step count; though there was minimal hesitation or balk,</t>
  </si>
  <si>
    <t>The take-off lacked sufficient height and was too close to the platform edge; resulting in an off-vertical lean,</t>
  </si>
  <si>
    <t>The tuck position was loose; and the twists were not aligned properly along the longitudinal axis,</t>
  </si>
  <si>
    <t>The entry was past vertical by approximately 10 degrees; leading to a large splash,</t>
  </si>
  <si>
    <t>Excellent posture with slight knee bend; no visible defects</t>
  </si>
  <si>
    <t>Steady rhythm with consistent step counts; no visible defects</t>
  </si>
  <si>
    <t>Sufficient height and proper alignment with platform; no visible defects</t>
  </si>
  <si>
    <t>Straight tuck position with knees close together; no visible defects</t>
  </si>
  <si>
    <t>Past vertical but not over-rotated; medium splash size; no visible defects</t>
  </si>
  <si>
    <t>Despite minor flaws in posture and alignment; the starting position was adequate,</t>
  </si>
  <si>
    <t>Controlled approach with consistent rhythm and step count; though a bit hesitant at the hurdle,</t>
  </si>
  <si>
    <t>Strong leg drive; but insufficient height from the board and off-vertical lean present,</t>
  </si>
  <si>
    <t>Some technical issues like loose tuck and tilted twists; but overall decent execution,</t>
  </si>
  <si>
    <t>Clean entry with feet together; but over-rotated past vertical leading to a large splash,</t>
  </si>
  <si>
    <t>Neutral posture with slight knee bend</t>
  </si>
  <si>
    <t xml:space="preserve"> minor deviation from ideal starting position,</t>
  </si>
  <si>
    <t>Consistent rhythm and smooth approach</t>
  </si>
  <si>
    <t xml:space="preserve"> small wobble at start,</t>
  </si>
  <si>
    <t>Good height and leg drive</t>
  </si>
  <si>
    <t>Minor flaws in starting position due to slightly bent knees and lack of full alignment with the platform result in a sub-score of 5,</t>
  </si>
  <si>
    <t>The approach is steady and controlled; earning a sub-score of 7,</t>
  </si>
  <si>
    <t>Although there is insufficient height from the board and the diver is too close to the platform; the take-off is executed with reasonable speed resulting in a sub-score of 6,</t>
  </si>
  <si>
    <t>Technical issues such as loose tucks and twists not on the longitudinal axis lead to a sub-score of 6,</t>
  </si>
  <si>
    <t>Over-rotation past vertical results in a large entry splash; leading to a sub-score of 4,</t>
  </si>
  <si>
    <t>Loose tuck and slight bend in knees indicate a need for better posture at take-off,</t>
  </si>
  <si>
    <t>Rhythm is regular but could be smoother,</t>
  </si>
  <si>
    <t>Height is insufficient and diver is too close to the platform,</t>
  </si>
  <si>
    <t>Loose tuck and twists not aligned indicate poor execution,</t>
  </si>
  <si>
    <t>Past vertical by approximately 10 degrees and large splash show significant flaws in this phase,</t>
  </si>
  <si>
    <t xml:space="preserve"> score of 5 due to initial posture issues and slight motion correction,</t>
  </si>
  <si>
    <t>Regular rhythm and step count; low knee drive; score of 7 due to good control and regularity despite a small hesitation at the hurdle,</t>
  </si>
  <si>
    <t xml:space="preserve"> score of 6 due to insufficient height and maintaining vertical alignment,</t>
  </si>
  <si>
    <t>Knees slightly bent and visible nerves indicate an acceptable start but room for improvement in posture and arm fixation,</t>
  </si>
  <si>
    <t>Consistent rhythm and step count show good control; though hesitation at the hurdle impacts take-off momentum,</t>
  </si>
  <si>
    <t>Insufficient height and proximity to the platform compromise the initial launch of the dive,</t>
  </si>
  <si>
    <t>Loose tuck and off-axis twists suggest multiple execution flaws during the flight phase,</t>
  </si>
  <si>
    <t>Past vertical over-rotation indicates significant deviation from the intended trajectory,</t>
  </si>
  <si>
    <t>Slight bending of knees at take-off; poor posture; and inadequate arm fixation result in a sub-score of 5,</t>
  </si>
  <si>
    <t>Regular rhythm and hurdle drive contribute positively; while lateral drift lowers the score to 7,5,</t>
  </si>
  <si>
    <t>Insufficient height and proximity to platform edge negatively impact the take-off phase; earning a score of 6,</t>
  </si>
  <si>
    <t>Loose tucks and off-axis twists reduce the flight phase score to 4,</t>
  </si>
  <si>
    <t>Past vertical by approximately 10 degrees leads to a large splash; resulting in a low entry score of 3,</t>
  </si>
  <si>
    <t>Suboptimal posture and slight bending of knees lower the starting position phase score</t>
  </si>
  <si>
    <t>Irregular rhythm and inconsistent step count reduce the approach phase score</t>
  </si>
  <si>
    <t>Insufficient height and proximity to the platform negatively impact the take-off phase score</t>
  </si>
  <si>
    <t>Loose tuck and bent knees during the flight phase decrease the overall quality</t>
  </si>
  <si>
    <t>Past vertical and short of vertical during entry phase result in a lower final QoE score</t>
  </si>
  <si>
    <t>Solid posture with minor knee bend; no major flaws observed</t>
  </si>
  <si>
    <t>Consistent rhythm and hurdle drive; slight lateral drift noted</t>
  </si>
  <si>
    <t>Insufficient height and off-vertical lean; under-rotation present</t>
  </si>
  <si>
    <t>Loose tuck; twists not aligned; over-rotation detected</t>
  </si>
  <si>
    <t>Past vertical; large splash; bent arms at entry</t>
  </si>
  <si>
    <t>Knees slightly bent and visible nerves indicate slight anchoring</t>
  </si>
  <si>
    <t xml:space="preserve"> score adjusted down for posture and stillness</t>
  </si>
  <si>
    <t>Irregular rhythm and weak hurdle suggest hesitation and inconsistency</t>
  </si>
  <si>
    <t xml:space="preserve"> score adjusted down for rhythm and hurdle strength</t>
  </si>
  <si>
    <t>Insufficient height and proximity to platform indicate poor take-off execution</t>
  </si>
  <si>
    <t>The starting position is excellent with a stable stance and no visible nerves or re-adjustment (score: 10),</t>
  </si>
  <si>
    <t>The approach is smooth and well-executed with even steps and confidence (score: 10),</t>
  </si>
  <si>
    <t>The take-off is powerful and initiates rotation promptly (score: 10),</t>
  </si>
  <si>
    <t>The flight is mostly correct with minor deviation in knee alignment (score: 8,5),</t>
  </si>
  <si>
    <t>The entry is solid with a clean finish and controlled splash (score: 9),</t>
  </si>
  <si>
    <t>The starting position is flawless with excellent stillness and posture; earning a perfect score,</t>
  </si>
  <si>
    <t>The approach is smooth and rhythmic with good form; contributing to a high score,</t>
  </si>
  <si>
    <t>The take-off is mostly successful; but the diver over-rotates slightly; which lowers the score,</t>
  </si>
  <si>
    <t>The flight shows good control and form; but lacks full rotation; resulting in a lower score,</t>
  </si>
  <si>
    <t>The entry is clean with minimal disturbance; but the body break impacts the score negatively,</t>
  </si>
  <si>
    <t>Minor flaws in starting position due to slightly bent knees and body alignment issues</t>
  </si>
  <si>
    <t xml:space="preserve"> sub-score reflects these minor deviations,</t>
  </si>
  <si>
    <t>Competent approach with consistent rhythm; though there's slight hesitation at the hurdle; sub-score accounts for this minor flaw,</t>
  </si>
  <si>
    <t xml:space="preserve"> sub-score reflects these technical issues,</t>
  </si>
  <si>
    <t>Knees slightly bent upon take-off and arms not fixed contribute to a less stable starting position,</t>
  </si>
  <si>
    <t>Regular rhythm and consistent step count provide a steady approach; though it lacks precision,</t>
  </si>
  <si>
    <t>Insufficient height and proximity to the platform negatively impact the initial phase of the dive,</t>
  </si>
  <si>
    <t>Loose tuck and misaligned twists reduce rotational efficiency and form quality,</t>
  </si>
  <si>
    <t>Over-rotation and a large splash indicate a deviation from the intended trajectory,</t>
  </si>
  <si>
    <t>The diver starts in a stable position with no visible flaws</t>
  </si>
  <si>
    <t xml:space="preserve"> the score is 10,</t>
  </si>
  <si>
    <t>The approach is smooth and well-executed</t>
  </si>
  <si>
    <t>The take-off is powerful and properly aligned</t>
  </si>
  <si>
    <t>The starting position is good with minor room for improvement in posture,</t>
  </si>
  <si>
    <t>The approach is smooth and controlled; contributing to a high-quality dive,</t>
  </si>
  <si>
    <t>The take-off is clean and precise; indicating a strong start,</t>
  </si>
  <si>
    <t>The flight is fluid and symmetrical; showcasing excellent technique,</t>
  </si>
  <si>
    <t>The entry is solid with a small splash; demonstrating good control,</t>
  </si>
  <si>
    <t>Acceptable starting position with slight bending of knees and improper arm positioning,</t>
  </si>
  <si>
    <t>Good rhythm and step count; though there is some hesitation at the hurdle,</t>
  </si>
  <si>
    <t>Sufficient height but too close to the platform and slight off-vertical lean,</t>
  </si>
  <si>
    <t>Competent flight execution with loose tucks and misaligned twists,</t>
  </si>
  <si>
    <t>Clean entry with feet together; compensating for over-rotation,</t>
  </si>
  <si>
    <t>The diver starts with a stable posture and good form; contributing positively to the initial score,</t>
  </si>
  <si>
    <t>The approach is steady with minor irregularities that do not detract significantly from the overall quality,</t>
  </si>
  <si>
    <t>The take-off is solid with good leg drive; but the slight lean reduces the potential score,</t>
  </si>
  <si>
    <t>The flight phase is compromised by an over-rotation and loose tuck; impacting the entry phase negatively,</t>
  </si>
  <si>
    <t>The entry is past the vertical axis by a considerable amount; leading to a large splash and poor body shape; lowering the final score,</t>
  </si>
  <si>
    <t>The diver had poor posture with rounded shoulders and bent knees; which impacted the starting position score,</t>
  </si>
  <si>
    <t>The approach was mostly regular but showed minor inconsistencies in rhythm and step count; affecting the approach score,</t>
  </si>
  <si>
    <t>The take-off was suboptimal due to insufficient height and being too close to the platform; leading to a lower score,</t>
  </si>
  <si>
    <t>The flight phase exhibited loose tuck and twists not aligned on the longitudinal axis; resulting in a lower score,</t>
  </si>
  <si>
    <t>The entry was past vertical by approximately 10 degrees; impacting the entry score positively,</t>
  </si>
  <si>
    <t>Knees slightly bent and arms not fixed; indicating slight imbalance and re-adjustment during take-off</t>
  </si>
  <si>
    <t>Hesitation and irregular rhythm suggest lack of confidence and control during approach phase</t>
  </si>
  <si>
    <t>Insufficient height and too close to the platform; impacting initial momentum and trajectory</t>
  </si>
  <si>
    <t>Loose tuck and bent knees in pike position; affecting rotational precision and body shape</t>
  </si>
  <si>
    <t>Past vertical by approximately 10Â°; resulting in medium splash size and less than optimal entry angle</t>
  </si>
  <si>
    <t>The approach is strong with good rhythm and step count; receiving a high score of 9,5,</t>
  </si>
  <si>
    <t>The take-off is powerful with good leg drive; but the slight over-rotation results in an 8,5,</t>
  </si>
  <si>
    <t>The flight is clean with tight tucking; but the slight tilt reduces the score to 7,5,</t>
  </si>
  <si>
    <t>The entry is satisfactory with a medium splash; earning a score of 6,5,</t>
  </si>
  <si>
    <t>The diver had some wobble but maintained control over their body,</t>
  </si>
  <si>
    <t>The diver demonstrated good technique with a regular approach,</t>
  </si>
  <si>
    <t>The take-off initiated with sufficient height but lacked verticality,</t>
  </si>
  <si>
    <t>The diver entered a pike position but rotated under-axially,</t>
  </si>
  <si>
    <t>The diver's entry was past vertical resulting in an over-rotated entry and large splash,</t>
  </si>
  <si>
    <t>The diver has some minor issues with posture and knee alignment; resulting in a lower score</t>
  </si>
  <si>
    <t>The approach demonstrates good technique with regular rhythm and proper hurdle driving</t>
  </si>
  <si>
    <t>The take-off lacks sufficient height and is slightly off the platform edge; impacting the score</t>
  </si>
  <si>
    <t>The flight phase suffers from loose tucks and misaligned twists; leading to a lower score</t>
  </si>
  <si>
    <t>The entry is past the vertical axis; affecting the overall quality of the dive</t>
  </si>
  <si>
    <t>Knees slightly bent; arms not fixed; minor deviation from ideal starting posture</t>
  </si>
  <si>
    <t xml:space="preserve"> lack of confidence and control during approach</t>
  </si>
  <si>
    <t xml:space="preserve"> diver did not achieve optimal take-off distance</t>
  </si>
  <si>
    <t>The diver shows minor issues with posture and stability at the start but maintains control to avoid a lower score,</t>
  </si>
  <si>
    <t>The diver exhibits hesitation and irregular rhythm during the approach phase; impacting overall execution,</t>
  </si>
  <si>
    <t>The diver fails to achieve sufficient height off the board; leading to a lower starting point,</t>
  </si>
  <si>
    <t>The diver's tuck is loose and twists are not aligned properly; contributing to a moderate flight phase score,</t>
  </si>
  <si>
    <t>The diver over-rotates past the vertical axis and under-rotates; both negatively impacting the entry phase,</t>
  </si>
  <si>
    <t>Moderate approach with consistent rhythm; though some steps could be more precise,</t>
  </si>
  <si>
    <t>Take-off is adequate but lacks sufficient height and is too close to the platform edge,</t>
  </si>
  <si>
    <t>Flight execution is competent but suffers from loose tucks and off-axis twists,</t>
  </si>
  <si>
    <t>Entry is over-rotated and results in a large splash; indicating poor technique,</t>
  </si>
  <si>
    <t>Insufficient height and too close to the platform result in a lower take-off score,</t>
  </si>
  <si>
    <t>Loose tuck and bent knees negatively impact aerodynamics and form during the flight phase,</t>
  </si>
  <si>
    <t>Past vertical over-rotation leads to a larger splash and less streamlined entry,</t>
  </si>
  <si>
    <t>Knees slightly bent upon take-off; arms not fixed; minor defects leading to sub-score of 6,0</t>
  </si>
  <si>
    <t>Regular rhythm; inconsistent step count; low hurdle; slight hesitation leads to sub-score of 7,0</t>
  </si>
  <si>
    <t>Insufficient height; too close to platform; significant height deficit results in sub-score of 4,0</t>
  </si>
  <si>
    <t>Loose tuck; bent knees in pike position; multiple execution flaws result in sub-score of 3,0</t>
  </si>
  <si>
    <t>Past vertical by approximately 10Â°; short of vertical by about 5Â°; major rotation errors lead to sub-score of 2,0</t>
  </si>
  <si>
    <t>Stable start with good posture; though could benefit from less flexibility</t>
  </si>
  <si>
    <t>Consistent rhythm and effective knee drive; minor irregularity in stride pattern</t>
  </si>
  <si>
    <t>Sufficient height but slight off-vertical lean and under-rotation</t>
  </si>
  <si>
    <t>Twist on axis; but over-rotated entry causing large splash</t>
  </si>
  <si>
    <t>Past vertical by ~10Â°; substantial splash; but feet together and minimal disfigurement</t>
  </si>
  <si>
    <t>Knees slightly bent; poor posture; slight re-adjustment observed but not severe enough to lower the score significantly,</t>
  </si>
  <si>
    <t xml:space="preserve"> both factors contribute to a lower score,</t>
  </si>
  <si>
    <t xml:space="preserve"> these issues result in a lower sub-score,</t>
  </si>
  <si>
    <t>Excellent starting position with good posture and no visible wobbling,</t>
  </si>
  <si>
    <t>Competent approach with regular rhythm; step count; strong hurdle; and knee drive,</t>
  </si>
  <si>
    <t>Flawless take-off with sufficient height and proper alignment over the platform,</t>
  </si>
  <si>
    <t>Smooth and controlled flight with a well-executed tuck position,</t>
  </si>
  <si>
    <t>Clean entry but over-rotated by approximately 10 degrees,</t>
  </si>
  <si>
    <t>Strong foundation with stable posture and balanced stance</t>
  </si>
  <si>
    <t>Solid approach with rhythmic steps and controlled progression to the edge</t>
  </si>
  <si>
    <t>Powerful take-off with good height and momentum; though slightly over-rotated</t>
  </si>
  <si>
    <t>Clean flight with straight body line and pointed toes; minor over-rotation</t>
  </si>
  <si>
    <t>Medium splash with body break at hips and feet not together</t>
  </si>
  <si>
    <t>Moderate starting position with room for improvement on knee alignment and nerve tension,</t>
  </si>
  <si>
    <t>Consistent approach with minor hesitation impacting take-off potential,</t>
  </si>
  <si>
    <t>Insufficient height and proximity to the platform affecting take-off quality,</t>
  </si>
  <si>
    <t>Controlled flight with loose tuck and bent knees impacting efficiency,</t>
  </si>
  <si>
    <t>Over-rotated entry causing a medium splash; indicating a need for better timing and control,</t>
  </si>
  <si>
    <t>The diver starts with a stable and poised stance; contributing to a score of 10,</t>
  </si>
  <si>
    <t>The approach is smooth and confident; earning a score of 9,5,</t>
  </si>
  <si>
    <t>The take-off is powerful and level; resulting in a score of 8,5,</t>
  </si>
  <si>
    <t>The flight is mostly controlled but lacks perfect symmetry; scoring 7,5,</t>
  </si>
  <si>
    <t>The entry is clean and well-executed; receiving a score of 8,</t>
  </si>
  <si>
    <t>Slight wobble and lack of stillness affect starting position quality</t>
  </si>
  <si>
    <t>Irregular rhythm and hesitation detract from approach quality</t>
  </si>
  <si>
    <t>Insufficient height and proximity to the platform negatively impact take-off execution</t>
  </si>
  <si>
    <t>Loose tuck and twists not on the longitudinal axis reduce flight phase performance</t>
  </si>
  <si>
    <t>Past vertical by ~10Â° and large splash indicate poor entry technique</t>
  </si>
  <si>
    <t>Exceptional posture and form with minimal adjustments</t>
  </si>
  <si>
    <t>Strong control and consistency throughout the approach</t>
  </si>
  <si>
    <t>Good launch angle with minor over-rotation impacting flight quality</t>
  </si>
  <si>
    <t>Maintains tuck position with slight over-rotation affecting flight quality</t>
  </si>
  <si>
    <t>Clean entry with slight bend in arms upon entry</t>
  </si>
  <si>
    <t>Concise summary tied to observations and sub-score</t>
  </si>
  <si>
    <t>Concise summary + sub-score</t>
  </si>
  <si>
    <t>Arms not fixed; Knees slightly bent; Lack of stillness / wobble; Poor posture (rounded shoulders; bent knees)</t>
  </si>
  <si>
    <t>Irregular rhythm or step count; Weak hurdle / low knee drive; Hesitation / balk; Unstable press (back/inward)</t>
  </si>
  <si>
    <t>Insufficient height; Too close to platform; Off-vertical lean; Off-vertical lean; Late or premature rotation initiation</t>
  </si>
  <si>
    <t>Loose tuck (knees apart; hands not on shins); Bent knees in pike position; Twists not on longitudinal axis (tilt); Under-rotation</t>
  </si>
  <si>
    <t>Past vertical (over-rotated) - approximately 10Â° over; Splash size medium; Past vertical (over-rotated) - degrees estimate; Bent arms at entry</t>
  </si>
  <si>
    <t>Concise summary tied to observations + sub-score: 'The diver starts with perfect stability and alignment; earning a full score,'</t>
  </si>
  <si>
    <t>Concise summary + sub-score: 'Consistent rhythm and good posture throughout the approach; leading to a full score,'</t>
  </si>
  <si>
    <t>Concise summary + sub-score: 'Sufficient height and prompt rotation for a full score,'</t>
  </si>
  <si>
    <t>Concise summary + sub-score: 'Well-formed tuck and straight-line alignment during flight; resulting in a full score,'</t>
  </si>
  <si>
    <t>Concise summary + sub-score: 'Slight over-rotation and lack of feet-together contact result in a lower score,'</t>
  </si>
  <si>
    <t>The diver starts with a stable and upright posture; contributing positively to the initial score,</t>
  </si>
  <si>
    <t>The approach is steady and well-controlled; setting a strong foundation for the take-off,</t>
  </si>
  <si>
    <t>The take-off is powerful and effective; providing a solid base for the subsequent phases,</t>
  </si>
  <si>
    <t>The flight demonstrates good technique with minor deviations impacting the overall quality minimally,</t>
  </si>
  <si>
    <t>The entry has a moderate splash due to a slight bend in the knees; affecting the entry's sharpness,</t>
  </si>
  <si>
    <t>Excellent starting position with stable posture and minimal defects,</t>
  </si>
  <si>
    <t>Solid approach with good rhythm and effective hurdle,</t>
  </si>
  <si>
    <t>Strong take-off with minor over-rotation,</t>
  </si>
  <si>
    <t>Loose tuck position and tilted twists indicating suboptimal execution,</t>
  </si>
  <si>
    <t>Satisfactory entry with feet together but body break at hips,</t>
  </si>
  <si>
    <t>Minor flaws in posture and stability due to visible nerves and re-adjustment,</t>
  </si>
  <si>
    <t>Irregular rhythm and weak hurdle suggest hesitation and lack of confidence,</t>
  </si>
  <si>
    <t>Insufficient height and proximity to platform reduce initial height,</t>
  </si>
  <si>
    <t>Loose tuck and bent knees negatively impact the shape and form of the dive,</t>
  </si>
  <si>
    <t>Over-rotation past vertical and medium splash size decrease the quality of entry,</t>
  </si>
  <si>
    <t>Significant bending of knees and visible nerves/re-adjustment indicate a lower quality start,</t>
  </si>
  <si>
    <t>Irregular rhythm and weak hurdle indicate a less controlled approach,</t>
  </si>
  <si>
    <t>Insufficient height and proximity to the platform suggest a poor take-off,</t>
  </si>
  <si>
    <t>Loose tuck and bent knees indicate a lack of form during flight,</t>
  </si>
  <si>
    <t>Over-rotation past vertical and under-rotation short of vertical contribute to a less optimal entry,</t>
  </si>
  <si>
    <t>Flawless posture and stability at the start</t>
  </si>
  <si>
    <t>Strong and confident approach with steady rhythm and consistent steps</t>
  </si>
  <si>
    <t>Sufficient height and proper alignment for a clean launch</t>
  </si>
  <si>
    <t>Well-formed tuck position with knees close together; maintaining straight line through flight</t>
  </si>
  <si>
    <t>Clean entry with feet together; slight over-rotation impacting final score</t>
  </si>
  <si>
    <t>Stable starting position with minor knee separation impacting initial stability,</t>
  </si>
  <si>
    <t>Regular rhythm and controlled approach without significant flaws,</t>
  </si>
  <si>
    <t>Strong take-off with slight vertical lean affecting potential height,</t>
  </si>
  <si>
    <t>Technical execution with loose tuck and tilt reducing precision,</t>
  </si>
  <si>
    <t>Past vertical and bent arms during entry indicating major errors,</t>
  </si>
  <si>
    <t>Arms not fixed and slight bending of knees indicate starting position flaws</t>
  </si>
  <si>
    <t>Irregular rhythm and weak hurdle suggest hesitation during approach</t>
  </si>
  <si>
    <t>Insufficient height and proximity to platform highlight take-off issues</t>
  </si>
  <si>
    <t>Loose tuck and bent knees affect flight quality</t>
  </si>
  <si>
    <t>Past vertical and bent arms at entry point to entry flaws</t>
  </si>
  <si>
    <t>The diver starts with a stable posture and slight knee separation; indicating good preparation for the dive,</t>
  </si>
  <si>
    <t>The diver approaches steadily with proper footwork and a strong push-off; showcasing excellent technique,</t>
  </si>
  <si>
    <t>The take-off is executed with sufficient height and power; though it could be closer to the platform for optimal leverage,</t>
  </si>
  <si>
    <t>The diver maintains a pike position with consistent twists and a streamlined body; demonstrating precision,</t>
  </si>
  <si>
    <t>The entry is clean with minimal splash; although there is an over-rotation past vertical by about 2 degrees,</t>
  </si>
  <si>
    <t>Good posture with knees slightly apart and arms fixed</t>
  </si>
  <si>
    <t xml:space="preserve"> minor deviation from perfect form,</t>
  </si>
  <si>
    <t>Approach shows hesitation and irregular rhythm</t>
  </si>
  <si>
    <t xml:space="preserve"> needs more consistency,</t>
  </si>
  <si>
    <t>Sufficient height but too close to the platform</t>
  </si>
  <si>
    <t>Knees slightly bent; arms not fixed; minor flaws in posture and arm fixation</t>
  </si>
  <si>
    <t>Hesitation at the start; irregular rhythm; hesitation and irregularity detected</t>
  </si>
  <si>
    <t>Insufficient height; too close to the platform; insufficient height and proximity issues</t>
  </si>
  <si>
    <t>Loose tuck; bent knees in pike position; loose tuck and knee bend observed</t>
  </si>
  <si>
    <t>Past vertical by 10Â°; large splash; entry past vertical and significant splash noted</t>
  </si>
  <si>
    <t>The starting position is excellent with stillness and proper posture, No defects observed,</t>
  </si>
  <si>
    <t>The approach is smooth and well-controlled, No defects observed,</t>
  </si>
  <si>
    <t>The take-off is solid but could be improved for better vertical alignment, Minor over-rotation past vertical by approximately 5 degrees,</t>
  </si>
  <si>
    <t>The flight execution is competent but lacks full rotation and has a small splash, The diver maintains a straight body shape throughout the flight; with knees slightly bent, Under-rotates by about 5 degrees,</t>
  </si>
  <si>
    <t>The entry is satisfactory with good form but could improve for a cleaner finish, Enters the water with feet together and hands closed; creating a medium-sized splash, There is a slight bend at the hips upon entry,</t>
  </si>
  <si>
    <t>The diver starts with a stable posture and slight knee bend; indicating a controlled start,</t>
  </si>
  <si>
    <t>The diver maintains a steady approach with good focus and strong leg drive; though there is a minor lateral drift,</t>
  </si>
  <si>
    <t>The take-off is adequate with sufficient height; but there is a slight lean and late kick-out impacting the initial rotation,</t>
  </si>
  <si>
    <t>The diver enters a pike position with a notable under-rotation; reducing the rotational quality,</t>
  </si>
  <si>
    <t>The entry is well-executed with feet together and a streamlined body; resulting in a medium splash size,</t>
  </si>
  <si>
    <t>Flawless start; indicating excellent preparation for the dive,</t>
  </si>
  <si>
    <t>Strong execution with minor irregularity in the steps,</t>
  </si>
  <si>
    <t>Good height achieved; but slight over-rotation at take-off,</t>
  </si>
  <si>
    <t>Solid form with minor under-rotation,</t>
  </si>
  <si>
    <t>Medium splash due to bent knees upon entry,</t>
  </si>
  <si>
    <t>Competent but with slight wobbles and poor posture,</t>
  </si>
  <si>
    <t>Strong and controlled; showing good technique,</t>
  </si>
  <si>
    <t>Significant flaws affecting initial height and vertical alignment,</t>
  </si>
  <si>
    <t>Multiple small flaws impacting execution,</t>
  </si>
  <si>
    <t>Some issues with vertical alignment and body positioning,</t>
  </si>
  <si>
    <t>Neutral posture with slight bending of knees; contributing to a solid start,</t>
  </si>
  <si>
    <t>Smooth and controlled approach with adequate height and knee drive,</t>
  </si>
  <si>
    <t>Strong leg drive and height; but over-rotation past vertical by approximately 15 degrees lowers the score,</t>
  </si>
  <si>
    <t>Maintains body shape mostly; but twists not perfectly aligned and slight under-rotation present,</t>
  </si>
  <si>
    <t>Clean entry with feet together; but past vertical by approximately 20 degrees affecting the final impression,</t>
  </si>
  <si>
    <t>Strong posture with minimal re-adjustment; contributing positively to the start score,</t>
  </si>
  <si>
    <t>Consistent rhythm and straight line approach add to the high approach score,</t>
  </si>
  <si>
    <t>Sufficient height and strong leg drive result in a full score for take-off,</t>
  </si>
  <si>
    <t>Symmetrical body shape and tight tuck position contribute to a decent flight score; though the tuck is slightly loose,</t>
  </si>
  <si>
    <t>Large splash due to over-rotation reduces the entry score significantly,</t>
  </si>
  <si>
    <t>Excellent start with no visible flaws,</t>
  </si>
  <si>
    <t>Solid approach with minor room for rhythmic improvement,</t>
  </si>
  <si>
    <t>Good take-off with slight lean,</t>
  </si>
  <si>
    <t>Competent flight with minor over-rotation,</t>
  </si>
  <si>
    <t>Clean entry with feet not together,</t>
  </si>
  <si>
    <t>Knees slightly bent; arms not fixed; visible nerves</t>
  </si>
  <si>
    <t>Irregular rhythm; lateral drift; hesitation; irregular rhythm; lateral drift</t>
  </si>
  <si>
    <t>Insufficient height; too close to platform; insufficient height; too close to platform</t>
  </si>
  <si>
    <t>Loose tuck; twists not on longitudinal axis; loose tuck; twists not on longitudinal axis</t>
  </si>
  <si>
    <t>Past vertical (over-rotated) by ~10Â°; large splash; past vertical; large splash</t>
  </si>
  <si>
    <t>The starting position was adequate but had minor flaws such as knee bending and visible nerves; justifying a sub-score of 5,</t>
  </si>
  <si>
    <t>The approach showed regularity in rhythm and step count; with a minor issue of hesitation at the hurdle; earning a sub-score of 6,</t>
  </si>
  <si>
    <t>The take-off lacked sufficient height and proximity to the platform; resulting in a sub-score of 4,</t>
  </si>
  <si>
    <t>The flight phase had loose tucking and twists not aligned on the longitudinal axis; contributing to a sub-score of 7,</t>
  </si>
  <si>
    <t>The entry was past vertical by approximately 10 degrees and resulted in a large splash; leading to a sub-score of 3,</t>
  </si>
  <si>
    <t>The diver's initial posture lacks stability and readiness; contributing to a lower score,</t>
  </si>
  <si>
    <t>Irregular rhythm and lateral drift indicate a lack of control during the approach phase,</t>
  </si>
  <si>
    <t>Insufficient height and off-vertical lean negatively affect the take-off performance,</t>
  </si>
  <si>
    <t>Loose tuck and bent knees compromise aerodynamic efficiency in flight,</t>
  </si>
  <si>
    <t>Past vertical rotation and medium splash result in a controlled but suboptimal entry,</t>
  </si>
  <si>
    <t>Knees slightly bent and visible nerves indicate a need for stillness and better posture</t>
  </si>
  <si>
    <t>Irregular rhythm and weak hurdle suggest hesitation and instability in the approach phase</t>
  </si>
  <si>
    <t>Insufficient height and proximity to the platform highlight issues with take-off execution</t>
  </si>
  <si>
    <t>Loose tuck and bent knees in pike position show minor flaws in the flight phase</t>
  </si>
  <si>
    <t>Significant over-rotation and large splash indicate major execution errors in the entry phase</t>
  </si>
  <si>
    <t>Knees slightly bent and posture could be improved</t>
  </si>
  <si>
    <t xml:space="preserve"> sub-score justified by observed defects</t>
  </si>
  <si>
    <t>Regular rhythm and step count; but late hurdle affects take-off; sub-score justified by observed defects</t>
  </si>
  <si>
    <t>Concise summary tied to observations and sub-score,</t>
  </si>
  <si>
    <t>Concise summary + sub-score,</t>
  </si>
  <si>
    <t>Stable starting position with minor wobble; rated 8 out of 10 for stability and execution</t>
  </si>
  <si>
    <t>Regular rhythm and consistent step count; rated 9 out of 10 for consistency</t>
  </si>
  <si>
    <t>Sufficient height and clean take-off; rated 10 out of 10 for execution</t>
  </si>
  <si>
    <t>Tuck position with slight deviations and over-rotation; rated 7,5 out of 10 for form and execution</t>
  </si>
  <si>
    <t>Past-vertical lean with feet together; rated 6 out of 10 for precision and entry technique</t>
  </si>
  <si>
    <t>The starting position is excellent; showing a calm and balanced stance without any visible nerves or adjustments,</t>
  </si>
  <si>
    <t>The approach is smooth and controlled; demonstrating good technique,</t>
  </si>
  <si>
    <t>The take-off is solid but could be improved for better vertical alignment,</t>
  </si>
  <si>
    <t>The flight execution is mostly correct but lacks precision due to over-rotation,</t>
  </si>
  <si>
    <t>The entry is satisfactory but could benefit from a more streamlined body shape,</t>
  </si>
  <si>
    <t>Knees slightly bent and arms not fixed; indicating slight imbalance and re-adjustment; sub-score 4 due to visible nerves and re-adjustment</t>
  </si>
  <si>
    <t>Hesitation at the hurdle and irregular rhythm; suggesting hesitation and lack of confidence; sub-score 3 due to minor flaws in approach</t>
  </si>
  <si>
    <t>Insufficient height and too close to the platform; affecting initial momentum; sub-score 2 due to insufficient height and proximity to the platform</t>
  </si>
  <si>
    <t>Loose tuck and bent knees in pike position; impacting form and execution quality; sub-score 4 due to consistent issues with body shape during flight phase</t>
  </si>
  <si>
    <t>Past vertical by approximately 10Â° and medium splash size; indicating over-rotation but completion of entry; sub-score 6 due to over-rotation but successful entry completion</t>
  </si>
  <si>
    <t>Stable posture with knees slightly bent and arms fixed</t>
  </si>
  <si>
    <t xml:space="preserve"> no visible wobbling or poor posture</t>
  </si>
  <si>
    <t>Steady rhythm with consistent step counts</t>
  </si>
  <si>
    <t xml:space="preserve"> strong knee drive</t>
  </si>
  <si>
    <t>Sufficient height and proper alignment with platform</t>
  </si>
  <si>
    <t>Loose tuck and slight bend at knees indicate a less than ideal start but within acceptable range for a starting position,</t>
  </si>
  <si>
    <t>Rhythm and hurdle drive are strong points in this phase,</t>
  </si>
  <si>
    <t>Insufficient height and off-vertical lean detract from an otherwise solid take-off,</t>
  </si>
  <si>
    <t>Loose tuck and slight tilt of twists affect the overall execution but maintain a reasonable form,</t>
  </si>
  <si>
    <t>Past vertical and large splash are significant flaws impacting the entry phase,</t>
  </si>
  <si>
    <t>The approach is flawless with a steady rhythm; strong hurdle; and no lateral drift,</t>
  </si>
  <si>
    <t>The take-off is executed with sufficient height and prompt initiation of rotation; maintaining vertical alignment,</t>
  </si>
  <si>
    <t>The flight execution is very good with slight deviation in knee alignment affecting the score,</t>
  </si>
  <si>
    <t>The entry is near-perfect with feet together; hands closed; and a small splash,</t>
  </si>
  <si>
    <t>Solid posture with minor adjustment room for improvement,</t>
  </si>
  <si>
    <t>Smooth and controlled approach leading to a powerful take-off,</t>
  </si>
  <si>
    <t>Strong take-off with slight over-rotation impacting the initial flight phase,</t>
  </si>
  <si>
    <t>Good control and form with slight tilt in twists,</t>
  </si>
  <si>
    <t>Clean entry with medium splash size and under-rotation affecting the final impression,</t>
  </si>
  <si>
    <t>The diver starts with a stable posture but experiences a notable knee separation which impacts the initial stability,</t>
  </si>
  <si>
    <t>The approach is controlled with a steady rhythm and effective leg drive; contributing positively to the overall score,</t>
  </si>
  <si>
    <t>The take-off is close to vertical but slightly leans backward; impacting the potential for a higher score,</t>
  </si>
  <si>
    <t>The diver maintains a pike position but exhibits over-rotation and an asymmetrical body shape; leading to a lower score,</t>
  </si>
  <si>
    <t>The entry is past vertical and features bent arms; resulting in a lower entry phase score,</t>
  </si>
  <si>
    <t>Stable start with minor knee bend</t>
  </si>
  <si>
    <t xml:space="preserve"> excellent posture,</t>
  </si>
  <si>
    <t>Regular rhythm and balanced approach</t>
  </si>
  <si>
    <t xml:space="preserve"> minor improvements possible,</t>
  </si>
  <si>
    <t>Sufficient height but slightly low</t>
  </si>
  <si>
    <t>Posture and stability issues during take-off result in a sub-score of 5,</t>
  </si>
  <si>
    <t>Consistent rhythm and control during the approach contribute to a sub-score of 7,5,</t>
  </si>
  <si>
    <t>Insufficient height and proximity to the platform reduce the take-off score to 6,</t>
  </si>
  <si>
    <t>Loose tuck and slight tilt in twists lead to a sub-score of 6,5,</t>
  </si>
  <si>
    <t>Excessive over-rotation results in a large splash; lowering the entry score to 4,</t>
  </si>
  <si>
    <t>Moderate starting position with slight bending of knees and loose tuck</t>
  </si>
  <si>
    <t xml:space="preserve"> 6,5 sub-score</t>
  </si>
  <si>
    <t>Consistent rhythm with slight hesitation</t>
  </si>
  <si>
    <t xml:space="preserve"> 7,0 sub-score</t>
  </si>
  <si>
    <t>The approach is flawless with consistent rhythm; good hurdle execution; and low knee drive,</t>
  </si>
  <si>
    <t>The take-off is excellent with sufficient height and appropriate distance from the platform,</t>
  </si>
  <si>
    <t>The flight is very good with minor deviations from the ideal tuck position and slight over-rotation,</t>
  </si>
  <si>
    <t>The entry is clean with a medium splash size and feet together; though it could be more vertical for a higher score,</t>
  </si>
  <si>
    <t>Stable start with minor room for improvement in posture</t>
  </si>
  <si>
    <t>Confident and steady approach with no major flaws</t>
  </si>
  <si>
    <t>Solid take-off with effective leg drive and minor lateral drift</t>
  </si>
  <si>
    <t>Exceptional flight phase with precise execution and clean entry</t>
  </si>
  <si>
    <t>Large splash due to slight over-rotation; but otherwise clean entry</t>
  </si>
  <si>
    <t xml:space="preserve"> higher score justified by stability and lack of re-adjustment issues,</t>
  </si>
  <si>
    <t>Smooth rhythm and steady approach</t>
  </si>
  <si>
    <t xml:space="preserve"> slight hesitation lowers the score slightly,</t>
  </si>
  <si>
    <t>Sufficient height and effective leg drive</t>
  </si>
  <si>
    <t>The starting position is excellent with stillness and proper posture; justifying a sub-score of 10,</t>
  </si>
  <si>
    <t>The approach is smooth and controlled; contributing to a sub-score of 10,</t>
  </si>
  <si>
    <t>The take-off is solid with good height and leg drive; earning a sub-score of 10,</t>
  </si>
  <si>
    <t>The flight execution is impeccable with minimal flaws; resulting in a sub-score of 10,</t>
  </si>
  <si>
    <t>The entry is very good with a small splash and feet together; receiving a sub-score of 8,5 due to the over-rotation,</t>
  </si>
  <si>
    <t>Reasonable start with room for improvement on stability and posture,</t>
  </si>
  <si>
    <t>Consistent approach with minor hesitation impacting fluidity,</t>
  </si>
  <si>
    <t>Lack of height and clearance from the platform,</t>
  </si>
  <si>
    <t>Controlled rotation but loose tuck and slight twist deviations,</t>
  </si>
  <si>
    <t>Over-rotation leading to a large splash,</t>
  </si>
  <si>
    <t>The approach is good with a steady rhythm; strong hurdle; and knee drive; however; there is late or premature rotation initiation and lateral drift,</t>
  </si>
  <si>
    <t>The take-off is satisfactory with sufficient height but slightly close to the platform edge and off-vertical lean,</t>
  </si>
  <si>
    <t>The flight is competent with a tuck position and slight over-rotation; however; there is loose tuck and toes not pointed,</t>
  </si>
  <si>
    <t>The entry is acceptable with past vertical (over-rotated) by approximately 5 degrees and a medium splash; however; there is bent arm or knee at entry,</t>
  </si>
  <si>
    <t>Knees slightly bent; poor posture; slight hesitation</t>
  </si>
  <si>
    <t>Irregular rhythm; weak hurdle</t>
  </si>
  <si>
    <t>Insufficient height; too close to platform</t>
  </si>
  <si>
    <t>Loose tuck; twists not on longitudinal axis</t>
  </si>
  <si>
    <t>Past vertical by approximately 10Â°; large splash</t>
  </si>
  <si>
    <t>Loose tuck and slight bending of knees indicate a less than ideal starting position,</t>
  </si>
  <si>
    <t>Consistent rhythm and hurdle drive show good approach execution,</t>
  </si>
  <si>
    <t>Insufficient height and proximity to platform edge highlight a weak take-off,</t>
  </si>
  <si>
    <t>Loose tuck and twists not aligned on the longitudinal axis point to flaws in the flight phase,</t>
  </si>
  <si>
    <t>Past vertical by approximately 10 degrees and a large splash signify significant entry defects,</t>
  </si>
  <si>
    <t>Knees slightly bent upon take-off; over-rotated past vertical by ~10Â°; sub-score: 6,5</t>
  </si>
  <si>
    <t>Regular rhythm with consistent step count; lateral drift; sub-score: 7,5</t>
  </si>
  <si>
    <t>Insufficient height off platform; too close to platform edge; sub-score: 6,0</t>
  </si>
  <si>
    <t>Loose tuck (knees apart); twists not on longitudinal axis (tilt); sub-score: 6,5</t>
  </si>
  <si>
    <t>Past vertical (over-rotated) â€” degrees estimate; feet/hands not together; sub-score: 4,5</t>
  </si>
  <si>
    <t>Lack of stillness and improper posture due to arms not fixed and slightly bent knees,</t>
  </si>
  <si>
    <t>Irregular rhythm and weak hurdle indicating poor preparation for take-off,</t>
  </si>
  <si>
    <t>Insufficient height and proximity to the platform affecting initial momentum,</t>
  </si>
  <si>
    <t>Loose tuck and twists off-axis reducing precision and aesthetics,</t>
  </si>
  <si>
    <t>Over-rotation past vertical impacting control and form upon entry,</t>
  </si>
  <si>
    <t>The starting position is excellent with a strong posture and readiness for the dive,</t>
  </si>
  <si>
    <t>The approach is very good with a steady rhythm and effective knee drive,</t>
  </si>
  <si>
    <t>The take-off is solid with sufficient height and level take-off,</t>
  </si>
  <si>
    <t>The flight is competent with stable body shape; though minor flaws in tuck and twist alignment affect the score,</t>
  </si>
  <si>
    <t>The entry is satisfactory with a medium splash; but over-rotation impacts the quality,</t>
  </si>
  <si>
    <t>The starting position has minor issues with slight bending of the knees and a lack of stillness; justifying a sub-score of 7,0,</t>
  </si>
  <si>
    <t>The approach shows good rhythm and step count; but the hurdle is too low and knee drive is weak; leading to a sub-score of 5,0,</t>
  </si>
  <si>
    <t>The take-off is insufficiently high from the platform and too close to the edge; resulting in a sub-score of 4,0,</t>
  </si>
  <si>
    <t>The flight phase has a loose tuck and bent knees in the pike position; earning a sub-score of 6,0,</t>
  </si>
  <si>
    <t>The entry is past vertical by approximately 10Â°; which is considered over-rotation; but the splash size is medium; giving a sub-score of 8,0,</t>
  </si>
  <si>
    <t xml:space="preserve"> sub-score: 6,5</t>
  </si>
  <si>
    <t>Consistent rhythm and minimal flaws in approach</t>
  </si>
  <si>
    <t xml:space="preserve"> sub-score: 8,0</t>
  </si>
  <si>
    <t>Flawless start with perfect posture and balanced stance,</t>
  </si>
  <si>
    <t>Smooth and controlled approach with consistent rhythm,</t>
  </si>
  <si>
    <t>Excellent execution in the straight position,</t>
  </si>
  <si>
    <t>Good entry with medium splash and feet together at entry,</t>
  </si>
  <si>
    <t>The diver's starting position lacks stillness and proper posture; contributing to a low sub-score,</t>
  </si>
  <si>
    <t>Irregular rhythm; step count; and lateral drift detract from the approach phase's quality,</t>
  </si>
  <si>
    <t>Insufficient height and off-vertical lean result in a sub-par take-off,</t>
  </si>
  <si>
    <t>Loose tuck; bent knees; and misalignment reduce the flight phase's effectiveness,</t>
  </si>
  <si>
    <t>Over-rotation and medium splash indicate a less than ideal entry,</t>
  </si>
  <si>
    <t>overall_scores_GT</t>
  </si>
  <si>
    <t>difficulty_level_GT</t>
  </si>
  <si>
    <t>minicpm_adjustment</t>
  </si>
  <si>
    <t>minicpm_weighted_sum</t>
  </si>
  <si>
    <t>minicpm_value_entry</t>
  </si>
  <si>
    <t>minicpm_value_flight</t>
  </si>
  <si>
    <t>minicpm_value_take_off</t>
  </si>
  <si>
    <t>minicpm_value_approach</t>
  </si>
  <si>
    <t>minicpm_value_starting</t>
  </si>
  <si>
    <t>minicpm_weight_entry</t>
  </si>
  <si>
    <t>minicpm_weight_flight</t>
  </si>
  <si>
    <t>minicpm_weight_take_off</t>
  </si>
  <si>
    <t>minicpm_weight_approach</t>
  </si>
  <si>
    <t>minicpm_weight_starting</t>
  </si>
  <si>
    <t>minicpm_sub_score_entry</t>
  </si>
  <si>
    <t>minicpm_sub_score_flight</t>
  </si>
  <si>
    <t>minicpm_sub_score_take_off</t>
  </si>
  <si>
    <t>minicpm_sub_score_approach</t>
  </si>
  <si>
    <t>minicpm_sub_score_starting</t>
  </si>
  <si>
    <t>minicpm_QoE_Entry</t>
  </si>
  <si>
    <t>minicpm_inference_time_s</t>
  </si>
  <si>
    <t>minicpm_QoE</t>
  </si>
  <si>
    <t>minicpm_QoE_Starting_Position</t>
  </si>
  <si>
    <t>minicpm_QoE_Approach</t>
  </si>
  <si>
    <t>minicpm_QoE_Take_off</t>
  </si>
  <si>
    <t>minicpm_QoE_Flight</t>
  </si>
  <si>
    <t>GT_score</t>
  </si>
  <si>
    <t>qwen_score_1</t>
  </si>
  <si>
    <t>qwen_score_2</t>
  </si>
  <si>
    <t>qwen_score_3</t>
  </si>
  <si>
    <t>llava_score_1</t>
  </si>
  <si>
    <t>llava_score_3</t>
  </si>
  <si>
    <t>llava_score_2</t>
  </si>
  <si>
    <t>minicpm_score_1</t>
  </si>
  <si>
    <t>minicpm_score_2</t>
  </si>
  <si>
    <t>overall_score_cal_all_4</t>
  </si>
  <si>
    <t>overall_score_calulate_qwen_median</t>
  </si>
  <si>
    <t>overall_score_calulate_llava_median</t>
  </si>
  <si>
    <t>overall_score_calulate_minicpm_median</t>
  </si>
  <si>
    <t>overall_score_cal_all_6</t>
  </si>
  <si>
    <t>qwen_Starting_Position_observations</t>
  </si>
  <si>
    <t>qwen_Starting_Position_defects_present</t>
  </si>
  <si>
    <t>qwen_Starting_Position_why_not_higher</t>
  </si>
  <si>
    <t>qwen_Starting_Position_why_not_lower</t>
  </si>
  <si>
    <t>qwen_Approach_observations</t>
  </si>
  <si>
    <t>qwen_Approach_defects_present</t>
  </si>
  <si>
    <t>qwen_Approach_why_not_higher</t>
  </si>
  <si>
    <t>qwen_Approach_why_not_lower</t>
  </si>
  <si>
    <t>qwen_Take_off_observations</t>
  </si>
  <si>
    <t>qwen_Take_off_defects_present</t>
  </si>
  <si>
    <t>qwen_Take_off_why_not_higher</t>
  </si>
  <si>
    <t>qwen_Take_off_why_not_lower</t>
  </si>
  <si>
    <t>qwen_Flight_observations</t>
  </si>
  <si>
    <t>qwen_Flight_defects_present</t>
  </si>
  <si>
    <t>qwen_Flight_why_not_higher</t>
  </si>
  <si>
    <t>qwen_Flight_why_not_lower</t>
  </si>
  <si>
    <t>qwen_Entry_observations</t>
  </si>
  <si>
    <t>qwen_Entry_defects_present</t>
  </si>
  <si>
    <t>qwen_Entry_why_not_higher</t>
  </si>
  <si>
    <t>qwen_Entry_why_not_lower</t>
  </si>
  <si>
    <t>arms fixed, posture upright | no visible nerves or re-adjustment</t>
  </si>
  <si>
    <t>The diver's starting position is excellent, but there's room for improvement.</t>
  </si>
  <si>
    <t>The diver's posture and arm positioning are perfect.</t>
  </si>
  <si>
    <t>smooth approach, consistent rhythm | adequate knee drive</t>
  </si>
  <si>
    <t>The diver's approach is excellent, but there's room for improvement.</t>
  </si>
  <si>
    <t>The diver's approach is smooth and consistent.</t>
  </si>
  <si>
    <t>adequate height, off-vertical lean | strong leg drive</t>
  </si>
  <si>
    <t>off-vertical lean</t>
  </si>
  <si>
    <t>The diver's take-off is strong, but there's room for improvement.</t>
  </si>
  <si>
    <t>The diver's take-off is strong, but there's a slight off-vertical lean.</t>
  </si>
  <si>
    <t>tight tuck, pointed toes | symmetrical body shape</t>
  </si>
  <si>
    <t>The diver's flight is excellent, but there's room for improvement.</t>
  </si>
  <si>
    <t>The diver's flight is tight and symmetrical.</t>
  </si>
  <si>
    <t>past vertical, clean entry | small splash</t>
  </si>
  <si>
    <t>past vertical</t>
  </si>
  <si>
    <t>The diver's entry is excellent, but there's room for improvement.</t>
  </si>
  <si>
    <t>The diver's entry is clean and past vertical.</t>
  </si>
  <si>
    <t>straight posture | arms fixed</t>
  </si>
  <si>
    <t>The diver's posture is excellent, but there is room for improvement in the take-off.</t>
  </si>
  <si>
    <t>The diver's posture is excellent, and there are no visible defects.</t>
  </si>
  <si>
    <t>smooth approach | consistent rhythm</t>
  </si>
  <si>
    <t>The diver's approach is excellent, but there is room for improvement in the take-off.</t>
  </si>
  <si>
    <t>The diver's approach is excellent, and there are no visible defects.</t>
  </si>
  <si>
    <t>adequate height | vertical take-off</t>
  </si>
  <si>
    <t>The diver's take-off is excellent, but there is room for improvement in the flight.</t>
  </si>
  <si>
    <t>The diver's take-off is excellent, and there are no visible defects.</t>
  </si>
  <si>
    <t>tight tuck | correct body shape</t>
  </si>
  <si>
    <t>The diver's flight is excellent, but there is room for improvement in the entry.</t>
  </si>
  <si>
    <t>The diver's flight is excellent, and there are no visible defects.</t>
  </si>
  <si>
    <t>vertical entry | clean splash</t>
  </si>
  <si>
    <t>The diver's entry is excellent, but there is room for improvement in the overall performance.</t>
  </si>
  <si>
    <t>The diver's entry is excellent, and there are no visible defects.</t>
  </si>
  <si>
    <t>Standing still on the platform | Arms fixed and relaxed</t>
  </si>
  <si>
    <t>The diver's starting position is very good, with no visible defects.</t>
  </si>
  <si>
    <t>Walking towards the edge of the platform | Maintaining balance and control</t>
  </si>
  <si>
    <t>The diver's approach is smooth and controlled, but there is room for improvement in the take-off.</t>
  </si>
  <si>
    <t>The diver's approach is excellent, with no visible defects.</t>
  </si>
  <si>
    <t>Jumping off the platform with sufficient height | Legs extended and arms coordinated</t>
  </si>
  <si>
    <t>Off-vertical lean</t>
  </si>
  <si>
    <t>The diver's take-off is good, but there is a slight off-vertical lean.</t>
  </si>
  <si>
    <t>The diver's take-off is excellent, with no visible defects.</t>
  </si>
  <si>
    <t>Executing a tuck position with knees together | Twists on the longitudinal axis</t>
  </si>
  <si>
    <t>Loose tuck (knees apart)</t>
  </si>
  <si>
    <t>The diver's flight is good, but there is a loose tuck.</t>
  </si>
  <si>
    <t>The diver's flight is excellent, with no visible defects.</t>
  </si>
  <si>
    <t>Entering the water with a clean splash | Feet together and arms extended</t>
  </si>
  <si>
    <t>Past vertical (over-rotated)</t>
  </si>
  <si>
    <t>The diver's entry is good, but there is a slight over-rotation.</t>
  </si>
  <si>
    <t>The diver's entry is excellent, with no visible defects.</t>
  </si>
  <si>
    <t>Standing still, no wobble | Good posture, no visible nerves</t>
  </si>
  <si>
    <t>The diver's form is excellent, with no visible defects.</t>
  </si>
  <si>
    <t>Smooth approach, no hesitation | Proper rhythm and step count</t>
  </si>
  <si>
    <t>The diver's approach is smooth and well-executed.</t>
  </si>
  <si>
    <t>Height sufficient for takeoff | Proper distance from the platform</t>
  </si>
  <si>
    <t>The diver's takeoff is strong and well-executed.</t>
  </si>
  <si>
    <t>Tucked properly throughout flight | No loose tucks or bent knees</t>
  </si>
  <si>
    <t>The diver's flight is well-executed with no visible defects.</t>
  </si>
  <si>
    <t>Entry past vertical, good rotation | Small splash upon entry</t>
  </si>
  <si>
    <t>Past vertical entry</t>
  </si>
  <si>
    <t>The diver's entry is past vertical, which is a slight flaw.</t>
  </si>
  <si>
    <t>Good posture, arms fixed | No visible nerves or re-adjustment</t>
  </si>
  <si>
    <t>The diver's form is excellent, with no visible flaws.</t>
  </si>
  <si>
    <t>Smooth approach, consistent rhythm | Proper hurdle height</t>
  </si>
  <si>
    <t>The diver's approach is smooth and consistent, with no visible flaws.</t>
  </si>
  <si>
    <t>Height sufficient for a clean take-off | Proper leg drive</t>
  </si>
  <si>
    <t>The diver's take-off is clean and powerful, with no visible flaws.</t>
  </si>
  <si>
    <t>Tuck position maintained throughout flight | Knees together in tuck</t>
  </si>
  <si>
    <t>The diver's flight is smooth and controlled, with no visible flaws.</t>
  </si>
  <si>
    <t>Entry past vertical, clean splash | Feet together at entry</t>
  </si>
  <si>
    <t>The diver's entry is past vertical, which is a minor flaw.</t>
  </si>
  <si>
    <t>Arms fixed, posture upright | No visible nerves or re-adjustment</t>
  </si>
  <si>
    <t>The starting position is excellent, with no visible defects.</t>
  </si>
  <si>
    <t>The posture and arm fixation are perfect, indicating a high-quality start.</t>
  </si>
  <si>
    <t>Smooth approach with consistent rhythm | Knee drive is strong</t>
  </si>
  <si>
    <t>The approach is smooth and rhythmic, with strong knee drive.</t>
  </si>
  <si>
    <t>There are no visible flaws in the approach.</t>
  </si>
  <si>
    <t>Height is sufficient | Platform contact is clean</t>
  </si>
  <si>
    <t>The take-off is clean and shows good height.</t>
  </si>
  <si>
    <t>There are no visible flaws in the take-off.</t>
  </si>
  <si>
    <t>Tuck is tight with knees close | Rotation is well-executed</t>
  </si>
  <si>
    <t>The flight is characterized by a tight tuck and well-executed rotation.</t>
  </si>
  <si>
    <t>There are no visible flaws in the flight.</t>
  </si>
  <si>
    <t>Entry is vertical with minimal splash | Body is compact upon entry</t>
  </si>
  <si>
    <t>Splash size is small</t>
  </si>
  <si>
    <t>The entry is vertical and compact, with minimal splash.</t>
  </si>
  <si>
    <t>The splash size is small, indicating a near-perfect entry.</t>
  </si>
  <si>
    <t>straight posture | fixed arms</t>
  </si>
  <si>
    <t>The diver maintains a straight posture and fixed arms, indicating good control and technique.</t>
  </si>
  <si>
    <t>There are no visible defects in the starting position.</t>
  </si>
  <si>
    <t>The approach is smooth and consistent, showing good technique.</t>
  </si>
  <si>
    <t>There are no visible defects in the approach.</t>
  </si>
  <si>
    <t>The take-off shows adequate height and a vertical take-off, indicating good technique.</t>
  </si>
  <si>
    <t>There are no visible defects in the take-off.</t>
  </si>
  <si>
    <t>The flight shows a tight tuck and correct body shape, indicating good technique.</t>
  </si>
  <si>
    <t>There are no visible defects in the flight.</t>
  </si>
  <si>
    <t>entry past vertical</t>
  </si>
  <si>
    <t>The entry is clean and vertical, but there is a slight over-rotation.</t>
  </si>
  <si>
    <t>The entry is mostly clean and vertical, with only a slight over-rotation.</t>
  </si>
  <si>
    <t>The diver maintains a straight posture and fixed arms, indicating good starting position.</t>
  </si>
  <si>
    <t>The approach is smooth and consistent, indicating good technique.</t>
  </si>
  <si>
    <t>The take-off has adequate height and is vertical, indicating good technique.</t>
  </si>
  <si>
    <t>tight tuck | aligned body</t>
  </si>
  <si>
    <t>The flight is characterized by a tight tuck and aligned body, indicating good technique.</t>
  </si>
  <si>
    <t>The entry is vertical and clean, indicating good technique.</t>
  </si>
  <si>
    <t>There are no visible defects in the entry.</t>
  </si>
  <si>
    <t>The diver's starting position is excellent, with no visible defects.</t>
  </si>
  <si>
    <t>The diver's posture and arm fixation are perfect.</t>
  </si>
  <si>
    <t>The approach is smooth and consistent, with no visible defects.</t>
  </si>
  <si>
    <t>The diver's approach is well-executed without any issues.</t>
  </si>
  <si>
    <t>The take-off is strong, but there is a slight off-vertical lean.</t>
  </si>
  <si>
    <t>The take-off is strong, but the off-vertical lean slightly impacts the score.</t>
  </si>
  <si>
    <t>The flight is excellent, with no visible defects.</t>
  </si>
  <si>
    <t>The entry is clean, but the diver over-rotates slightly.</t>
  </si>
  <si>
    <t>The diver's posture is very good, and there are no significant defects.</t>
  </si>
  <si>
    <t>The diver's approach is very good, and there are no significant defects.</t>
  </si>
  <si>
    <t>adequate height | close to the platform</t>
  </si>
  <si>
    <t>The diver's take-off is very good, and there are no significant defects.</t>
  </si>
  <si>
    <t>The diver's flight is very good, and there are no significant defects.</t>
  </si>
  <si>
    <t>correct body shape | small splash</t>
  </si>
  <si>
    <t>The diver's entry is very good, and there are no significant defects.</t>
  </si>
  <si>
    <t>Still posture with arms fixed, no visible nerves or re-adjustment | Proper tuck position with knees close together</t>
  </si>
  <si>
    <t>Smooth approach with consistent rhythm | Proper take-off height</t>
  </si>
  <si>
    <t>Strong leg drive during take-off | Proper take-off height</t>
  </si>
  <si>
    <t>The diver's take-off is strong and proper, with no visible flaws.</t>
  </si>
  <si>
    <t>Proper tuck position throughout flight | Knees close together in tuck</t>
  </si>
  <si>
    <t>The diver maintains a proper tuck position throughout the flight, with no visible flaws.</t>
  </si>
  <si>
    <t>Proper entry with feet together | Vertical entry without over-rotation</t>
  </si>
  <si>
    <t>The diver's entry is vertical and proper, with no visible flaws.</t>
  </si>
  <si>
    <t>The diver maintains a straight posture and fixed arms, indicating good preparation.</t>
  </si>
  <si>
    <t>The flight demonstrates a tight tuck and correct body shape, indicating good technique.</t>
  </si>
  <si>
    <t>Good posture, no wobble | Arms fixed, no visible nerves</t>
  </si>
  <si>
    <t>The diver's form is excellent, but there's room for improvement.</t>
  </si>
  <si>
    <t>The diver's form is very good, with no significant flaws.</t>
  </si>
  <si>
    <t>Smooth approach, no hesitation | Proper rhythm maintained</t>
  </si>
  <si>
    <t>The diver's approach is very good, with no significant flaws.</t>
  </si>
  <si>
    <t>Height sufficient, no wobble | Leg drive strong</t>
  </si>
  <si>
    <t>The diver's take-off is excellent, but there's room for improvement.</t>
  </si>
  <si>
    <t>The diver's take-off is very good, with no significant flaws.</t>
  </si>
  <si>
    <t>Tuck position maintained throughout | Body shape symmetrical</t>
  </si>
  <si>
    <t>The diver's flight is very good, with no significant flaws.</t>
  </si>
  <si>
    <t>Vertical entry achieved | Small splash</t>
  </si>
  <si>
    <t>No over-rotation or under-rotation</t>
  </si>
  <si>
    <t>The diver's entry is very good, with no significant flaws.</t>
  </si>
  <si>
    <t>Standing still, posture upright | Arms fixed, no visible nerves</t>
  </si>
  <si>
    <t>The diver's posture and arm positioning are excellent, indicating a strong starting position.</t>
  </si>
  <si>
    <t>Smooth approach, consistent rhythm | Knee drive is strong</t>
  </si>
  <si>
    <t>The approach is smooth and rhythmic, suggesting a strong execution.</t>
  </si>
  <si>
    <t>Height sufficient for a clean take-off | Leg drive is strong</t>
  </si>
  <si>
    <t>The take-off is strong and sufficient for a clean entry.</t>
  </si>
  <si>
    <t>Tuck is tight, knees close | Rotation is well-executed</t>
  </si>
  <si>
    <t>Entry is vertical, no splash | Feet and hands together</t>
  </si>
  <si>
    <t>The entry is vertical and there is no splash, indicating a strong and clean entry.</t>
  </si>
  <si>
    <t>smooth approach, consistent rhythm | knee drive is strong</t>
  </si>
  <si>
    <t>The approach is smooth and consistent, with strong knee drive.</t>
  </si>
  <si>
    <t>No visible defects in the approach phase.</t>
  </si>
  <si>
    <t>adequate height, off-vertical lean | legs are coordinated</t>
  </si>
  <si>
    <t>The take-off has some off-vertical lean, affecting the score.</t>
  </si>
  <si>
    <t>The take-off is generally strong, with adequate height and coordination.</t>
  </si>
  <si>
    <t>tight tuck, pointed toes | body shape is symmetrical</t>
  </si>
  <si>
    <t>loose tuck</t>
  </si>
  <si>
    <t>The flight has a loose tuck, affecting the score.</t>
  </si>
  <si>
    <t>The flight is generally strong, with tight tuck and pointed toes.</t>
  </si>
  <si>
    <t>entry is vertical, splash is small | feet and hands together</t>
  </si>
  <si>
    <t>The entry is slightly over-rotated, affecting the score.</t>
  </si>
  <si>
    <t>The entry is generally strong, with vertical entry and small splash.</t>
  </si>
  <si>
    <t>The diver's posture is excellent, but there is room for improvement in the approach.</t>
  </si>
  <si>
    <t>No hesitation or balk | Consistent rhythm and step count</t>
  </si>
  <si>
    <t>The diver's approach is very good, with no visible defects.</t>
  </si>
  <si>
    <t>The diver's take-off is very good, with no visible defects.</t>
  </si>
  <si>
    <t>Tuck position maintained throughout the flight | Knees close together</t>
  </si>
  <si>
    <t>The diver's flight is very good, with no visible defects.</t>
  </si>
  <si>
    <t>Entry is vertical and clean | No splash</t>
  </si>
  <si>
    <t>The diver's entry is very good, with no visible defects.</t>
  </si>
  <si>
    <t>The diver's approach is smooth and consistent, with no visible defects.</t>
  </si>
  <si>
    <t>The diver's take-off is strong and well-executed, with no visible defects.</t>
  </si>
  <si>
    <t>Tuck position maintained throughout flight | Body shape symmetrical</t>
  </si>
  <si>
    <t>The diver's flight is well-executed, with no visible defects.</t>
  </si>
  <si>
    <t>Entry is vertical, no over-rotation | Splash is small and controlled</t>
  </si>
  <si>
    <t>The diver's entry is vertical and well-executed, with no visible defects.</t>
  </si>
  <si>
    <t>The approach is smooth and consistent, suggesting a strong execution.</t>
  </si>
  <si>
    <t>The take-off has adequate height and is vertical, indicating a strong execution.</t>
  </si>
  <si>
    <t>The flight shows a tight tuck and correct body shape, indicating a strong execution.</t>
  </si>
  <si>
    <t>The entry is vertical and clean, indicating a strong execution.</t>
  </si>
  <si>
    <t>Smooth approach, no hesitation | Proper rhythm maintained throughout</t>
  </si>
  <si>
    <t>Height sufficient for takeoff | Leg drive strong and coordinated</t>
  </si>
  <si>
    <t>The diver's takeoff is strong and well-coordinated.</t>
  </si>
  <si>
    <t>The diver's flight is well-executed with no visible flaws.</t>
  </si>
  <si>
    <t>Entry past vertical, strong rotation | Splash size medium</t>
  </si>
  <si>
    <t>The diver's entry is strong and past vertical, but there is a slight over-rotation.</t>
  </si>
  <si>
    <t>The take-off has some off-vertical lean, affecting the score slightly.</t>
  </si>
  <si>
    <t>The take-off is generally strong, with good height and coordination.</t>
  </si>
  <si>
    <t>The flight has a loose tuck, which affects the score.</t>
  </si>
  <si>
    <t>The rest of the flight is strong, with good body shape and pointed toes.</t>
  </si>
  <si>
    <t>entry is vertical, feet together | arms are extended</t>
  </si>
  <si>
    <t>splash size is large</t>
  </si>
  <si>
    <t>The entry is vertical, but the splash is large, impacting the score.</t>
  </si>
  <si>
    <t>The entry is clean, with no other visible defects.</t>
  </si>
  <si>
    <t>Stillness maintained throughout the dive | Posture upright and balanced</t>
  </si>
  <si>
    <t>The diver's form is impeccable, with no visible wobble or imbalance.</t>
  </si>
  <si>
    <t>Smooth and consistent approach | Proper rhythm maintained</t>
  </si>
  <si>
    <t>The diver's approach is smooth and consistent, with proper rhythm maintained.</t>
  </si>
  <si>
    <t>Height sufficient for a clean take-off | Leg drive strong and coordinated</t>
  </si>
  <si>
    <t>The diver's take-off is strong and coordinated, with sufficient height.</t>
  </si>
  <si>
    <t>The diver's flight is symmetrical and maintains a tight tuck position.</t>
  </si>
  <si>
    <t>Vertical entry achieved | Splash size small</t>
  </si>
  <si>
    <t>The diver's entry is vertical, with minimal splash.</t>
  </si>
  <si>
    <t>The diver's entry is over-rotated, resulting in a larger splash.</t>
  </si>
  <si>
    <t>The diver's posture and arm positioning are ideal.</t>
  </si>
  <si>
    <t>Tuck is tight | Body shape is symmetrical</t>
  </si>
  <si>
    <t>The flight is characterized by a tight tuck and symmetrical body shape.</t>
  </si>
  <si>
    <t>Entry is vertical | Splash is small</t>
  </si>
  <si>
    <t>The entry is vertical and the splash is small.</t>
  </si>
  <si>
    <t>There are no visible flaws in the entry.</t>
  </si>
  <si>
    <t>Good posture, no visible nerves | Arms fixed, no wobble</t>
  </si>
  <si>
    <t>No significant flaws observed.</t>
  </si>
  <si>
    <t>Posture and arm positioning are excellent.</t>
  </si>
  <si>
    <t>No hesitation or irregularities noted.</t>
  </si>
  <si>
    <t>Approach is smooth and consistent.</t>
  </si>
  <si>
    <t>Height sufficient for platform | Proper distance from platform</t>
  </si>
  <si>
    <t>No issues with take-off height or distance.</t>
  </si>
  <si>
    <t>Take-off is clean and effective.</t>
  </si>
  <si>
    <t>Tuck position maintained throughout | Knees close to chest</t>
  </si>
  <si>
    <t>No looseness or asymmetry observed.</t>
  </si>
  <si>
    <t>Flight is consistent and controlled.</t>
  </si>
  <si>
    <t>Vertical entry, no over-rotation | Clean splash</t>
  </si>
  <si>
    <t>Entry is vertical and clean.</t>
  </si>
  <si>
    <t>No issues with entry or splash.</t>
  </si>
  <si>
    <t>The diver's approach is smooth and consistent, but there is room for improvement in the take-off.</t>
  </si>
  <si>
    <t>The diver's approach is smooth and consistent, and there are no visible defects.</t>
  </si>
  <si>
    <t>The diver's take-off is adequate and close to the platform, but there is room for improvement in the flight.</t>
  </si>
  <si>
    <t>The diver's take-off is adequate and close to the platform, and there are no visible defects.</t>
  </si>
  <si>
    <t>The diver's flight is tight and has a correct body shape, but there is room for improvement in the entry.</t>
  </si>
  <si>
    <t>The diver's flight is tight and has a correct body shape, and there are no visible defects.</t>
  </si>
  <si>
    <t>The diver's entry is correct and has a small splash, but there is room for improvement in the take-off.</t>
  </si>
  <si>
    <t>The diver's entry is correct and has a small splash, and there are no visible defects.</t>
  </si>
  <si>
    <t>The take-off shows adequate height and a vertical take-off, indicating good execution.</t>
  </si>
  <si>
    <t>The diver's take-off is good, but there is an off-vertical lean.</t>
  </si>
  <si>
    <t>The diver's take-off is satisfactory, and there are no significant defects.</t>
  </si>
  <si>
    <t>tight tuck | pointed toes</t>
  </si>
  <si>
    <t>twist not on longitudinal axis</t>
  </si>
  <si>
    <t>The diver's flight is very good, but there is a twist not on the longitudinal axis.</t>
  </si>
  <si>
    <t>The diver's flight is good, and there are no significant defects.</t>
  </si>
  <si>
    <t>past vertical | medium splash</t>
  </si>
  <si>
    <t>bent arms at entry</t>
  </si>
  <si>
    <t>The diver's entry is satisfactory, but there is a bent arm at entry.</t>
  </si>
  <si>
    <t>The diver's entry is good, and there are no significant defects.</t>
  </si>
  <si>
    <t>vertical entry | small splash</t>
  </si>
  <si>
    <t>Smooth approach, no hesitation | Consistent rhythm and step count</t>
  </si>
  <si>
    <t>Height sufficient for take-off | Leg drive is strong</t>
  </si>
  <si>
    <t>Take-off is strong and consistent.</t>
  </si>
  <si>
    <t>Tuck is tight, knees close | Rotation is precise</t>
  </si>
  <si>
    <t>Flight is precise and controlled.</t>
  </si>
  <si>
    <t>Entry is vertical, no over-rotation | Splash is small and clean</t>
  </si>
  <si>
    <t>The posture and arm fixation are excellent.</t>
  </si>
  <si>
    <t>There are no visible defects.</t>
  </si>
  <si>
    <t>The approach is smooth and rhythmic.</t>
  </si>
  <si>
    <t>The take-off is clean and powerful.</t>
  </si>
  <si>
    <t>The flight is well-executed with a tight tuck and precise rotation.</t>
  </si>
  <si>
    <t>Vertical entry, no splash | Feet and hands together</t>
  </si>
  <si>
    <t>The entry is vertical and clean.</t>
  </si>
  <si>
    <t>Standing tall with straight legs, arms fixed against sides | No visible nerves or readjustments</t>
  </si>
  <si>
    <t>The diver's posture is excellent, but there is room for improvement in the flight phase.</t>
  </si>
  <si>
    <t>The starting position is nearly perfect, with no visible defects.</t>
  </si>
  <si>
    <t>Smooth approach with consistent rhythm | No hesitation or lateral drift</t>
  </si>
  <si>
    <t>The approach is excellent, but the take-off could be slightly more powerful.</t>
  </si>
  <si>
    <t>Powerful leg drive with good height | Platform contact is clean and precise</t>
  </si>
  <si>
    <t>The take-off is excellent, but the flight could be slightly more powerful.</t>
  </si>
  <si>
    <t>The take-off is clean and precise, with no visible defects.</t>
  </si>
  <si>
    <t>Strong tuck with knees together | Body is aligned along the longitudinal axis</t>
  </si>
  <si>
    <t>The flight is excellent, but the entry could be slightly more powerful.</t>
  </si>
  <si>
    <t>The flight is strong and well-executed, with no visible defects.</t>
  </si>
  <si>
    <t>Vertical entry with no over-rotation | Clean splash with minimal disturbance</t>
  </si>
  <si>
    <t>The entry is excellent, but the take-off could be slightly more powerful.</t>
  </si>
  <si>
    <t>The entry is vertical and clean, with no visible defects.</t>
  </si>
  <si>
    <t>The diver maintains a straight posture and fixed arms, indicating good control and form.</t>
  </si>
  <si>
    <t>Standing still, posture upright | Arms fixed against sides</t>
  </si>
  <si>
    <t>No visible wobble or adjustment.</t>
  </si>
  <si>
    <t>Standing still and posture upright indicate good preparation.</t>
  </si>
  <si>
    <t>Smooth approach without hesitation | Consistent rhythm</t>
  </si>
  <si>
    <t>No visible hesitation or irregularity.</t>
  </si>
  <si>
    <t>Smooth approach indicates good control.</t>
  </si>
  <si>
    <t>Height sufficient for platform clearance | Leg drive initiated early</t>
  </si>
  <si>
    <t>No visible lack of height or late leg drive.</t>
  </si>
  <si>
    <t>Early leg drive indicates good take-off.</t>
  </si>
  <si>
    <t>Tuck position maintained throughout flight | Knees close to chest</t>
  </si>
  <si>
    <t>No visible loose tuck or bent knees.</t>
  </si>
  <si>
    <t>Maintained tuck position indicates good flight.</t>
  </si>
  <si>
    <t>Vertical entry with minimal splash | Feet together at entry</t>
  </si>
  <si>
    <t>Minimal splash and feet together indicate good entry.</t>
  </si>
  <si>
    <t>Over-rotation past vertical suggests some loss of form.</t>
  </si>
  <si>
    <t>The starting position is excellent, but the score is capped at 9.0 due to the presence of minor defects.</t>
  </si>
  <si>
    <t>The posture and arm fixation are very good, indicating a high-quality starting position.</t>
  </si>
  <si>
    <t>The approach is smooth and consistent, but the score is capped at 9.0 due to the presence of minor defects.</t>
  </si>
  <si>
    <t>The approach shows no hesitation or irregularities, indicating a strong execution.</t>
  </si>
  <si>
    <t>adequate height, off-vertical lean is minimal | leg drive is strong</t>
  </si>
  <si>
    <t>The take-off is strong, but the score is capped at 9.0 due to the presence of minor defects.</t>
  </si>
  <si>
    <t>The take-off shows no hesitation or irregularities, indicating a strong execution.</t>
  </si>
  <si>
    <t>knees close together, hands on shins | body shape is symmetrical</t>
  </si>
  <si>
    <t>The flight is excellent, but the score is capped at 9.0 due to the presence of minor defects.</t>
  </si>
  <si>
    <t>The flight shows no looseness or asymmetry, indicating a strong execution.</t>
  </si>
  <si>
    <t>entry is vertical, no splash | feet and hands together</t>
  </si>
  <si>
    <t>The entry is excellent, but the score is capped at 9.0 due to the presence of minor defects.</t>
  </si>
  <si>
    <t>The entry shows no over-rotation or under-rotation, indicating a strong execution.</t>
  </si>
  <si>
    <t>still posture | arms fixed</t>
  </si>
  <si>
    <t>The diver maintains a straight posture and fixed arms, indicating good control and balance.</t>
  </si>
  <si>
    <t>Smooth approach, consistent rhythm | Proper hurdle technique</t>
  </si>
  <si>
    <t>High take-off, sufficient height | Proper leg drive</t>
  </si>
  <si>
    <t>Good tuck, knees together | Proper body alignment</t>
  </si>
  <si>
    <t>Proper entry, vertical rotation | Small splash</t>
  </si>
  <si>
    <t>The take-off is generally strong, with adequate height and coordinated legs.</t>
  </si>
  <si>
    <t>entry is vertical, splash is small | arms are extended</t>
  </si>
  <si>
    <t>entry is not perfectly vertical</t>
  </si>
  <si>
    <t>The entry is not perfectly vertical, affecting the score slightly.</t>
  </si>
  <si>
    <t>The entry is generally strong, with a small splash and extended arms.</t>
  </si>
  <si>
    <t>The take-off has some off-vertical lean, which slightly reduces the score.</t>
  </si>
  <si>
    <t>The flight has a loose tuck, which slightly reduces the score.</t>
  </si>
  <si>
    <t>The entry is slightly over-rotated, which reduces the score.</t>
  </si>
  <si>
    <t>The flight shows a tight tuck and aligned body, indicating good technique.</t>
  </si>
  <si>
    <t>adequate height | balanced take-off</t>
  </si>
  <si>
    <t>Smooth and consistent steps | Proper rhythm maintained</t>
  </si>
  <si>
    <t>Height achieved | Platform contact avoided</t>
  </si>
  <si>
    <t>Tucked position maintained | Rotation initiated early</t>
  </si>
  <si>
    <t>Vertical entry achieved | Small splash created</t>
  </si>
  <si>
    <t>The diver's posture and arm positioning are excellent, but there is room for improvement in the take-off.</t>
  </si>
  <si>
    <t>The starting position is very good, with no visible defects.</t>
  </si>
  <si>
    <t>smooth approach, consistent rhythm | no hesitation or lateral drift</t>
  </si>
  <si>
    <t>adequate height, off-vertical lean | weak leg drive</t>
  </si>
  <si>
    <t>weak leg drive</t>
  </si>
  <si>
    <t>The take-off is adequate, but the weak leg drive affects the overall quality.</t>
  </si>
  <si>
    <t>The take-off has some issues, but the diver's posture and approach are good.</t>
  </si>
  <si>
    <t>loose tuck, bent knees in pike | toes not pointed</t>
  </si>
  <si>
    <t>loose tuck | bent knees in pike | toes not pointed</t>
  </si>
  <si>
    <t>The flight has several visible flaws, including a loose tuck and bent knees.</t>
  </si>
  <si>
    <t>The flight is not completely failed, as the diver maintains a straight position during most of the dive.</t>
  </si>
  <si>
    <t>past vertical, large splash | feet/hands not together</t>
  </si>
  <si>
    <t>past vertical | large splash | feet/hands not together</t>
  </si>
  <si>
    <t>The entry is poor due to the large splash and feet/hands not being together.</t>
  </si>
  <si>
    <t>The entry has significant flaws, but the diver's posture and approach were good.</t>
  </si>
  <si>
    <t>The diver's posture and arm positioning are excellent.</t>
  </si>
  <si>
    <t>There are no significant defects in the starting position.</t>
  </si>
  <si>
    <t>Smooth approach, consistent rhythm | Proper step count</t>
  </si>
  <si>
    <t>The approach is smooth and consistent.</t>
  </si>
  <si>
    <t>There are no significant defects in the approach.</t>
  </si>
  <si>
    <t>Height sufficient for takeoff | Proper distance from platform</t>
  </si>
  <si>
    <t>The takeoff height and distance are appropriate.</t>
  </si>
  <si>
    <t>There are no significant defects in the takeoff.</t>
  </si>
  <si>
    <t>Tucked properly, knees close | Toes pointed</t>
  </si>
  <si>
    <t>The flight is well-executed with proper tucking.</t>
  </si>
  <si>
    <t>There are no significant defects in the flight.</t>
  </si>
  <si>
    <t>Vertical entry, no over-rotation | Splash size medium</t>
  </si>
  <si>
    <t>No visible defects</t>
  </si>
  <si>
    <t>The entry is vertical and well-controlled.</t>
  </si>
  <si>
    <t>There are no significant defects in the entry.</t>
  </si>
  <si>
    <t>Approach is smooth and rhythmic.</t>
  </si>
  <si>
    <t>Height sufficient for takeoff | Leg drive strong</t>
  </si>
  <si>
    <t>Takeoff is strong and height is sufficient.</t>
  </si>
  <si>
    <t>Flight is smooth and tuck position is maintained.</t>
  </si>
  <si>
    <t>Entry past vertical, over-rotated | Splash size medium</t>
  </si>
  <si>
    <t>Past vertical | Medium splash</t>
  </si>
  <si>
    <t>Over-rotation and medium splash are present.</t>
  </si>
  <si>
    <t>The dive is still very good despite the flaws.</t>
  </si>
  <si>
    <t>Man is standing still on the diving board. | Arms are fixed and posture is good.</t>
  </si>
  <si>
    <t>The posture and stillness are excellent.</t>
  </si>
  <si>
    <t>Man approaches the diving board with a steady rhythm. | Knee drive is strong.</t>
  </si>
  <si>
    <t>Man takes off with sufficient height. | Leg drive is strong.</t>
  </si>
  <si>
    <t>The take-off is strong and well-executed.</t>
  </si>
  <si>
    <t>Man performs a clean tuck during flight. | Body is aligned and symmetric.</t>
  </si>
  <si>
    <t>The flight is well-executed with a clean tuck.</t>
  </si>
  <si>
    <t>Man enters the water with a clean splash. | Vertical entry is achieved.</t>
  </si>
  <si>
    <t>The entry is clean and vertical.</t>
  </si>
  <si>
    <t>Standing still on the edge of the platform | Arms fixed and relaxed</t>
  </si>
  <si>
    <t>The approach is excellent, but there is room for improvement in the take-off.</t>
  </si>
  <si>
    <t>The take-off is excellent, but there is room for improvement in the flight.</t>
  </si>
  <si>
    <t>The flight is excellent, but there is room for improvement in the entry.</t>
  </si>
  <si>
    <t>The entry is excellent, but there is room for improvement in the overall performance.</t>
  </si>
  <si>
    <t>The take-off is adequate and vertical.</t>
  </si>
  <si>
    <t>The flight is tight and maintains correct body shape.</t>
  </si>
  <si>
    <t>Arms raised above head, posture upright | No visible nerves or re-adjustment</t>
  </si>
  <si>
    <t>None</t>
  </si>
  <si>
    <t>The posture is excellent, but the score is capped due to the lack of a perfect tuck.</t>
  </si>
  <si>
    <t>The posture and arm positioning are very good.</t>
  </si>
  <si>
    <t>The approach is smooth and consistent, but the score is capped due to the lack of a perfect tuck.</t>
  </si>
  <si>
    <t>The approach is excellent, with no visible flaws.</t>
  </si>
  <si>
    <t>Height sufficient for a 10m platform | Leg drive is strong and coordinated</t>
  </si>
  <si>
    <t>The take-off is strong and well-coordinated, but the score is capped due to the lack of a perfect tuck.</t>
  </si>
  <si>
    <t>The take-off is excellent, with no visible flaws.</t>
  </si>
  <si>
    <t>Tuck is tight, knees close together | Rotation is precise and symmetrical</t>
  </si>
  <si>
    <t>The flight is excellent, with no visible flaws, but the score is capped due to the lack of a perfect tuck.</t>
  </si>
  <si>
    <t>The flight is excellent, with no visible flaws.</t>
  </si>
  <si>
    <t>The entry is excellent, with no visible flaws, but the score is capped due to the lack of a perfect tuck.</t>
  </si>
  <si>
    <t>The entry is excellent, with no visible flaws.</t>
  </si>
  <si>
    <t>The starting position is excellent, but the score is capped at 9 due to the presence of a minor defect.</t>
  </si>
  <si>
    <t>The posture and arm fixation are perfect, indicating a high-quality starting position.</t>
  </si>
  <si>
    <t>The approach is flawless, but the score is capped at 9 due to the presence of a minor defect.</t>
  </si>
  <si>
    <t>The rhythm and consistency are perfect, indicating a high-quality approach.</t>
  </si>
  <si>
    <t>adequate height, balanced take-off | no off-vertical lean</t>
  </si>
  <si>
    <t>The take-off is excellent, but the score is capped at 9 due to the presence of a minor defect.</t>
  </si>
  <si>
    <t>The height and balance are perfect, indicating a high-quality take-off.</t>
  </si>
  <si>
    <t>The flight is flawless, but the score is capped at 9 due to the presence of a minor defect.</t>
  </si>
  <si>
    <t>The tuck and symmetry are perfect, indicating a high-quality flight.</t>
  </si>
  <si>
    <t>vertical entry, clean splash | no bent arms or knees</t>
  </si>
  <si>
    <t>The entry is excellent, but the score is capped at 9 due to the presence of a minor defect.</t>
  </si>
  <si>
    <t>The verticality and clean splash are perfect, indicating a high-quality entry.</t>
  </si>
  <si>
    <t>The approach is very good, with no visible defects.</t>
  </si>
  <si>
    <t>The take-off is good, but the off-vertical lean slightly affects the score.</t>
  </si>
  <si>
    <t>The take-off is very good, with no visible defects.</t>
  </si>
  <si>
    <t>tight tuck | straight legs</t>
  </si>
  <si>
    <t>The flight is excellent, but the twist not on longitudinal axis slightly affects the score.</t>
  </si>
  <si>
    <t>The flight is very good, with no visible defects.</t>
  </si>
  <si>
    <t>feet/hands not together</t>
  </si>
  <si>
    <t>The entry is good, but the feet/hands not together slightly affects the score.</t>
  </si>
  <si>
    <t>The entry is very good, with no visible defects.</t>
  </si>
  <si>
    <t>Approach is smooth and well-executed.</t>
  </si>
  <si>
    <t>Height sufficient for take-off | Leg drive strong</t>
  </si>
  <si>
    <t>Take-off is strong and well-executed.</t>
  </si>
  <si>
    <t>Flight is smooth and well-executed.</t>
  </si>
  <si>
    <t>Entry past vertical, no splash | Feet together at entry</t>
  </si>
  <si>
    <t>Past vertical</t>
  </si>
  <si>
    <t>Past vertical is a minor flaw, but the dive is still very good.</t>
  </si>
  <si>
    <t>No other significant flaws observed.</t>
  </si>
  <si>
    <t>The flight demonstrates a tight tuck and aligned body, showing excellent form.</t>
  </si>
  <si>
    <t>The entry is vertical and clean, indicating a successful completion.</t>
  </si>
  <si>
    <t>The diver's posture is excellent, but there is room for improvement in the starting position.</t>
  </si>
  <si>
    <t>The diver's approach is excellent, but there is room for improvement in the starting position.</t>
  </si>
  <si>
    <t>The diver's take-off is excellent, but there is room for improvement in the starting position.</t>
  </si>
  <si>
    <t>The diver's flight is excellent, but there is room for improvement in the starting position.</t>
  </si>
  <si>
    <t>The diver's entry is excellent, but there is room for improvement in the starting position.</t>
  </si>
  <si>
    <t>The approach is smooth and consistent, but there is room for improvement in the take-off.</t>
  </si>
  <si>
    <t>The approach is excellent, with no visible defects.</t>
  </si>
  <si>
    <t>The take-off has some issues, such as weak leg drive, which affects the overall quality.</t>
  </si>
  <si>
    <t>The take-off is adequate, with no significant flaws.</t>
  </si>
  <si>
    <t>The flight has several flaws, including loose tuck, bent knees, and toes not pointed, which significantly affect the overall quality.</t>
  </si>
  <si>
    <t>The flight is not perfect, but there are no major flaws.</t>
  </si>
  <si>
    <t>The entry has several flaws, including past vertical, large splash, and feet/hands not together, which significantly affect the overall quality.</t>
  </si>
  <si>
    <t>The entry is not perfect, but there are no major flaws.</t>
  </si>
  <si>
    <t>Smooth and steady movement towards the edge of the platform | No hesitation or balk</t>
  </si>
  <si>
    <t>The approach is excellent, but the diver could have added more power to the jump.</t>
  </si>
  <si>
    <t>The approach is smooth and steady, with no visible defects.</t>
  </si>
  <si>
    <t>High take-off with good leg drive | Platform left at a good distance</t>
  </si>
  <si>
    <t>The take-off is excellent, but the diver could have added more height.</t>
  </si>
  <si>
    <t>The take-off is high and well-executed, with no visible defects.</t>
  </si>
  <si>
    <t>Good tuck with knees close together | Toes pointed during flight</t>
  </si>
  <si>
    <t>The flight is excellent, but the diver could have added more rotation.</t>
  </si>
  <si>
    <t>The flight is well-executed, with no visible defects.</t>
  </si>
  <si>
    <t>Vertical entry with no splash | Feet together at entry</t>
  </si>
  <si>
    <t>The entry is excellent, but the diver could have added more rotation.</t>
  </si>
  <si>
    <t>The entry is vertical and well-executed, with no visible defects.</t>
  </si>
  <si>
    <t>Height sufficient for platform | Leg drive strong</t>
  </si>
  <si>
    <t>Tuck position maintained | Knees together</t>
  </si>
  <si>
    <t>Flight is smooth and controlled.</t>
  </si>
  <si>
    <t>Entry slightly over-rotated</t>
  </si>
  <si>
    <t>Entry is over-rotated by a small degree.</t>
  </si>
  <si>
    <t>Overall performance is strong.</t>
  </si>
  <si>
    <t>There are no significant flaws in the starting position.</t>
  </si>
  <si>
    <t>There are no significant flaws in the approach.</t>
  </si>
  <si>
    <t>There are no significant flaws in the take-off.</t>
  </si>
  <si>
    <t>There are no significant flaws in the flight.</t>
  </si>
  <si>
    <t>There are no significant flaws in the entry.</t>
  </si>
  <si>
    <t>The diver maintains a still posture and fixed arms, indicating good preparation.</t>
  </si>
  <si>
    <t>The flight demonstrates a tight tuck and correct body shape, showing good form.</t>
  </si>
  <si>
    <t>Overall execution is strong.</t>
  </si>
  <si>
    <t>The approach is excellent, but the take-off could be more powerful.</t>
  </si>
  <si>
    <t>Powerful leg drive | Good height achieved</t>
  </si>
  <si>
    <t>The take-off is very good, but the flight could be more controlled.</t>
  </si>
  <si>
    <t>The take-off is powerful and achieves good height, with no visible defects.</t>
  </si>
  <si>
    <t>Good tuck position | Knees slightly apart</t>
  </si>
  <si>
    <t>Loose tuck</t>
  </si>
  <si>
    <t>The flight is good, but the loose tuck detracts from the score.</t>
  </si>
  <si>
    <t>The flight is mostly good, with only a minor defect.</t>
  </si>
  <si>
    <t>Over-rotated | Large splash</t>
  </si>
  <si>
    <t>Past vertical | Large splash</t>
  </si>
  <si>
    <t>The entry is over-rotated and creates a large splash, significantly impacting the score.</t>
  </si>
  <si>
    <t>The entry is over-rotated and creates a large splash, but the flight was good.</t>
  </si>
  <si>
    <t>The posture is excellent, but the score is not 9.5 due to the lack of a perfect tuck.</t>
  </si>
  <si>
    <t>The posture is very good, and there are no significant defects.</t>
  </si>
  <si>
    <t>The approach is excellent, but the score is not 9.5 due to the lack of a perfect tuck.</t>
  </si>
  <si>
    <t>The approach is very good, and there are no significant defects.</t>
  </si>
  <si>
    <t>height sufficient | vertical take-off</t>
  </si>
  <si>
    <t>The take-off is excellent, but the score is not 9.5 due to the lack of a perfect tuck.</t>
  </si>
  <si>
    <t>The take-off is very good, and there are no significant defects.</t>
  </si>
  <si>
    <t>perfect tuck | straight body</t>
  </si>
  <si>
    <t>The flight is excellent, but the score is not 9.5 due to the lack of a perfect tuck.</t>
  </si>
  <si>
    <t>The flight is very good, and there are no significant defects.</t>
  </si>
  <si>
    <t>The entry is excellent, but the score is not 9.5 due to the lack of a perfect tuck.</t>
  </si>
  <si>
    <t>The entry is very good, and there are no significant defects.</t>
  </si>
  <si>
    <t>The posture and arm positioning are excellent.</t>
  </si>
  <si>
    <t>There are no significant defects.</t>
  </si>
  <si>
    <t>Height sufficient for take-off | Proper distance from platform</t>
  </si>
  <si>
    <t>The take-off height and distance are appropriate.</t>
  </si>
  <si>
    <t>Good tuck, knees close | Pointed toes</t>
  </si>
  <si>
    <t>The tuck and toe-pointing are good.</t>
  </si>
  <si>
    <t>Vertical entry, no splash | Feet together</t>
  </si>
  <si>
    <t>The entry is vertical and splash-free.</t>
  </si>
  <si>
    <t>The diver's posture and arm fixation are perfect, indicating a high-quality starting position.</t>
  </si>
  <si>
    <t>The diver's approach is smooth and consistent, with adequate knee drive.</t>
  </si>
  <si>
    <t>There are no visible defects in the diver's approach, indicating a high-quality performance.</t>
  </si>
  <si>
    <t>The diver's take-off is strong, with good leg drive and adequate height.</t>
  </si>
  <si>
    <t>The off-vertical lean is a minor defect, but it does not significantly impact the overall quality of the take-off.</t>
  </si>
  <si>
    <t>The diver's flight is excellent, with a tight tuck and pointed toes.</t>
  </si>
  <si>
    <t>The diver maintains a symmetrical body shape throughout the flight, indicating a high-quality performance.</t>
  </si>
  <si>
    <t>past vertical, clean entry | no bent arms or knees</t>
  </si>
  <si>
    <t>The diver's entry is excellent, with a clean and past-vertical entry.</t>
  </si>
  <si>
    <t>The diver's entry is flawless, with no visible defects.</t>
  </si>
  <si>
    <t>Height sufficient for takeoff | Platform contact avoided</t>
  </si>
  <si>
    <t>Takeoff is strong and avoids platform contact.</t>
  </si>
  <si>
    <t>Flight is strong and maintains tuck position.</t>
  </si>
  <si>
    <t>Vertical entry achieved | Splash size medium</t>
  </si>
  <si>
    <t>No issues with take-off observed.</t>
  </si>
  <si>
    <t>Take-off is clean and powerful.</t>
  </si>
  <si>
    <t>No looseness or asymmetry in flight.</t>
  </si>
  <si>
    <t>Entry is precise and controlled.</t>
  </si>
  <si>
    <t>knees separated ~15 cm in tuck | arms fixed and close to body</t>
  </si>
  <si>
    <t>lack of stillness / wobble</t>
  </si>
  <si>
    <t>The diver's knees were not fully tucked, which slightly affects the aesthetics.</t>
  </si>
  <si>
    <t>The diver's posture was good, and there were no significant defects.</t>
  </si>
  <si>
    <t>The diver's approach was excellent, with no hesitation or irregularities.</t>
  </si>
  <si>
    <t>There were no visible flaws in the approach.</t>
  </si>
  <si>
    <t>adequate height | close to platform</t>
  </si>
  <si>
    <t>The diver's take-off was not perfectly vertical, which slightly affects the aesthetics.</t>
  </si>
  <si>
    <t>The diver's take-off was good, with adequate height and proximity to the platform.</t>
  </si>
  <si>
    <t>loose tuck (knees apart) | hands not on shins</t>
  </si>
  <si>
    <t>loose tuck (knees apart)</t>
  </si>
  <si>
    <t>The diver's tuck was not perfect, which slightly affects the aesthetics.</t>
  </si>
  <si>
    <t>The diver's flight was good, with no significant defects.</t>
  </si>
  <si>
    <t>past vertical (over-rotated) | large splash</t>
  </si>
  <si>
    <t>The diver's entry was not vertical, and the splash was large, which significantly affects the aesthetics.</t>
  </si>
  <si>
    <t>The diver's entry was not perfect, but there were no significant defects.</t>
  </si>
  <si>
    <t>The diver demonstrates a smooth approach with consistent rhythm, suggesting a well-executed takeoff.</t>
  </si>
  <si>
    <t>adequate height | vertical takeoff</t>
  </si>
  <si>
    <t>The diver achieves adequate height and takes off vertically, indicating a strong takeoff.</t>
  </si>
  <si>
    <t>There are no visible defects in the takeoff.</t>
  </si>
  <si>
    <t>The diver maintains a tight tuck and correct body shape throughout the flight, demonstrating excellent technique.</t>
  </si>
  <si>
    <t>The diver enters past vertical, which slightly impacts the score.</t>
  </si>
  <si>
    <t>The diver maintains a clean splash and overall strong entry, justifying a higher score.</t>
  </si>
  <si>
    <t>Standing still on the platform | Arms fixed and posture upright</t>
  </si>
  <si>
    <t>The diver's form is excellent, but there is room for improvement.</t>
  </si>
  <si>
    <t>Smooth approach without hesitation | Proper rhythm maintained throughout</t>
  </si>
  <si>
    <t>The diver's approach is excellent, but there is room for improvement.</t>
  </si>
  <si>
    <t>Height sufficient for a clean take-off | Platform contact avoided</t>
  </si>
  <si>
    <t>The diver's take-off is excellent, but there is room for improvement.</t>
  </si>
  <si>
    <t>The diver's flight is excellent, but there is room for improvement.</t>
  </si>
  <si>
    <t>No feet/hands not together</t>
  </si>
  <si>
    <t>The diver's entry is excellent, but there is room for improvement.</t>
  </si>
  <si>
    <t>No visible defects in the approach.</t>
  </si>
  <si>
    <t>No visible defects in the take-off.</t>
  </si>
  <si>
    <t>The flight demonstrates a tight tuck and correct body shape, indicating good form.</t>
  </si>
  <si>
    <t>No visible defects in the flight.</t>
  </si>
  <si>
    <t>The entry is vertical, but the diver over-rotates slightly, resulting in a larger splash.</t>
  </si>
  <si>
    <t>The diver maintains a vertical entry despite the over-rotation.</t>
  </si>
  <si>
    <t>Vertical entry, no over-rotation | Splash is small</t>
  </si>
  <si>
    <t>Walking towards the edge of the platform | Maintaining balance</t>
  </si>
  <si>
    <t>Jumping off the platform | Maintaining balance</t>
  </si>
  <si>
    <t>Late or premature rotation initiation</t>
  </si>
  <si>
    <t>The diver's take-off is strong, but the late or premature rotation initiation affects the overall quality.</t>
  </si>
  <si>
    <t>Executing a tuck | Maintaining a straight body</t>
  </si>
  <si>
    <t>The diver's flight is strong, but the loose tuck (knees apart) affects the overall quality.</t>
  </si>
  <si>
    <t>Entering the water headfirst | Maintaining a straight body</t>
  </si>
  <si>
    <t>The diver's entry is strong, but the past vertical (over-rotated) affects the overall quality.</t>
  </si>
  <si>
    <t>Standing still on platform | Arms fixed and relaxed</t>
  </si>
  <si>
    <t>Smooth and steady walk towards the edge | No hesitation or balk</t>
  </si>
  <si>
    <t>The approach is excellent, but the diver could have taken a few more steps to improve the take-off.</t>
  </si>
  <si>
    <t>High and powerful take-off | Vertical take-off</t>
  </si>
  <si>
    <t>The take-off is excellent, but the diver could have taken a few more steps to improve the flight.</t>
  </si>
  <si>
    <t>Strong tuck with knees together | Pointed toes</t>
  </si>
  <si>
    <t>The flight is excellent, but the diver could have performed a few more twists.</t>
  </si>
  <si>
    <t>Vertical entry | Small splash</t>
  </si>
  <si>
    <t>The entry is excellent, but the diver could have performed a few more twists.</t>
  </si>
  <si>
    <t>The take-off is good, but the off-vertical lean reduces the score.</t>
  </si>
  <si>
    <t>The take-off is adequate, but the off-vertical lean is a significant flaw.</t>
  </si>
  <si>
    <t>The flight is good, but the twist not on longitudinal axis reduces the score.</t>
  </si>
  <si>
    <t>The flight is adequate, but the twist not on longitudinal axis is a significant flaw.</t>
  </si>
  <si>
    <t>The entry is good, but the feet/hands not together reduces the score.</t>
  </si>
  <si>
    <t>The entry is adequate, but the past vertical is a significant flaw.</t>
  </si>
  <si>
    <t>No issues with takeoff height or distance.</t>
  </si>
  <si>
    <t>Takeoff is strong and consistent.</t>
  </si>
  <si>
    <t>Tuck position maintained throughout flight | Knees together, hands on shins</t>
  </si>
  <si>
    <t>Entry is vertical and controlled.</t>
  </si>
  <si>
    <t>Entry is clean and precise.</t>
  </si>
  <si>
    <t>The diver's approach is smooth and consistent, with good knee drive.</t>
  </si>
  <si>
    <t>The diver's take-off is strong, but there is a slight off-vertical lean.</t>
  </si>
  <si>
    <t>The take-off is generally strong, with good leg drive.</t>
  </si>
  <si>
    <t>The diver's flight is excellent, with tight tuck and pointed toes.</t>
  </si>
  <si>
    <t>The diver's entry is clean, but there is a slight over-rotation.</t>
  </si>
  <si>
    <t>The entry is generally clean, with a small splash.</t>
  </si>
  <si>
    <t>The diver's take-off is adequate, but there is an off-vertical lean.</t>
  </si>
  <si>
    <t>The diver's take-off is adequate, and there are no other visible defects.</t>
  </si>
  <si>
    <t>loose tuck | bent knees in pike</t>
  </si>
  <si>
    <t>The diver's flight has several visible defects, including a loose tuck and bent knees in pike.</t>
  </si>
  <si>
    <t>The diver's flight has several visible defects, and there are no other visible defects.</t>
  </si>
  <si>
    <t>past vertical | large splash</t>
  </si>
  <si>
    <t>The diver's entry is past vertical and has a large splash.</t>
  </si>
  <si>
    <t>The diver's entry is past vertical and has a large splash, and there are no other visible defects.</t>
  </si>
  <si>
    <t>The take-off height and verticality are good.</t>
  </si>
  <si>
    <t>The entry is vertical and the splash is clean.</t>
  </si>
  <si>
    <t>The entry is mostly clean and vertical, with minimal over-rotation.</t>
  </si>
  <si>
    <t>The flight is good, but the loose tuck and bent knees reduce the score.</t>
  </si>
  <si>
    <t>The entry is good, but the past vertical and large splash reduce the score.</t>
  </si>
  <si>
    <t>The entry is vertical, but the diver over-rotates slightly, which is a minor defect.</t>
  </si>
  <si>
    <t>The entry is mostly vertical, and the diver maintains a good body shape during the entry.</t>
  </si>
  <si>
    <t>Standing still on the platform | Arms fixed and straight</t>
  </si>
  <si>
    <t>No hesitation or balk | Consistent rhythm</t>
  </si>
  <si>
    <t>Knees are together throughout the flight | Rotation is well-executed</t>
  </si>
  <si>
    <t>Entry is clean and vertical | Splash is small</t>
  </si>
  <si>
    <t>The diver's approach is smooth and consistent, but there is room for improvement in the approach.</t>
  </si>
  <si>
    <t>The diver's take-off is adequate and vertical, but there is room for improvement in the take-off.</t>
  </si>
  <si>
    <t>The diver's take-off is adequate and vertical, and there are no visible defects.</t>
  </si>
  <si>
    <t>The diver's flight is tight and has a correct body shape, but there is room for improvement in the flight.</t>
  </si>
  <si>
    <t>The diver's entry is vertical and clean, but there is room for improvement in the entry.</t>
  </si>
  <si>
    <t>The diver's entry is vertical and clean, and there are no visible defects.</t>
  </si>
  <si>
    <t>Tuck position maintained throughout the flight | Rotation is precise</t>
  </si>
  <si>
    <t>Entry is vertical and clean | Splash is small</t>
  </si>
  <si>
    <t>Posture and arm position are excellent.</t>
  </si>
  <si>
    <t>Past vertical and medium splash are present.</t>
  </si>
  <si>
    <t>Overall performance is strong despite flaws.</t>
  </si>
  <si>
    <t>Smooth approach, no hesitation | Consistent rhythm</t>
  </si>
  <si>
    <t>Flight is smooth and consistent.</t>
  </si>
  <si>
    <t>No over-rotation | No under-rotation</t>
  </si>
  <si>
    <t>Smooth approach with consistent rhythm | No hesitation or balk</t>
  </si>
  <si>
    <t>Good tuck position | Knees close together</t>
  </si>
  <si>
    <t>The flight is excellent, but the entry could be more controlled.</t>
  </si>
  <si>
    <t>The flight is well-executed with a good tuck position, with no visible defects.</t>
  </si>
  <si>
    <t>The entry is excellent, but the take-off could be more powerful.</t>
  </si>
  <si>
    <t>The entry is vertical and has a small splash, with no visible defects.</t>
  </si>
  <si>
    <t>Height sufficient for platform | Leg drive is strong</t>
  </si>
  <si>
    <t>Entry is clean and vertical.</t>
  </si>
  <si>
    <t>Tuck position maintained throughout | Knees together</t>
  </si>
  <si>
    <t>The posture is excellent, but the score is not 10 due to the lack of a perfect tuck.</t>
  </si>
  <si>
    <t>The approach is excellent, but the score is not 10 due to the lack of a perfect tuck.</t>
  </si>
  <si>
    <t>The take-off is excellent, but the score is not 10 due to the lack of a perfect tuck.</t>
  </si>
  <si>
    <t>The flight is flawless, but the score is not 10 due to the lack of a perfect tuck.</t>
  </si>
  <si>
    <t>perfect entry | no splash</t>
  </si>
  <si>
    <t>The entry is flawless, but the score is not 10 due to the lack of a perfect tuck.</t>
  </si>
  <si>
    <t>There are no visible flaws in the starting position.</t>
  </si>
  <si>
    <t>Entry is slightly over-rotated.</t>
  </si>
  <si>
    <t>The diver maintains a vertical entry despite the over-rotation, indicating good technique.</t>
  </si>
  <si>
    <t>Observations indicate excellent starting position.</t>
  </si>
  <si>
    <t>Observations indicate a strong approach.</t>
  </si>
  <si>
    <t>Height sufficient for platform | Proper leg drive</t>
  </si>
  <si>
    <t>Observations indicate a solid take-off.</t>
  </si>
  <si>
    <t>Tuck position maintained throughout | Knees together, hands on shins</t>
  </si>
  <si>
    <t>No looseness or asymmetry noted.</t>
  </si>
  <si>
    <t>Observations indicate a well-executed flight.</t>
  </si>
  <si>
    <t>Feet not together at entry</t>
  </si>
  <si>
    <t>No significant over-rotation or under-rotation observed.</t>
  </si>
  <si>
    <t>Observations indicate a clean entry.</t>
  </si>
  <si>
    <t>The diver maintains a straight posture and fixed arms, indicating good control.</t>
  </si>
  <si>
    <t>The flight shows a tight tuck and pointed toes, indicating good technique.</t>
  </si>
  <si>
    <t>knees separated ~15 cm in tuck | arms fixed and positioned correctly</t>
  </si>
  <si>
    <t>The diver's knees were slightly apart, which is a minor defect.</t>
  </si>
  <si>
    <t>The diver's posture was good, and their arms were fixed.</t>
  </si>
  <si>
    <t>smooth approach without hesitation | consistent rhythm and step count</t>
  </si>
  <si>
    <t>The diver's approach was perfect, with no hesitation or irregularities.</t>
  </si>
  <si>
    <t>The diver's approach was flawless, with consistent rhythm and step count.</t>
  </si>
  <si>
    <t>adequate height achieved | platform contact was smooth</t>
  </si>
  <si>
    <t>The diver's take-off was good, but there was a slight off-vertical lean.</t>
  </si>
  <si>
    <t>The diver's take-off was strong, with adequate height and smooth platform contact.</t>
  </si>
  <si>
    <t>knees together in tuck | hands on shins during tuck</t>
  </si>
  <si>
    <t>The diver's flight was good, but their knees were slightly apart during the tuck.</t>
  </si>
  <si>
    <t>The diver's flight was strong, with knees together in tuck and hands on shins.</t>
  </si>
  <si>
    <t>entry was vertical | splash was small</t>
  </si>
  <si>
    <t>bent arms or knees at entry</t>
  </si>
  <si>
    <t>The diver's entry was good, but their arms were slightly bent at entry.</t>
  </si>
  <si>
    <t>The diver's entry was strong, with a vertical entry and small splash.</t>
  </si>
  <si>
    <t>The flight is tight and well-executed.</t>
  </si>
  <si>
    <t>Height sufficient for dive | Proper distance from platform</t>
  </si>
  <si>
    <t>correct entry angle | clean splash</t>
  </si>
  <si>
    <t>The entry angle is correct and the splash is clean.</t>
  </si>
  <si>
    <t>The diver's posture and arm positioning were excellent.</t>
  </si>
  <si>
    <t>There were no significant flaws in the starting position.</t>
  </si>
  <si>
    <t>smooth approach with consistent rhythm | adequate knee drive</t>
  </si>
  <si>
    <t>The approach was smooth and well-executed.</t>
  </si>
  <si>
    <t>There were no significant flaws in the approach.</t>
  </si>
  <si>
    <t>adequate height achieved | platform contact was clean</t>
  </si>
  <si>
    <t>The take-off was clean and achieved sufficient height.</t>
  </si>
  <si>
    <t>There were no significant flaws in the take-off.</t>
  </si>
  <si>
    <t>knees tucked tightly throughout flight | flight was symmetrical</t>
  </si>
  <si>
    <t>The flight was symmetrical and the knees were tucked tightly.</t>
  </si>
  <si>
    <t>There were no significant flaws in the flight.</t>
  </si>
  <si>
    <t>entry was vertical and clean | diver entered with straight arms</t>
  </si>
  <si>
    <t>The entry was vertical and clean with straight arms.</t>
  </si>
  <si>
    <t>There were no significant flaws in the entry.</t>
  </si>
  <si>
    <t>The diver's form is excellent, but there's room for slight improvement.</t>
  </si>
  <si>
    <t>The diver's starting position is nearly perfect.</t>
  </si>
  <si>
    <t>The diver's approach is excellent, but there's room for slight improvement.</t>
  </si>
  <si>
    <t>The diver's approach is nearly perfect.</t>
  </si>
  <si>
    <t>The diver's take-off is excellent, but there's room for slight improvement.</t>
  </si>
  <si>
    <t>The diver's take-off is nearly perfect.</t>
  </si>
  <si>
    <t>The diver's flight is excellent, but there's room for slight improvement.</t>
  </si>
  <si>
    <t>The diver's flight is nearly perfect.</t>
  </si>
  <si>
    <t>Entry is vertical, splash is small | Feet and hands together</t>
  </si>
  <si>
    <t>The diver's entry is excellent, but there's room for slight improvement.</t>
  </si>
  <si>
    <t>The diver's entry is nearly perfect.</t>
  </si>
  <si>
    <t>tight tuck, hands on shins | knees are together</t>
  </si>
  <si>
    <t>The flight is excellent, with a tight tuck and hands on shins.</t>
  </si>
  <si>
    <t>No visible defects in the flight phase.</t>
  </si>
  <si>
    <t>splash is small</t>
  </si>
  <si>
    <t>The entry is vertical, but the splash is small, affecting the score.</t>
  </si>
  <si>
    <t>The entry is clean and vertical, with a small splash.</t>
  </si>
  <si>
    <t>Height sufficient for a clean take-off | Leg drive is strong and coordinated</t>
  </si>
  <si>
    <t>The diver's take-off is strong and well-coordinated.</t>
  </si>
  <si>
    <t>Tuck position maintained throughout flight | Rotation is precise and controlled</t>
  </si>
  <si>
    <t>The diver's flight is precise and controlled.</t>
  </si>
  <si>
    <t>Entry is vertical and clean | Splash is small and controlled</t>
  </si>
  <si>
    <t>The diver's entry is vertical and clean.</t>
  </si>
  <si>
    <t>The diver's starting position is solid, but there is room for improvement in tucking the knees closer.</t>
  </si>
  <si>
    <t>The approach is smooth and rhythmic, but there is potential for more power in the knee drive.</t>
  </si>
  <si>
    <t>The approach is consistent and well-executed.</t>
  </si>
  <si>
    <t>adequate height achieved | platform contact is clean</t>
  </si>
  <si>
    <t>The take-off is strong, but there is room for more height and power.</t>
  </si>
  <si>
    <t>The take-off is clean and well-executed.</t>
  </si>
  <si>
    <t>solid tuck with knees together | hands on shins during tuck</t>
  </si>
  <si>
    <t>The flight is solid, but there is potential for more symmetry and control.</t>
  </si>
  <si>
    <t>The flight is well-executed with good tucking technique.</t>
  </si>
  <si>
    <t>entry is vertical with minimal splash | feet and hands together at entry</t>
  </si>
  <si>
    <t>The entry is clean and vertical, but there is potential for a smaller splash.</t>
  </si>
  <si>
    <t>The entry is well-executed with minimal splash.</t>
  </si>
  <si>
    <t>Tuck position maintained throughout flight | Knees close together</t>
  </si>
  <si>
    <t>Overall performance is good despite flaws.</t>
  </si>
  <si>
    <t>The diver's entry has a correct body shape and a small splash, but there is room for improvement in the take-off.</t>
  </si>
  <si>
    <t>The diver's entry has a correct body shape and a small splash, and there are no visible defects.</t>
  </si>
  <si>
    <t>The diver's flight is tight and pointed, but there is room for improvement in the entry.</t>
  </si>
  <si>
    <t>The diver's flight is tight and pointed, and there are no visible defects.</t>
  </si>
  <si>
    <t>The diver's entry is vertical and has a small splash, but there is room for improvement in the take-off.</t>
  </si>
  <si>
    <t>The diver's entry is vertical and has a small splash, and there are no visible defects.</t>
  </si>
  <si>
    <t>The diver's take-off has a slight off-vertical lean, which slightly impacts the score.</t>
  </si>
  <si>
    <t>The diver's entry is clean and past vertical, with a small splash.</t>
  </si>
  <si>
    <t>entry slightly over-rotated</t>
  </si>
  <si>
    <t>The entry is very good, but the score is not 9.0 due to the slight over-rotation.</t>
  </si>
  <si>
    <t>The entry is good, and there are no significant defects.</t>
  </si>
  <si>
    <t>head slightly tilted forward | shoulders squared</t>
  </si>
  <si>
    <t>none</t>
  </si>
  <si>
    <t>The posture is good, but there is room for improvement.</t>
  </si>
  <si>
    <t>The posture is good, and there are no significant defects.</t>
  </si>
  <si>
    <t>The approach is smooth and consistent, but there is room for improvement.</t>
  </si>
  <si>
    <t>The approach is smooth and consistent, and there are no significant defects.</t>
  </si>
  <si>
    <t>The take-off is balanced and adequate, but there is room for improvement.</t>
  </si>
  <si>
    <t>The take-off is balanced and adequate, and there are no significant defects.</t>
  </si>
  <si>
    <t>good tuck | straight body</t>
  </si>
  <si>
    <t>The flight is good, but there is room for improvement.</t>
  </si>
  <si>
    <t>The flight is good, and there are no significant defects.</t>
  </si>
  <si>
    <t>The entry is vertical and clean, but there is room for improvement.</t>
  </si>
  <si>
    <t>The entry is vertical and clean, and there are no significant defects.</t>
  </si>
  <si>
    <t>Take-off is strong and height is sufficient.</t>
  </si>
  <si>
    <t>Over-rotation is significant and splash size is medium.</t>
  </si>
  <si>
    <t>Entry is past vertical and splash size is medium.</t>
  </si>
  <si>
    <t>knees together, tucked position | arms fixed, no visible nerves</t>
  </si>
  <si>
    <t>The diver's form is excellent, but the score is capped due to the presence of a mandatory defect.</t>
  </si>
  <si>
    <t>The diver's form is near-perfect, with no visible flaws.</t>
  </si>
  <si>
    <t>The diver's approach is excellent, but the score is capped due to the presence of a mandatory defect.</t>
  </si>
  <si>
    <t>The diver's approach is near-perfect, with no visible flaws.</t>
  </si>
  <si>
    <t>The diver's take-off is strong, but the score is capped due to the presence of a mandatory defect.</t>
  </si>
  <si>
    <t>The diver's take-off is near-perfect, with minimal off-vertical lean.</t>
  </si>
  <si>
    <t>The diver's flight is excellent, but the score is capped due to the presence of a mandatory defect.</t>
  </si>
  <si>
    <t>The diver's flight is near-perfect, with no visible flaws.</t>
  </si>
  <si>
    <t>past vertical, over-rotated | medium-sized splash</t>
  </si>
  <si>
    <t>over-rotated</t>
  </si>
  <si>
    <t>The diver's entry is over-rotated, which is a mandatory defect.</t>
  </si>
  <si>
    <t>The diver's entry is near-perfect, with minimal over-rotation.</t>
  </si>
  <si>
    <t>The diver has a smooth approach with consistent rhythm.</t>
  </si>
  <si>
    <t>The diver achieves adequate height and takes off vertically.</t>
  </si>
  <si>
    <t>The diver performs a tight tuck and maintains aligned body during flight.</t>
  </si>
  <si>
    <t>The diver enters vertically and creates a clean splash.</t>
  </si>
  <si>
    <t>Height sufficient for take-off | Platform contact avoided</t>
  </si>
  <si>
    <t>Take-off is strong and avoids platform contact.</t>
  </si>
  <si>
    <t>Feet/hands not together</t>
  </si>
  <si>
    <t>Feet/hands not together is a minor flaw.</t>
  </si>
  <si>
    <t>Overall entry is strong and vertical.</t>
  </si>
  <si>
    <t>The diver's starting position is excellent, with good posture and fixed arms.</t>
  </si>
  <si>
    <t>The approach is smooth and consistent, indicating a strong technique.</t>
  </si>
  <si>
    <t>The take-off height and distance are appropriate for a successful dive.</t>
  </si>
  <si>
    <t>The tuck position is maintained and knees are close together, indicating a strong flight.</t>
  </si>
  <si>
    <t>The entry is vertical and clean, with no over-rotation.</t>
  </si>
  <si>
    <t>Standing tall with straight legs | Arms fixed and relaxed</t>
  </si>
  <si>
    <t>High take-off with strong leg drive | Off-vertical lean</t>
  </si>
  <si>
    <t>The diver's take-off is very good, but there is a slight off-vertical lean.</t>
  </si>
  <si>
    <t>Over-rotated past vertical | Large splash</t>
  </si>
  <si>
    <t>The diver's entry is very poor due to over-rotation and a large splash.</t>
  </si>
  <si>
    <t>The diver's entry has some visible flaws, but they are not severe enough to warrant a lower score.</t>
  </si>
  <si>
    <t>The diver's approach is well-executed without any noticeable flaws.</t>
  </si>
  <si>
    <t>The diver's take-off is strong, with good leg drive.</t>
  </si>
  <si>
    <t>The diver's flight is mostly tight, but there is a loose tuck.</t>
  </si>
  <si>
    <t>The diver's flight is mostly tight, with good symmetry.</t>
  </si>
  <si>
    <t>over-rotated | large splash</t>
  </si>
  <si>
    <t>The diver's entry is over-rotated and creates a large splash.</t>
  </si>
  <si>
    <t>The diver performs a tight tuck and maintains an aligned body during flight, suggesting excellent technique.</t>
  </si>
  <si>
    <t>The diver enters the water vertically and creates a clean splash, indicating a strong entry.</t>
  </si>
  <si>
    <t>The diver's take-off is good, but there is a slight off-vertical lean which affects the overall score.</t>
  </si>
  <si>
    <t>The diver's take-off is good, with no significant flaws.</t>
  </si>
  <si>
    <t>The diver's flight is good, but there is a loose tuck which affects the overall score.</t>
  </si>
  <si>
    <t>The diver's flight is good, with no significant flaws.</t>
  </si>
  <si>
    <t>Entering the water with a clean splash | Feet together and hands together</t>
  </si>
  <si>
    <t>The diver's entry is good, but there is a slight over-rotation which affects the overall score.</t>
  </si>
  <si>
    <t>The diver's entry is good, with no significant flaws.</t>
  </si>
  <si>
    <t>Height sufficient for takeoff | Platform contact not too close or far</t>
  </si>
  <si>
    <t>Takeoff is strong and balanced.</t>
  </si>
  <si>
    <t>The flight is poor due to the loose tuck and bent knees in pike.</t>
  </si>
  <si>
    <t>The flight is not terrible, but the defects are significant enough to lower the score.</t>
  </si>
  <si>
    <t>The entry is poor due to the past vertical and large splash.</t>
  </si>
  <si>
    <t>The entry is not terrible, but the defects are significant enough to lower the score.</t>
  </si>
  <si>
    <t>The diver's posture and arm fixation are perfect, indicating a strong starting position.</t>
  </si>
  <si>
    <t>There are no visible defects in the diver's approach.</t>
  </si>
  <si>
    <t>The diver's take-off is strong, with good leg drive. However, there is a slight off-vertical lean.</t>
  </si>
  <si>
    <t>The diver's take-off is strong, with good leg drive. The off-vertical lean is minimal and does not significantly affect the overall performance.</t>
  </si>
  <si>
    <t>The diver's flight is excellent, with a tight tuck and pointed toes. There are no visible defects.</t>
  </si>
  <si>
    <t>The diver's entry is past vertical, with a clean entry and small splash.</t>
  </si>
  <si>
    <t>The diver's entry is past vertical, with a clean entry and small splash. The past vertical is minimal and does not significantly affect the overall performance.</t>
  </si>
  <si>
    <t>Height sufficient, no off-vertical lean | Leg drive strong</t>
  </si>
  <si>
    <t>The approach is excellent, but the diver could have taken a few more steps for better take-off.</t>
  </si>
  <si>
    <t>Height sufficient for a good take-off | Leg drive is strong</t>
  </si>
  <si>
    <t>The take-off is excellent, but the diver could have taken a bit more height for better flight.</t>
  </si>
  <si>
    <t>The flight is excellent, but the diver could have rotated slightly more for a better entry.</t>
  </si>
  <si>
    <t>Vertical entry | No splash</t>
  </si>
  <si>
    <t>The entry is excellent, but the diver could have rotated slightly more for a better splash.</t>
  </si>
  <si>
    <t>Walking towards the edge of the platform | Maintaining balance and posture</t>
  </si>
  <si>
    <t>Jumping off the platform | Maintaining balance and posture</t>
  </si>
  <si>
    <t>The diver's take-off is strong, but there is room for improvement in the flight.</t>
  </si>
  <si>
    <t>Executing a tuck dive | Maintaining a compact body shape</t>
  </si>
  <si>
    <t>Entering the water with a clean splash | Maintaining a compact body shape</t>
  </si>
  <si>
    <t>Flight is smooth and tuck is maintained.</t>
  </si>
  <si>
    <t>arms fixed, no visible nerves | posture upright, no wobble</t>
  </si>
  <si>
    <t>smooth approach, no hesitation | consistent rhythm and step count</t>
  </si>
  <si>
    <t>adequate height, no wobble | knees slightly bent, no over-rotation</t>
  </si>
  <si>
    <t>knees slightly bent</t>
  </si>
  <si>
    <t>The take-off is strong, but the slight knee bend is a minor issue.</t>
  </si>
  <si>
    <t>The take-off is solid, with no significant flaws.</t>
  </si>
  <si>
    <t>good tuck, knees close | hands on shins, no asymmetry</t>
  </si>
  <si>
    <t>The diver maintains a good tuck throughout the flight.</t>
  </si>
  <si>
    <t>entry past vertical, no splash | body aligned, no break at hips</t>
  </si>
  <si>
    <t>The entry is past vertical, which is a minor issue.</t>
  </si>
  <si>
    <t>The entry is strong, with no significant flaws.</t>
  </si>
  <si>
    <t>The diver maintains a good rhythm and adequate knee drive.</t>
  </si>
  <si>
    <t>The take-off is strong, with no significant flaws.</t>
  </si>
  <si>
    <t>The flight is nearly perfect, with no visible defects.</t>
  </si>
  <si>
    <t>The flight is tight and symmetrical, with no significant flaws.</t>
  </si>
  <si>
    <t>The entry is clean, but there is a slight over-rotation.</t>
  </si>
  <si>
    <t>The entry is clean, with no significant flaws.</t>
  </si>
  <si>
    <t>The diver's starting position is excellent, but there is room for improvement.</t>
  </si>
  <si>
    <t>The diver's take-off is strong, but there is room for improvement.</t>
  </si>
  <si>
    <t>The diver's starting position is very good.</t>
  </si>
  <si>
    <t>The approach is excellent, but there's room for improvement.</t>
  </si>
  <si>
    <t>The diver's approach is very good.</t>
  </si>
  <si>
    <t>The take-off is excellent, but there's room for improvement.</t>
  </si>
  <si>
    <t>The diver's take-off is very good.</t>
  </si>
  <si>
    <t>Good tuck, knees together | Proper body shape</t>
  </si>
  <si>
    <t>The flight is excellent, but there's room for improvement.</t>
  </si>
  <si>
    <t>The diver's flight is very good.</t>
  </si>
  <si>
    <t>Good entry, vertical rotation | Small splash</t>
  </si>
  <si>
    <t>The entry is excellent, but there's room for improvement.</t>
  </si>
  <si>
    <t>The diver's entry is very good.</t>
  </si>
  <si>
    <t>The approach is excellent, but the diver could have taken a slightly longer run-up.</t>
  </si>
  <si>
    <t>Height achieved | Leg drive is strong</t>
  </si>
  <si>
    <t>The take-off is excellent, but the diver could have taken a slightly longer run-up.</t>
  </si>
  <si>
    <t>Tuck position maintained | Rotation is precise</t>
  </si>
  <si>
    <t>The flight is excellent, but the diver could have taken a slightly longer run-up.</t>
  </si>
  <si>
    <t>The entry is excellent, but the diver could have taken a slightly longer run-up.</t>
  </si>
  <si>
    <t>Jumping off the platform with sufficient height | Legs extended and arms raised</t>
  </si>
  <si>
    <t>Executing a tuck position with knees together | Twists aligned with the longitudinal axis</t>
  </si>
  <si>
    <t>Height sufficient for takeoff | Proper leg drive</t>
  </si>
  <si>
    <t>No issues with takeoff height or leg drive.</t>
  </si>
  <si>
    <t>Takeoff is strong and effective.</t>
  </si>
  <si>
    <t>Tuck position maintained throughout flight | Knees together</t>
  </si>
  <si>
    <t>Vertical entry with minimal splash | Feet together</t>
  </si>
  <si>
    <t>Past vertical by 5 degrees</t>
  </si>
  <si>
    <t>Entry is vertical but slightly over-rotated.</t>
  </si>
  <si>
    <t>Minimal splash and feet together.</t>
  </si>
  <si>
    <t>Takeoff is clean and effective.</t>
  </si>
  <si>
    <t>No looseness or asymmetry in tuck.</t>
  </si>
  <si>
    <t>Splash size: small</t>
  </si>
  <si>
    <t>Splash size is minimal.</t>
  </si>
  <si>
    <t>Jumping off the platform with sufficient height | Legs extended and coordinated</t>
  </si>
  <si>
    <t>Entering the water with a clean splash | Feet together at entry</t>
  </si>
  <si>
    <t>Approach is clean and efficient.</t>
  </si>
  <si>
    <t>No issues with take-off height or leg drive.</t>
  </si>
  <si>
    <t>Take-off is strong and effective.</t>
  </si>
  <si>
    <t>Entry is strong and precise.</t>
  </si>
  <si>
    <t>High and powerful take-off | Off-vertical lean</t>
  </si>
  <si>
    <t>The take-off is high and powerful, but the off-vertical lean slightly affects the score.</t>
  </si>
  <si>
    <t>The take-off is very good, with no other significant defects.</t>
  </si>
  <si>
    <t>Good tuck with knees together | Toes pointed</t>
  </si>
  <si>
    <t>The flight is excellent, but the entry could be more precise.</t>
  </si>
  <si>
    <t>Over-rotated by approximately 10 degrees | Medium-sized splash</t>
  </si>
  <si>
    <t>Over-rotated | Splash size</t>
  </si>
  <si>
    <t>The entry is over-rotated and has a medium-sized splash, which slightly affects the score.</t>
  </si>
  <si>
    <t>The entry is good, with no other significant defects.</t>
  </si>
  <si>
    <t>still posture | aligned spine</t>
  </si>
  <si>
    <t>smooth walk | consistent rhythm</t>
  </si>
  <si>
    <t>The diver's entry is excellent, but there is room for improvement in the take-off.</t>
  </si>
  <si>
    <t>tight tuck | straight body</t>
  </si>
  <si>
    <t>Body is straight throughout flight | Rotation is well-executed</t>
  </si>
  <si>
    <t>The flight is straight and the rotation is well-executed.</t>
  </si>
  <si>
    <t>Vertical entry with minimal splash | Feet and hands together</t>
  </si>
  <si>
    <t>The entry is vertical and shows minimal splash.</t>
  </si>
  <si>
    <t>The flight is tight and aligned.</t>
  </si>
  <si>
    <t>Stillness maintained throughout | Posture upright and balanced</t>
  </si>
  <si>
    <t>The diver's form was impeccable, with no visible wobble or imbalance.</t>
  </si>
  <si>
    <t>The diver's approach was smooth and consistent, with proper rhythm maintained.</t>
  </si>
  <si>
    <t>Height sufficient for a clean take-off | Platform contact was precise</t>
  </si>
  <si>
    <t>The diver's take-off was clean and precise, with no signs of hesitation or lack of height.</t>
  </si>
  <si>
    <t>Tuck position maintained throughout flight | Rotation was well-executed</t>
  </si>
  <si>
    <t>The diver's flight was characterized by a well-executed tuck and rotation.</t>
  </si>
  <si>
    <t>Entry was vertical and clean | Splash was minimal</t>
  </si>
  <si>
    <t>The diver's entry was vertical and clean, with a minimal splash.</t>
  </si>
  <si>
    <t>The diver's take-off is strong, with no visible defects.</t>
  </si>
  <si>
    <t>The diver's flight is strong, but the loose tuck affects the overall quality.</t>
  </si>
  <si>
    <t>The diver's flight is strong, with no visible defects.</t>
  </si>
  <si>
    <t>The diver's entry is strong, but the over-rotation affects the overall quality.</t>
  </si>
  <si>
    <t>The diver's entry is strong, with no visible defects.</t>
  </si>
  <si>
    <t>The flight is well-executed with a tight tuck.</t>
  </si>
  <si>
    <t>Smooth approach without hesitation | Consistent rhythm and step count</t>
  </si>
  <si>
    <t>The approach is smooth and consistent, with no visible flaws.</t>
  </si>
  <si>
    <t>There are no signs of hesitation or irregularity in the approach.</t>
  </si>
  <si>
    <t>The take-off is strong and well-coordinated, with no visible issues.</t>
  </si>
  <si>
    <t>The take-off shows good height and coordination, indicating a strong execution.</t>
  </si>
  <si>
    <t>Tuck position maintained throughout flight | Body shape symmetrical and compact</t>
  </si>
  <si>
    <t>The flight is compact and symmetrical, with no visible flaws.</t>
  </si>
  <si>
    <t>The tuck position is maintained, and the body shape is compact, indicating a high-quality flight.</t>
  </si>
  <si>
    <t>The entry is vertical and clean, with no visible over-rotation or under-rotation.</t>
  </si>
  <si>
    <t>The entry is clean and vertical, with a small splash, indicating a strong entry.</t>
  </si>
  <si>
    <t>The take-off is strong, but the flight could be more powerful.</t>
  </si>
  <si>
    <t>The take-off is solid, with no visible defects.</t>
  </si>
  <si>
    <t>The flight is excellent, but the entry could be more powerful.</t>
  </si>
  <si>
    <t>The flight is strong, with no visible defects.</t>
  </si>
  <si>
    <t>The entry is clean and vertical, with no visible defects.</t>
  </si>
  <si>
    <t>The diver maintains good rhythm and knee drive throughout the approach.</t>
  </si>
  <si>
    <t>The take-off is generally strong, with no significant flaws.</t>
  </si>
  <si>
    <t>The diver maintains a tight tuck and symmetrical body shape throughout the flight.</t>
  </si>
  <si>
    <t>over-rotated by approximately 10 degrees | medium-sized splash</t>
  </si>
  <si>
    <t>over-rotated | medium-sized splash</t>
  </si>
  <si>
    <t>The diver over-rotates and creates a medium-sized splash.</t>
  </si>
  <si>
    <t>The diver's entry is not completely failed, as they do not balk or fail to complete the dive.</t>
  </si>
  <si>
    <t>late kick-out</t>
  </si>
  <si>
    <t>The flight is good, but the late kick-out reduces the score.</t>
  </si>
  <si>
    <t>The flight is adequate, but the late kick-out is a significant flaw.</t>
  </si>
  <si>
    <t>The entry is poor, with significant over-rotation and a large splash.</t>
  </si>
  <si>
    <t>The entry is very poor, with significant over-rotation and a large splash.</t>
  </si>
  <si>
    <t>The flight is characterized by a tight tuck and correct body shape, indicating good technique.</t>
  </si>
  <si>
    <t>The take-off is strong with good leg drive, but the off-vertical lean is a minor issue.</t>
  </si>
  <si>
    <t>The flight is excellent with no visible defects.</t>
  </si>
  <si>
    <t>The diver over-rotates slightly during the entry, which slightly reduces the score.</t>
  </si>
  <si>
    <t>The entry is clean and the splash is small, indicating a strong performance.</t>
  </si>
  <si>
    <t>Tuck position maintained throughout flight | Rotation initiated correctly</t>
  </si>
  <si>
    <t>Entry was vertical and clean | No splash or water disturbance</t>
  </si>
  <si>
    <t>The approach is smooth and consistent, indicating good execution.</t>
  </si>
  <si>
    <t>The take-off has adequate height and is vertical, indicating good execution.</t>
  </si>
  <si>
    <t>The flight is characterized by a tight tuck and correct body shape, indicating good execution.</t>
  </si>
  <si>
    <t>The entry is vertical and clean, indicating good execution.</t>
  </si>
  <si>
    <t>The entry is vertical, but the diver over-rotates slightly, which affects the score.</t>
  </si>
  <si>
    <t>The entry is still very good, with a small splash, indicating good technique.</t>
  </si>
  <si>
    <t>correct body shape | medium splash</t>
  </si>
  <si>
    <t>The diver's entry has a correct body shape and a medium splash, but there is a past vertical defect.</t>
  </si>
  <si>
    <t>The diver's entry has a correct body shape and a medium splash, and there are no visible defects.</t>
  </si>
  <si>
    <t>The diver's approach is smooth and well-executed, with no visible defects.</t>
  </si>
  <si>
    <t>High take-off, good height | Proper leg drive, no off-vertical lean</t>
  </si>
  <si>
    <t>The diver's take-off is high and well-executed, with no visible defects.</t>
  </si>
  <si>
    <t>Good tuck, knees together | Proper body shape, no asymmetry</t>
  </si>
  <si>
    <t>Proper entry, vertical | Small splash, clean entry</t>
  </si>
  <si>
    <t>The diver's entry is vertical and clean, with no visible defects.</t>
  </si>
  <si>
    <t>Executing a clean tuck | Knees together and hands on shins</t>
  </si>
  <si>
    <t>Entering the water with a clean splash | Vertical entry with minimal splash</t>
  </si>
  <si>
    <t>The diver's flight is tight and pointed, but there is a twist not on the longitudinal axis.</t>
  </si>
  <si>
    <t>The diver's flight is tight and pointed, and there are no other visible defects.</t>
  </si>
  <si>
    <t>The diver's entry is past vertical, but the splash is medium-sized.</t>
  </si>
  <si>
    <t>The diver's entry is past vertical, and there is a bent arm at entry.</t>
  </si>
  <si>
    <t>The flight displays a tight tuck and correct body shape, indicating good technique.</t>
  </si>
  <si>
    <t>entry is vertical</t>
  </si>
  <si>
    <t>The entry is vertical, with no visible defects.</t>
  </si>
  <si>
    <t>The entry is excellent, with no visible defects.</t>
  </si>
  <si>
    <t>The diver's flight is precise and controlled, with no visible flaws.</t>
  </si>
  <si>
    <t>The diver's entry is vertical and controlled, with no visible flaws.</t>
  </si>
  <si>
    <t>The diver's form is excellent, with no visible imperfections.</t>
  </si>
  <si>
    <t>The diver's form is impeccable, with no room for improvement.</t>
  </si>
  <si>
    <t>The approach is flawless, with no hesitation or irregularities.</t>
  </si>
  <si>
    <t>The approach is perfect, with no room for improvement.</t>
  </si>
  <si>
    <t>The take-off is perfect, with no room for improvement.</t>
  </si>
  <si>
    <t>The flight is flawless, with no visible flaws.</t>
  </si>
  <si>
    <t>The flight is perfect, with no room for improvement.</t>
  </si>
  <si>
    <t>The entry is perfect, with no room for improvement.</t>
  </si>
  <si>
    <t>The take-off is generally strong, with only a minor issue.</t>
  </si>
  <si>
    <t>The entry is generally clean, with only a minor over-rotation.</t>
  </si>
  <si>
    <t>The flight is characterized by a tight tuck and aligned body, indicating good execution.</t>
  </si>
  <si>
    <t>arms raised above head, posture upright | no visible nerves or re-adjustment</t>
  </si>
  <si>
    <t>The diver's posture is excellent, but the score is capped due to the lack of a perfect tuck.</t>
  </si>
  <si>
    <t>The diver's posture is very good, and there are no visible defects.</t>
  </si>
  <si>
    <t>The diver's approach is excellent, but the score is capped due to the lack of a perfect tuck.</t>
  </si>
  <si>
    <t>The diver's approach is very good, and there are no visible defects.</t>
  </si>
  <si>
    <t>adequate height, no off-vertical lean | strong leg drive</t>
  </si>
  <si>
    <t>The diver's take-off is excellent, but the score is capped due to the lack of a perfect tuck.</t>
  </si>
  <si>
    <t>The diver's take-off is very good, and there are no visible defects.</t>
  </si>
  <si>
    <t>perfect tuck, knees together | straight body shape</t>
  </si>
  <si>
    <t>The diver's flight is excellent, but the score is capped due to the lack of a perfect tuck.</t>
  </si>
  <si>
    <t>The diver's flight is very good, and there are no visible defects.</t>
  </si>
  <si>
    <t>entry past vertical, no splash | body aligned with water surface</t>
  </si>
  <si>
    <t>The diver's entry is excellent, but the score is capped due to the lack of a perfect tuck.</t>
  </si>
  <si>
    <t>The diver's entry is very good, and there are no visible defects.</t>
  </si>
  <si>
    <t>The diver's knees were not fully tucked, which slightly affects the overall impression.</t>
  </si>
  <si>
    <t>The diver's arms were fixed and close to the body, indicating good posture.</t>
  </si>
  <si>
    <t>No specific flaws were observed in the approach.</t>
  </si>
  <si>
    <t>The diver maintained a smooth and consistent rhythm throughout the approach.</t>
  </si>
  <si>
    <t>The diver had an off-vertical lean, which slightly affected the take-off.</t>
  </si>
  <si>
    <t>The diver achieved adequate height and was close to the platform.</t>
  </si>
  <si>
    <t>loose tuck (knees apart) | bent knees in pike</t>
  </si>
  <si>
    <t>The diver's knees were not fully tucked, and they were bent during the pike position.</t>
  </si>
  <si>
    <t>The diver maintained a consistent flight path and did not exhibit significant flaws.</t>
  </si>
  <si>
    <t>The diver over-rotated and created a large splash upon entry.</t>
  </si>
  <si>
    <t>The diver's entry was not completely failed, as they did not balk or fail to complete the dive.</t>
  </si>
  <si>
    <t>No loose tucks or rotations noted.</t>
  </si>
  <si>
    <t>Flight is controlled and precise.</t>
  </si>
  <si>
    <t>The flight is tight and maintains a correct body shape.</t>
  </si>
  <si>
    <t>The diver's posture is excellent, but there might be room for improvement in the take-off.</t>
  </si>
  <si>
    <t>The diver's approach is excellent, but there might be room for improvement in the take-off.</t>
  </si>
  <si>
    <t>The diver's take-off is excellent, but there might be room for improvement in the flight.</t>
  </si>
  <si>
    <t>The diver's flight is excellent, but there might be room for improvement in the entry.</t>
  </si>
  <si>
    <t>The diver's entry is excellent, but there might be room for improvement in the take-off.</t>
  </si>
  <si>
    <t>Tuck position maintained throughout the flight | Knees close to the chest</t>
  </si>
  <si>
    <t>The diver's entry is good, but there is room for improvement in the body shape.</t>
  </si>
  <si>
    <t>The diver's entry is good, and there are no visible defects.</t>
  </si>
  <si>
    <t>The flight demonstrates a tight tuck and aligned body, suggesting excellent form.</t>
  </si>
  <si>
    <t>The clean splash and vertical entry outweigh the minor defect.</t>
  </si>
  <si>
    <t>The diver demonstrates a smooth and consistent approach.</t>
  </si>
  <si>
    <t>The diver maintains a tight tuck and correct body shape during flight.</t>
  </si>
  <si>
    <t>The diver's entry is over-rotated and has a large splash, which significantly impacts the overall score.</t>
  </si>
  <si>
    <t>The diver's entry is over-rotated and has a large splash, but there are no other significant defects.</t>
  </si>
  <si>
    <t>arms raised above head | posture upright</t>
  </si>
  <si>
    <t>The posture is upright, indicating good preparation.</t>
  </si>
  <si>
    <t>height sufficient | platform contact avoided</t>
  </si>
  <si>
    <t>The take-off height is sufficient and avoids platform contact.</t>
  </si>
  <si>
    <t>symmetrical body shape | correct tuck position</t>
  </si>
  <si>
    <t>The flight shows a symmetrical body shape and correct tuck position.</t>
  </si>
  <si>
    <t>entry vertical | small splash</t>
  </si>
  <si>
    <t>entry vertical</t>
  </si>
  <si>
    <t>The entry is vertical, indicating good technique.</t>
  </si>
  <si>
    <t>There are no visible defects in the entry except for the small splash.</t>
  </si>
  <si>
    <t>Height sufficient for takeoff | Leg drive is strong</t>
  </si>
  <si>
    <t>No looseness in tuck or rotation issues.</t>
  </si>
  <si>
    <t>Height sufficient for a 10m platform | Leg drive is strong</t>
  </si>
  <si>
    <t>The diver's take-off is strong and sufficient for a 10m platform, with no visible flaws.</t>
  </si>
  <si>
    <t>Entry is vertical, no over-rotation | Splash is small</t>
  </si>
  <si>
    <t>The diver's entry is over-rotated and has a large splash, but the other phases are excellent.</t>
  </si>
  <si>
    <t>head slightly tilted forward, knees slightly bent | arms fixed and close to body</t>
  </si>
  <si>
    <t>lack of stillness</t>
  </si>
  <si>
    <t>The diver's posture is good, but there is a slight lack of stillness.</t>
  </si>
  <si>
    <t>The diver's starting position is mostly correct, with fixed arms and close to the body.</t>
  </si>
  <si>
    <t>smooth approach with consistent rhythm | knee drive is strong</t>
  </si>
  <si>
    <t>no hesitation or irregularity</t>
  </si>
  <si>
    <t>The approach is smooth and consistent, indicating a strong performance.</t>
  </si>
  <si>
    <t>There are no visible flaws in the approach, making a higher score unlikely.</t>
  </si>
  <si>
    <t>diver takes off with sufficient height | diver is aligned vertically with the platform</t>
  </si>
  <si>
    <t>no off-vertical lean</t>
  </si>
  <si>
    <t>The diver takes off with sufficient height and is aligned vertically, indicating a strong take-off.</t>
  </si>
  <si>
    <t>There are no visible flaws in the take-off, making a higher score unlikely.</t>
  </si>
  <si>
    <t>diver performs a clean tuck | diver maintains a straight body during flight</t>
  </si>
  <si>
    <t>no loose tuck or bent knees</t>
  </si>
  <si>
    <t>The diver performs a clean tuck and maintains a straight body during flight, indicating a strong flight.</t>
  </si>
  <si>
    <t>There are no visible flaws in the flight, making a higher score unlikely.</t>
  </si>
  <si>
    <t>diver enters the water with a clean splash | diver is vertical upon entry</t>
  </si>
  <si>
    <t>no over-rotation or under-rotation</t>
  </si>
  <si>
    <t>The diver enters the water with a clean splash and is vertical upon entry, indicating a strong entry.</t>
  </si>
  <si>
    <t>There are no visible flaws in the entry, making a higher score unlikely.</t>
  </si>
  <si>
    <t>Vertical entry, no over-rotation | Small splash, clean entry</t>
  </si>
  <si>
    <t>No issues with entry observed.</t>
  </si>
  <si>
    <t>Smooth approach, consistent rhythm | Proper hurdle, good knee drive</t>
  </si>
  <si>
    <t>Sufficient height, good leg drive | Proper take-off angle</t>
  </si>
  <si>
    <t>The diver's take-off is sufficient and well-executed, with no visible flaws.</t>
  </si>
  <si>
    <t>Good tuck, hands on shins | Knees together, toes pointed</t>
  </si>
  <si>
    <t>The diver's flight is well-executed, with no visible flaws.</t>
  </si>
  <si>
    <t>Past vertical, clean entry | Small splash, no body break</t>
  </si>
  <si>
    <t>The diver's entry is past vertical and clean, with no visible flaws.</t>
  </si>
  <si>
    <t>No feet/hands not together | No body break at hips</t>
  </si>
  <si>
    <t>The starting position is excellent, but the score is capped at 9 due to the lack of a perfect tuck.</t>
  </si>
  <si>
    <t>The posture and arm fixation are very good, indicating a strong starting position.</t>
  </si>
  <si>
    <t>The approach is smooth and consistent, but the score is capped at 9 due to the lack of a perfect tuck.</t>
  </si>
  <si>
    <t>The knee drive is strong and the approach is consistent, indicating a good approach.</t>
  </si>
  <si>
    <t>height is sufficient | platform contact is clean</t>
  </si>
  <si>
    <t>The take-off is clean and the height is sufficient, but the score is capped at 9 due to the lack of a perfect tuck.</t>
  </si>
  <si>
    <t>The take-off is clean and the height is sufficient, indicating a good take-off.</t>
  </si>
  <si>
    <t>body is well-tucked | flight is stable</t>
  </si>
  <si>
    <t>The flight is stable and the body is well-tucked, but the score is capped at 9 due to the lack of a perfect tuck.</t>
  </si>
  <si>
    <t>The flight is stable and the body is well-tucked, indicating a good flight.</t>
  </si>
  <si>
    <t>entry is vertical | water splash is small</t>
  </si>
  <si>
    <t>The entry is vertical and the water splash is small, but the score is capped at 9 due to the lack of a perfect tuck.</t>
  </si>
  <si>
    <t>The entry is vertical and the water splash is small, indicating a good entry.</t>
  </si>
  <si>
    <t>The diver's starting position is very good, with no significant flaws.</t>
  </si>
  <si>
    <t>The approach is excellent, but there's room for slight improvement.</t>
  </si>
  <si>
    <t>The take-off is excellent, but there's room for slight improvement.</t>
  </si>
  <si>
    <t>Good tuck position, hands on shins | Proper body alignment</t>
  </si>
  <si>
    <t>The flight is excellent, but there's room for slight improvement.</t>
  </si>
  <si>
    <t>Clean entry, feet together | Proper body shape upon entry</t>
  </si>
  <si>
    <t>The entry is excellent, but there's room for slight improvement.</t>
  </si>
  <si>
    <t>The diver's entry has a correct body shape and a medium splash, but there is room for improvement in the take-off.</t>
  </si>
  <si>
    <t>Feet positioned correctly, no wobble | Posture appears good</t>
  </si>
  <si>
    <t>The starting position is excellent, but the score is capped at 9 due to the lack of perfect stillness.</t>
  </si>
  <si>
    <t>The posture and positioning are very good, indicating a high-quality start.</t>
  </si>
  <si>
    <t>Consistent rhythm throughout | Knee drive appears strong</t>
  </si>
  <si>
    <t>The approach is smooth and consistent, but the score is capped at 9 due to the lack of perfect execution.</t>
  </si>
  <si>
    <t>The rhythm and knee drive are strong, indicating a high-quality approach.</t>
  </si>
  <si>
    <t>The take-off is strong, but the score is capped at 9 due to the lack of perfect execution.</t>
  </si>
  <si>
    <t>The height and platform contact are good, indicating a high-quality take-off.</t>
  </si>
  <si>
    <t>Tuck is tight | Rotation is precise</t>
  </si>
  <si>
    <t>The flight is excellent, but the score is capped at 9 due to the lack of perfect execution.</t>
  </si>
  <si>
    <t>The tuck and rotation are precise, indicating a high-quality flight.</t>
  </si>
  <si>
    <t>The entry is excellent, but the score is capped at 9 due to the lack of perfect execution.</t>
  </si>
  <si>
    <t>The entry is vertical and the splash is small, indicating a high-quality entry.</t>
  </si>
  <si>
    <t>High take-off with sufficient height | Platform contact is clean</t>
  </si>
  <si>
    <t>Perfect tuck with knees together | No loose tuck or bent knees</t>
  </si>
  <si>
    <t>Entry is vertical with no splash | Feet and hands together at entry</t>
  </si>
  <si>
    <t>Overall entry is strong and well-executed.</t>
  </si>
  <si>
    <t>tight tuck, no loose tuck | correct body shape</t>
  </si>
  <si>
    <t>The diver's flight is tight and well-executed, with no visible defects.</t>
  </si>
  <si>
    <t>entry past vertical, no splash | correct body shape</t>
  </si>
  <si>
    <t>The diver's entry is past vertical, with no visible defects.</t>
  </si>
  <si>
    <t>Standing posture with slight bend in knees | Arms fixed and relaxed</t>
  </si>
  <si>
    <t>Lack of stillness</t>
  </si>
  <si>
    <t>The posture is good, but there is a slight wobble.</t>
  </si>
  <si>
    <t>The approach is perfect, with no flaws.</t>
  </si>
  <si>
    <t>The approach is flawless.</t>
  </si>
  <si>
    <t>Twist not on longitudinal axis</t>
  </si>
  <si>
    <t>The tuck position is maintained well, but the twist is not perfectly aligned.</t>
  </si>
  <si>
    <t>The tuck position is maintained well, with no significant flaws.</t>
  </si>
  <si>
    <t>The entry is vertical, but the feet/hands are not together.</t>
  </si>
  <si>
    <t>The entry is vertical, with no significant flaws.</t>
  </si>
  <si>
    <t>The diver's flight has some flaws, such as loose tuck and bent knees in pike.</t>
  </si>
  <si>
    <t>The diver's flight has some flaws, but there are no other visible defects.</t>
  </si>
  <si>
    <t>The diver's entry is past vertical and has a large splash, but there are no other visible defects.</t>
  </si>
  <si>
    <t>The flight is excellent, with a tight tuck and symmetrical body shape.</t>
  </si>
  <si>
    <t>entry is vertical, feet together | no splash</t>
  </si>
  <si>
    <t>The entry is vertical and feet are together, with no splash.</t>
  </si>
  <si>
    <t>Takeoff is strong and well-executed.</t>
  </si>
  <si>
    <t>Entry past vertical, good rotation | Splash size medium</t>
  </si>
  <si>
    <t>Past vertical is a minor flaw.</t>
  </si>
  <si>
    <t>Overall entry is strong.</t>
  </si>
  <si>
    <t>The starting position is excellent, but the score is capped at 9.0 due to the presence of a minor defect.</t>
  </si>
  <si>
    <t>The approach is smooth and consistent, but the score is capped at 9.0 due to the presence of a minor defect.</t>
  </si>
  <si>
    <t>The approach shows no hesitation or irregularities, indicating a high-quality approach.</t>
  </si>
  <si>
    <t>adequate height, vertical take-off | strong leg drive</t>
  </si>
  <si>
    <t>The take-off is strong and vertical, but the score is capped at 9.0 due to the presence of a minor defect.</t>
  </si>
  <si>
    <t>The take-off shows no hesitation or irregularities, indicating a high-quality take-off.</t>
  </si>
  <si>
    <t>The flight is tight and symmetrical, but the score is capped at 9.0 due to the presence of a minor defect.</t>
  </si>
  <si>
    <t>The flight shows no loose tucks or asymmetries, indicating a high-quality flight.</t>
  </si>
  <si>
    <t>vertical entry, clean splash | hands and feet together</t>
  </si>
  <si>
    <t>The entry is vertical and clean, but the score is capped at 9.0 due to the presence of a minor defect.</t>
  </si>
  <si>
    <t>The entry shows no over-rotations or splashes, indicating a high-quality entry.</t>
  </si>
  <si>
    <t>The diver's knees were not fully tucked, which slightly affects the score.</t>
  </si>
  <si>
    <t>The diver's arms were fixed and close to their body, indicating good posture.</t>
  </si>
  <si>
    <t>The diver maintained a smooth approach with consistent rhythm.</t>
  </si>
  <si>
    <t>The diver had an off-vertical lean, which slightly affected the score.</t>
  </si>
  <si>
    <t>The diver had adequate height and was close to the platform.</t>
  </si>
  <si>
    <t>The diver's hands were not on their shins, which is a minor issue.</t>
  </si>
  <si>
    <t>past vertical (over-rotated)</t>
  </si>
  <si>
    <t>The diver over-rotated during the entry, which significantly affected the score.</t>
  </si>
  <si>
    <t>The diver had a large splash, which is a significant issue.</t>
  </si>
  <si>
    <t>arms fixed, no wobble | posture upright</t>
  </si>
  <si>
    <t>The diver's take-off is adequate and vertical, with no visible defects.</t>
  </si>
  <si>
    <t>The diver's flight is tight and maintains correct body shape, with no visible defects.</t>
  </si>
  <si>
    <t>The diver's entry is vertical, with a small splash, but there is a slight over-rotation.</t>
  </si>
  <si>
    <t>The diver demonstrates a smooth and consistent approach without any hesitation or irregularities.</t>
  </si>
  <si>
    <t>The diver achieves adequate height and takes off vertically, indicating good take-off technique.</t>
  </si>
  <si>
    <t>The diver maintains a tight tuck and aligned body throughout the flight, indicating good technique.</t>
  </si>
  <si>
    <t>The diver enters the water vertically and creates a clean splash, indicating good entry technique.</t>
  </si>
  <si>
    <t>Vertical entry achieved | Small splash upon entry</t>
  </si>
  <si>
    <t>Entry is still very good and close to vertical.</t>
  </si>
  <si>
    <t>Standing tall on the platform | Arms fixed and relaxed</t>
  </si>
  <si>
    <t>Smooth and consistent approach | No hesitation or balk</t>
  </si>
  <si>
    <t>The take-off is excellent, but the diver could have added more height to the jump.</t>
  </si>
  <si>
    <t>Good tuck with knees together | Toes pointed and hands on shins</t>
  </si>
  <si>
    <t>The flight is well-executed with a good tuck and pointed toes, with no visible defects.</t>
  </si>
  <si>
    <t>Vertical entry with no splash | Feet together and hands together</t>
  </si>
  <si>
    <t>The diver's approach is flawless, but there's room for improvement.</t>
  </si>
  <si>
    <t>The diver's take-off is strong and consistent.</t>
  </si>
  <si>
    <t>vertical entry, no splash | straight arms and legs at entry</t>
  </si>
  <si>
    <t>Standing tall with straight legs | Arms fixed against sides</t>
  </si>
  <si>
    <t>The diver's posture is excellent, but there's room for improvement in the approach.</t>
  </si>
  <si>
    <t>Smooth and steady | Consistent rhythm</t>
  </si>
  <si>
    <t>The diver's approach is excellent, but there's room for improvement in the take-off.</t>
  </si>
  <si>
    <t>Height sufficient | Leg drive strong</t>
  </si>
  <si>
    <t>The diver's take-off is excellent, but there's room for improvement in the flight.</t>
  </si>
  <si>
    <t>Tucked properly | Rotation precise</t>
  </si>
  <si>
    <t>The diver's flight is excellent, but there's room for improvement in the entry.</t>
  </si>
  <si>
    <t>The diver's entry is excellent, but there's room for improvement in the overall performance.</t>
  </si>
  <si>
    <t>The diver's approach is excellent, with no issues.</t>
  </si>
  <si>
    <t>The take-off height and leg drive are strong, with no visible defects.</t>
  </si>
  <si>
    <t>The diver's take-off is excellent, with no issues.</t>
  </si>
  <si>
    <t>The diver's flight is perfect, with no issues.</t>
  </si>
  <si>
    <t>The diver's entry is perfect, with no issues.</t>
  </si>
  <si>
    <t>Standing tall with straight legs, arms fixed by sides | No visible nerves or re-adjustment</t>
  </si>
  <si>
    <t>High take-off with sufficient height | Leg drive is strong and coordinated</t>
  </si>
  <si>
    <t>Strong tuck with knees together | Body shape is symmetrical throughout the flight</t>
  </si>
  <si>
    <t>Vertical entry with no over-rotation | Splash is small and clean</t>
  </si>
  <si>
    <t>high take-off | vertical take-off</t>
  </si>
  <si>
    <t>Starting position is excellent.</t>
  </si>
  <si>
    <t>No hesitation or irregularities.</t>
  </si>
  <si>
    <t>Approach is flawless.</t>
  </si>
  <si>
    <t>Take-off is excellent.</t>
  </si>
  <si>
    <t>Flight is perfect.</t>
  </si>
  <si>
    <t>Entry is very good but slightly over-rotated.</t>
  </si>
  <si>
    <t>Entry is excellent but not perfect.</t>
  </si>
  <si>
    <t>loose tuck, bent knees in pike | toes pointed</t>
  </si>
  <si>
    <t>loose tuck, bent knees in pike</t>
  </si>
  <si>
    <t>The flight has a loose tuck and bent knees, impacting the score.</t>
  </si>
  <si>
    <t>The toes are pointed, which is a positive aspect.</t>
  </si>
  <si>
    <t>past vertical, feet together | body break at hips</t>
  </si>
  <si>
    <t>past vertical | body break at hips</t>
  </si>
  <si>
    <t>The entry is past vertical and shows a body break at hips, significantly impacting the score.</t>
  </si>
  <si>
    <t>The feet are together, which is a positive aspect.</t>
  </si>
  <si>
    <t>Overall entry is vertical and splash size is medium.</t>
  </si>
  <si>
    <t>Backward tuck position | Good posture</t>
  </si>
  <si>
    <t>No wobble | No visible nerves</t>
  </si>
  <si>
    <t>The diver's form is excellent, but there is room for improvement in the flight phase.</t>
  </si>
  <si>
    <t>The starting position is very good, with no significant defects.</t>
  </si>
  <si>
    <t>Smooth approach | Proper rhythm</t>
  </si>
  <si>
    <t>No hesitation | No lateral drift</t>
  </si>
  <si>
    <t>The approach is excellent, but the flight phase has more room for improvement.</t>
  </si>
  <si>
    <t>The approach is smooth and well-executed, with no significant defects.</t>
  </si>
  <si>
    <t>High take-off | Vertical take-off</t>
  </si>
  <si>
    <t>No off-vertical lean | No weak leg drive</t>
  </si>
  <si>
    <t>The take-off is excellent, but the flight phase has more room for improvement.</t>
  </si>
  <si>
    <t>The take-off is high and vertical, with no significant defects.</t>
  </si>
  <si>
    <t>Good tuck | Pointed toes</t>
  </si>
  <si>
    <t>No loose tuck | No bent knees</t>
  </si>
  <si>
    <t>The flight is very good, but the entry phase has more room for improvement.</t>
  </si>
  <si>
    <t>The flight is well-executed, with no significant defects.</t>
  </si>
  <si>
    <t>Under-rotated | Medium splash</t>
  </si>
  <si>
    <t>The entry is under-rotated, which affects the overall score.</t>
  </si>
  <si>
    <t>The entry is not completely failed, as the diver did not balk or fail to complete the dive.</t>
  </si>
  <si>
    <t>Vertical entry, no over-rotation | Splash is small and clean</t>
  </si>
  <si>
    <t>The take-off is excellent, but the flight could be more powerful.</t>
  </si>
  <si>
    <t>The take-off is strong and well-executed, with no visible defects.</t>
  </si>
  <si>
    <t>Vertical entry with no splash | Feet together</t>
  </si>
  <si>
    <t>The entry is clean and powerful, with no visible defects.</t>
  </si>
  <si>
    <t>High take-off with sufficient height | Off-vertical lean</t>
  </si>
  <si>
    <t>The diver's take-off is good, but the off-vertical lean slightly affects the score.</t>
  </si>
  <si>
    <t>The diver's entry is poor due to over-rotation and a large splash.</t>
  </si>
  <si>
    <t>The diver's entry is very poor, with significant flaws.</t>
  </si>
  <si>
    <t>Running towards the platform | Maintaining a steady pace</t>
  </si>
  <si>
    <t>Jumping off the platform | Generating sufficient height</t>
  </si>
  <si>
    <t>Executing a tuck | Knees together</t>
  </si>
  <si>
    <t>The flight is good, but the loose tuck reduces the score.</t>
  </si>
  <si>
    <t>The flight is solid, with no significant flaws.</t>
  </si>
  <si>
    <t>Entering the water vertically | No splash</t>
  </si>
  <si>
    <t>The entry is good, but the past vertical reduces the score.</t>
  </si>
  <si>
    <t>The entry is solid, with no significant flaws.</t>
  </si>
  <si>
    <t>Standing tall with straight legs, arms fixed, no wobble | Posture is good, shoulders squared</t>
  </si>
  <si>
    <t>The diver's form is excellent, but there is room for improvement in the approach.</t>
  </si>
  <si>
    <t>No hesitation or balk | Rhythm is consistent</t>
  </si>
  <si>
    <t>Height is sufficient | Leg drive is strong</t>
  </si>
  <si>
    <t>The take-off is strong, but the score is capped at 9.0 due to the presence of a minor defect.</t>
  </si>
  <si>
    <t>The flight is excellent, but the score is capped at 9.0 due to the presence of a minor defect.</t>
  </si>
  <si>
    <t>The entry is excellent, but the score is capped at 9.0 due to the presence of a minor defect.</t>
  </si>
  <si>
    <t>The take-off is generally strong, with adequate height and leg drive.</t>
  </si>
  <si>
    <t>The diver's flight is generally tight, but there is a loose tuck.</t>
  </si>
  <si>
    <t>The flight is symmetrical and pointed, with no significant defects.</t>
  </si>
  <si>
    <t>The posture is upright, but the arms being raised above the head might be seen as a slight distraction.</t>
  </si>
  <si>
    <t>The posture is upright, and there are no significant defects.</t>
  </si>
  <si>
    <t>The approach is smooth and consistent, but there is room for improvement in terms of height.</t>
  </si>
  <si>
    <t>The take-off is adequate and vertical, but there is room for improvement in terms of height.</t>
  </si>
  <si>
    <t>The take-off is adequate and vertical, and there are no significant defects.</t>
  </si>
  <si>
    <t>straight flight path | controlled rotation</t>
  </si>
  <si>
    <t>The flight is straight and controlled, but there is room for improvement in terms of height.</t>
  </si>
  <si>
    <t>The flight is straight and controlled, and there are no significant defects.</t>
  </si>
  <si>
    <t>The entry is vertical and clean, but there is room for improvement in terms of height.</t>
  </si>
  <si>
    <t>The diver's form is excellent, but there's room for improvement in the approach.</t>
  </si>
  <si>
    <t>The diver's starting position is perfect, with no visible defects.</t>
  </si>
  <si>
    <t>The diver's approach is excellent, but there's room for improvement in the flight.</t>
  </si>
  <si>
    <t>The diver's approach is perfect, with no visible defects.</t>
  </si>
  <si>
    <t>The diver's take-off is perfect, with no visible defects.</t>
  </si>
  <si>
    <t>The diver's flight is perfect, with no visible defects.</t>
  </si>
  <si>
    <t>The diver's entry is perfect, with no visible defects.</t>
  </si>
  <si>
    <t>Standing still on the edge of the diving board | Arms fixed and parallel to the body</t>
  </si>
  <si>
    <t>Tuck position is tight and symmetrical | Rotation is precise and controlled</t>
  </si>
  <si>
    <t>Height sufficient for take-off | Platform contact not too close or far</t>
  </si>
  <si>
    <t>Standing still, no wobble | Good posture, no rounded shoulders</t>
  </si>
  <si>
    <t>The diver's posture and stillness are excellent, but there is room for improvement in the approach.</t>
  </si>
  <si>
    <t>Smooth and consistent steps | Proper rhythm maintained throughout</t>
  </si>
  <si>
    <t>Height sufficient for a clean take-off | Proper distance from the platform</t>
  </si>
  <si>
    <t>The diver's take-off is clean and powerful, but there is room for improvement in the flight.</t>
  </si>
  <si>
    <t>Entry past vertical | Clean splash</t>
  </si>
  <si>
    <t>The diver's entry is past vertical, which is a significant flaw.</t>
  </si>
  <si>
    <t>The diver's entry is very good, with a clean splash.</t>
  </si>
  <si>
    <t>The entry is vertical and feet are together, indicating a strong finish.</t>
  </si>
  <si>
    <t>Entry is strong and consistent.</t>
  </si>
  <si>
    <t>The approach is smooth and consistent, with good knee drive.</t>
  </si>
  <si>
    <t>The flight is symmetrical and well-executed.</t>
  </si>
  <si>
    <t>The entry is generally clean, with no significant flaws.</t>
  </si>
  <si>
    <t>Executing a tuck position with knees together | Body aligned along the longitudinal axis</t>
  </si>
  <si>
    <t>Entering the water with a clean splash | Feet together and hands not on shins</t>
  </si>
  <si>
    <t>The diver's entry is good, but there is a past vertical which affects the overall score.</t>
  </si>
  <si>
    <t>Man is standing still on the diving board. | Man has good posture with straight back.</t>
  </si>
  <si>
    <t>Man approaches the diving board with a steady pace. | Man maintains a straight line towards the diving board.</t>
  </si>
  <si>
    <t>Man takes off from the diving board with a strong leg drive. | Man's take-off is slightly off-vertical.</t>
  </si>
  <si>
    <t>The diver's take-off is strong, but the slight off-vertical lean affects the score.</t>
  </si>
  <si>
    <t>The diver's take-off is very good, and the off-vertical lean is minimal.</t>
  </si>
  <si>
    <t>Man performs a tuck during the flight. | Man's flight is smooth and controlled.</t>
  </si>
  <si>
    <t>The diver's flight is smooth, but the loose tuck affects the score.</t>
  </si>
  <si>
    <t>The diver's flight is very good, and the loose tuck is minimal.</t>
  </si>
  <si>
    <t>Man enters the water with a clean splash. | Man's entry is slightly over-rotated.</t>
  </si>
  <si>
    <t>The diver's entry is clean, but the over-rotation affects the score.</t>
  </si>
  <si>
    <t>The diver's entry is very good, and the over-rotation is minimal.</t>
  </si>
  <si>
    <t>The diver's approach is excellent, but there is room for improvement in the approach.</t>
  </si>
  <si>
    <t>High take-off with good leg drive | Platform contact is clean</t>
  </si>
  <si>
    <t>The diver's take-off is excellent, but there is room for improvement in the take-off.</t>
  </si>
  <si>
    <t>Good tuck with knees together | Body is straight during flight</t>
  </si>
  <si>
    <t>The diver's flight is excellent, but there is room for improvement in the flight.</t>
  </si>
  <si>
    <t>Vertical entry with clean splash | Feet and hands together at entry</t>
  </si>
  <si>
    <t>The diver's entry is excellent, but there is room for improvement in the entry.</t>
  </si>
  <si>
    <t>adequate height, vertical take-off | no off-vertical lean</t>
  </si>
  <si>
    <t>The height and verticality are perfect, indicating a high-quality take-off.</t>
  </si>
  <si>
    <t>entry past vertical, clean splash | no bent arms or knees</t>
  </si>
  <si>
    <t>The entry is excellent, but the score is capped at 8 due to the presence of a minor defect.</t>
  </si>
  <si>
    <t>The splash and alignment are perfect, indicating a high-quality entry.</t>
  </si>
  <si>
    <t>The approach is excellent, but the take-off could be improved.</t>
  </si>
  <si>
    <t>The diver's approach is consistent and well-executed.</t>
  </si>
  <si>
    <t>The take-off is strong, but the flight could be more efficient.</t>
  </si>
  <si>
    <t>The flight is excellent, but the entry could be more efficient.</t>
  </si>
  <si>
    <t>The entry is excellent, but the take-off could be more efficient.</t>
  </si>
  <si>
    <t>The diver's posture and arm positioning are perfect, indicating a high-quality start.</t>
  </si>
  <si>
    <t>smooth approach, no hesitation | consistent rhythm, no irregularities</t>
  </si>
  <si>
    <t>The diver's approach is well-executed, with no signs of hesitation or irregularity.</t>
  </si>
  <si>
    <t>adequate height, no wobble | platform contact stable, no off-vertical lean</t>
  </si>
  <si>
    <t>The diver's take-off is stable and well-executed, with no visible defects.</t>
  </si>
  <si>
    <t>The diver's take-off is strong, with no signs of wobble or off-vertical lean.</t>
  </si>
  <si>
    <t>tight tuck, knees together | hands on shins, no loose tuck</t>
  </si>
  <si>
    <t>The diver's flight is well-executed, with a tight tuck and hands on shins.</t>
  </si>
  <si>
    <t>The diver's flight is strong, with no signs of loose tuck or asymmetry.</t>
  </si>
  <si>
    <t>entry vertical, no over-rotation | splash small, no large splash</t>
  </si>
  <si>
    <t>The diver's entry is vertical and well-executed, with a small splash.</t>
  </si>
  <si>
    <t>The diver's entry is strong, with no signs of over-rotation or large splash.</t>
  </si>
  <si>
    <t>Entry past vertical, no splash | Feet together, no body break</t>
  </si>
  <si>
    <t>The take-off is strong, but the flight could be improved.</t>
  </si>
  <si>
    <t>The flight is excellent, but the entry could be improved.</t>
  </si>
  <si>
    <t>The entry is excellent, but the take-off could be improved.</t>
  </si>
  <si>
    <t>llava_Starting_Position_observations</t>
  </si>
  <si>
    <t>llava_Starting_Position_defects_present</t>
  </si>
  <si>
    <t>llava_Starting_Position_why_not_higher</t>
  </si>
  <si>
    <t>llava_Starting_Position_why_not_lower</t>
  </si>
  <si>
    <t>llava_Approach_observations</t>
  </si>
  <si>
    <t>llava_Approach_defects_present</t>
  </si>
  <si>
    <t>llava_Approach_why_not_higher</t>
  </si>
  <si>
    <t>llava_Approach_why_not_lower</t>
  </si>
  <si>
    <t>llava_Take_off_observations</t>
  </si>
  <si>
    <t>llava_Take_off_defects_present</t>
  </si>
  <si>
    <t>llava_Take_off_why_not_higher</t>
  </si>
  <si>
    <t>llava_Take_off_why_not_lower</t>
  </si>
  <si>
    <t>llava_Flight_observations</t>
  </si>
  <si>
    <t>llava_Flight_defects_present</t>
  </si>
  <si>
    <t>llava_Flight_why_not_higher</t>
  </si>
  <si>
    <t>llava_Flight_why_not_lower</t>
  </si>
  <si>
    <t>llava_Entry_observations</t>
  </si>
  <si>
    <t>llava_Entry_defects_present</t>
  </si>
  <si>
    <t>llava_Entry_why_not_higher</t>
  </si>
  <si>
    <t>llava_Entry_why_not_lower</t>
  </si>
  <si>
    <t>The diver has a good starting position, with legs apart and arms extended. | The diver's posture is stable and balanced.</t>
  </si>
  <si>
    <t>The diver's arms are not fully extended, with elbows bent.</t>
  </si>
  <si>
    <t>The diver's arms are not fully extended, which is against the rules.</t>
  </si>
  <si>
    <t>The diver's starting position is otherwise good.</t>
  </si>
  <si>
    <t>The diver's approach is smooth and controlled. | The diver maintains a steady rhythm throughout.</t>
  </si>
  <si>
    <t>The diver hesitates slightly before entering the water.</t>
  </si>
  <si>
    <t>The hesitation is minor and does not affect the overall quality of the dive.</t>
  </si>
  <si>
    <t>The approach is otherwise competent.</t>
  </si>
  <si>
    <t>The diver takes off with good height and control. | The diver rotates well into the dive.</t>
  </si>
  <si>
    <t>The diver's legs are not fully extended during the take-off.</t>
  </si>
  <si>
    <t>The take-off is competent, despite the lack of full extension.</t>
  </si>
  <si>
    <t>The dive otherwise shows good execution.</t>
  </si>
  <si>
    <t>The diver maintains a good tuck position during flight. | The diver rotates well through the dive.</t>
  </si>
  <si>
    <t>The diver's tuck is not fully extended, with legs not on shins.</t>
  </si>
  <si>
    <t>The dive shows good execution, despite the lack of full tuck.</t>
  </si>
  <si>
    <t>The dive otherwise competently executes the flight phase.</t>
  </si>
  <si>
    <t>The diver enters the water with a good body position. | The dive ends with a clean entry.</t>
  </si>
  <si>
    <t>The diver's feet are not together at entry.</t>
  </si>
  <si>
    <t>The diver's entry is competent, despite the lack of foot position.</t>
  </si>
  <si>
    <t>The diver started with good posture, arms fixed and legs together. | The diver's entry was stable and controlled.</t>
  </si>
  <si>
    <t>No visible signs of nerves or re-adjustment during the dive.</t>
  </si>
  <si>
    <t>The diver started with good posture and maintained it throughout the dive.</t>
  </si>
  <si>
    <t>The diver's entry was stable and controlled.</t>
  </si>
  <si>
    <t>The diver's approach was smooth and rhythmic. | The diver's step count was consistent.</t>
  </si>
  <si>
    <t>No hesitation or balk during the approach.</t>
  </si>
  <si>
    <t>The diver's approach was smooth and rhythmic, and there were no hesitations or balk.</t>
  </si>
  <si>
    <t>The diver's step count was consistent.</t>
  </si>
  <si>
    <t>The diver's take-off was clean and coordinated. | The diver's legs provided adequate drive.</t>
  </si>
  <si>
    <t>No issues with the take-off.</t>
  </si>
  <si>
    <t>The diver's take-off was clean and coordinated, and the legs provided adequate drive.</t>
  </si>
  <si>
    <t>The diver's flight was controlled and streamlined. | The diver's tuck was stable.</t>
  </si>
  <si>
    <t>No issues with the flight.</t>
  </si>
  <si>
    <t>The diver's flight was controlled and streamlined, and the tuck was stable.</t>
  </si>
  <si>
    <t>The diver's entry was precise and controlled. | The diver's entry was vertical.</t>
  </si>
  <si>
    <t>No issues with the entry.</t>
  </si>
  <si>
    <t>The diver's entry was precise and controlled, and the entry was vertical.</t>
  </si>
  <si>
    <t>The diver has a good starting position, with legs apart and arms extended. | The diver's posture is stable.</t>
  </si>
  <si>
    <t>The diver's approach is smooth and controlled. | The diver's rhythm is steady.</t>
  </si>
  <si>
    <t>The diver hesitated slightly before entering the water.</t>
  </si>
  <si>
    <t>The diver's take-off is clean and powerful. | The diver's body is aligned with the board.</t>
  </si>
  <si>
    <t>The diver's feet are not together at the entry.</t>
  </si>
  <si>
    <t>The take-off is competent despite the feet not being together.</t>
  </si>
  <si>
    <t>The diver's body alignment is otherwise good.</t>
  </si>
  <si>
    <t>The diver's flight is clean and controlled. | The diver's body is aligned with the board.</t>
  </si>
  <si>
    <t>The diver's legs are not fully extended.</t>
  </si>
  <si>
    <t>The diver's legs are not fully extended, but the rest of the body is aligned with the board.</t>
  </si>
  <si>
    <t>The flight is otherwise competent.</t>
  </si>
  <si>
    <t>The diver's entry is clean and controlled. | The diver's body breaks at the hips.</t>
  </si>
  <si>
    <t>The diver's feet are not together at the entry, but the rest of the body is aligned with the board.</t>
  </si>
  <si>
    <t>The entry is otherwise competent.</t>
  </si>
  <si>
    <t>The diver's take-off is clean and controlled. | The diver's body is aligned with the board.</t>
  </si>
  <si>
    <t>The diver's flight is controlled and streamlined. | The diver's body is symmetrical.</t>
  </si>
  <si>
    <t>The diver's legs are not fully extended, but the rest of the body is symmetrical and the flight is otherwise good.</t>
  </si>
  <si>
    <t>The diver's body is otherwise competent.</t>
  </si>
  <si>
    <t>The diver's entry is slightly late.</t>
  </si>
  <si>
    <t>The entry is competent despite the slight delay.</t>
  </si>
  <si>
    <t>The diver's body breaks at the hips and the entry is otherwise good.</t>
  </si>
  <si>
    <t>The diver's starting position is strong and well-executed.</t>
  </si>
  <si>
    <t>There are no visible flaws in this phase.</t>
  </si>
  <si>
    <t>The diver's approach is smooth and controlled. | The diver maintains a steady rhythm throughout the approach.</t>
  </si>
  <si>
    <t>The diver's approach is strong and well-executed.</t>
  </si>
  <si>
    <t>The diver takes off with good height and control. | The diver rotates cleanly from the platform.</t>
  </si>
  <si>
    <t>The diver's take-off is strong and well-executed.</t>
  </si>
  <si>
    <t>The diver maintains a good tuck during flight. | The diver rotates cleanly and symmetrically.</t>
  </si>
  <si>
    <t>The diver's flight is strong and well-executed.</t>
  </si>
  <si>
    <t>The diver enters the water with a good body position and splash. | The entry is clean and controlled.</t>
  </si>
  <si>
    <t>The diver's entry is strong and well-executed.</t>
  </si>
  <si>
    <t>The diver has a good starting position, with legs apart and arms extended. | The diver's posture is excellent.</t>
  </si>
  <si>
    <t>No visible signs of wobble or re-adjustment.</t>
  </si>
  <si>
    <t>The diver's posture is already at the top of the scale, and there are no visible flaws.</t>
  </si>
  <si>
    <t>The starting position is strong and consistent with a 'Very Good' dive.</t>
  </si>
  <si>
    <t>No hesitation or balk.</t>
  </si>
  <si>
    <t>The approach is strong and consistent with a 'Very Good' dive.</t>
  </si>
  <si>
    <t>The approach is competent and free of major flaws.</t>
  </si>
  <si>
    <t>The diver takes off with good height and control. | The diver's body is aligned with the board.</t>
  </si>
  <si>
    <t>No visible issues with the take-off.</t>
  </si>
  <si>
    <t>The take-off is strong and consistent with a 'Very Good' dive.</t>
  </si>
  <si>
    <t>The take-off is competent and free of major flaws.</t>
  </si>
  <si>
    <t>The diver maintains a good tuck throughout the flight. | The diver's body is aligned with the board.</t>
  </si>
  <si>
    <t>No visible issues with the flight.</t>
  </si>
  <si>
    <t>The flight is strong and consistent with a 'Very Good' dive.</t>
  </si>
  <si>
    <t>The flight is competent and free of major flaws.</t>
  </si>
  <si>
    <t>The diver enters the water with a good body position. | The diver's entry is clean.</t>
  </si>
  <si>
    <t>No visible issues with the entry.</t>
  </si>
  <si>
    <t>The entry is strong and consistent with a 'Very Good' dive.</t>
  </si>
  <si>
    <t>The entry is competent and free of major flaws.</t>
  </si>
  <si>
    <t>The diver's legs are not fully extended, but the overall quality of the flight is still good.</t>
  </si>
  <si>
    <t>The diver's body is otherwise symmetrical and streamlined.</t>
  </si>
  <si>
    <t>The diver's body break at the hips is otherwise good.</t>
  </si>
  <si>
    <t>No visible signs of nerves or re-adjustment.</t>
  </si>
  <si>
    <t>The diver's starting position is very good, with proper alignment and no visible issues.</t>
  </si>
  <si>
    <t>The diver's approach is smooth and controlled. | The diver's rhythm is consistent.</t>
  </si>
  <si>
    <t>The diver's approach is excellent, with no hesitation or balk.</t>
  </si>
  <si>
    <t>The diver's approach is competent and well-executed.</t>
  </si>
  <si>
    <t>The diver takes off with good height and control. | The diver's rotation is clean.</t>
  </si>
  <si>
    <t>No visible issues during take-off.</t>
  </si>
  <si>
    <t>The diver's take-off is very good, with proper height and control.</t>
  </si>
  <si>
    <t>The diver's take-off is competent and well-executed.</t>
  </si>
  <si>
    <t>The diver maintains a good tuck throughout the flight. | The diver's body is aligned.</t>
  </si>
  <si>
    <t>No visible issues during flight.</t>
  </si>
  <si>
    <t>The diver's flight is very good, with no visible issues.</t>
  </si>
  <si>
    <t>The diver's flight is competent and well-executed.</t>
  </si>
  <si>
    <t>The diver enters the water with a good shape and control. | The diver's entry is clean.</t>
  </si>
  <si>
    <t>No visible issues during entry.</t>
  </si>
  <si>
    <t>The diver's entry is very good, with no visible issues.</t>
  </si>
  <si>
    <t>The diver's entry is competent and well-executed.</t>
  </si>
  <si>
    <t>The diver's starting position is very good, with proper alignment and balance.</t>
  </si>
  <si>
    <t>The diver's approach is excellent, with a confident and steady rhythm.</t>
  </si>
  <si>
    <t>The diver takes off with good height and control. | The diver's body is aligned vertically.</t>
  </si>
  <si>
    <t>The diver's take-off is excellent, with proper height and alignment.</t>
  </si>
  <si>
    <t>The diver maintains a good tuck throughout the flight. | The diver's body is symmetrical.</t>
  </si>
  <si>
    <t>The diver's flight is excellent, with a stable and symmetrical position.</t>
  </si>
  <si>
    <t>The diver enters the water with a controlled entry. | The diver's body breaks at the hips.</t>
  </si>
  <si>
    <t>The diver's entry is excellent, with a controlled and balanced entry.</t>
  </si>
  <si>
    <t>The diver's starting position is very good, but there are no visible flaws.</t>
  </si>
  <si>
    <t>The diver's starting position is excellent, but there are no visible flaws.</t>
  </si>
  <si>
    <t>The diver's approach is very good, with no hesitation or balk.</t>
  </si>
  <si>
    <t>The diver takes off with good height and control. | The diver rotates well.</t>
  </si>
  <si>
    <t>No issues with hand position.</t>
  </si>
  <si>
    <t>The diver takes off with good height and control, and rotates well.</t>
  </si>
  <si>
    <t>The diver's take-off is very good, with no issues with hand position.</t>
  </si>
  <si>
    <t>No issues with twist or rotation.</t>
  </si>
  <si>
    <t>The diver maintains a good tuck throughout the flight, and the body is symmetrical.</t>
  </si>
  <si>
    <t>The diver's flight is very good, with no issues with twist or rotation.</t>
  </si>
  <si>
    <t>No issues with feet or hands.</t>
  </si>
  <si>
    <t>The diver enters the water with a good body position, and the entry is clean.</t>
  </si>
  <si>
    <t>The diver's entry is very good, with no issues with feet or hands.</t>
  </si>
  <si>
    <t>The diver's starting position is very good, with no visible flaws.</t>
  </si>
  <si>
    <t>The diver's starting position is excellent, with no room for improvement.</t>
  </si>
  <si>
    <t>The diver's approach is very good, with no visible flaws.</t>
  </si>
  <si>
    <t>The diver's approach is competent, with no room for improvement.</t>
  </si>
  <si>
    <t>No issues with hand position or timing.</t>
  </si>
  <si>
    <t>The diver's take-off is very good, with no visible flaws.</t>
  </si>
  <si>
    <t>The diver's take-off is competent, with no room for improvement.</t>
  </si>
  <si>
    <t>The diver maintains a good tuck throughout the flight. | The diver's body is aligned horizontally.</t>
  </si>
  <si>
    <t>No issues with body position or rotation.</t>
  </si>
  <si>
    <t>The diver's flight is very good, with no visible flaws.</t>
  </si>
  <si>
    <t>The diver's flight is competent, with no room for improvement.</t>
  </si>
  <si>
    <t>The diver enters the water with good form and control. | The diver's entry is clean.</t>
  </si>
  <si>
    <t>No issues with entry position or break.</t>
  </si>
  <si>
    <t>The diver's entry is very good, with no visible flaws.</t>
  </si>
  <si>
    <t>The diver's entry is competent, with no room for improvement.</t>
  </si>
  <si>
    <t>The diver has a good posture with straight shoulders and bent knees. | The diver's arms are fixed and ready.</t>
  </si>
  <si>
    <t>No visible nerves or re-adjustment.</t>
  </si>
  <si>
    <t>The diver's posture is already very good.</t>
  </si>
  <si>
    <t>The diver's rhythm is consistent and steps are well-coordinated. | The diver's approach is smooth.</t>
  </si>
  <si>
    <t>The approach is already very good.</t>
  </si>
  <si>
    <t>The diver's take-off is clean and coordinated. | The diver's legs drive off the platform well.</t>
  </si>
  <si>
    <t>No visible flaws in the take-off.</t>
  </si>
  <si>
    <t>The take-off is already very good.</t>
  </si>
  <si>
    <t>The diver's tuck is clean and coordinated. | The diver's body is symmetrical.</t>
  </si>
  <si>
    <t>No visible flaws in the flight.</t>
  </si>
  <si>
    <t>The flight is already very good.</t>
  </si>
  <si>
    <t>The diver's entry is clean and coordinated. | The diver's feet are together.</t>
  </si>
  <si>
    <t>No visible flaws in the entry.</t>
  </si>
  <si>
    <t>The entry is already very good.</t>
  </si>
  <si>
    <t>The diver's legs are not fully extended, but the rest of the body is symmetrical and the flight is otherwise competent.</t>
  </si>
  <si>
    <t>The diver's body is otherwise good.</t>
  </si>
  <si>
    <t>The diver's flight is controlled and streamlined. | The diver maintains a good tuck throughout.</t>
  </si>
  <si>
    <t>The diver's tuck is not fully extended, with knees bent.</t>
  </si>
  <si>
    <t>The tuck is competent, despite the lack of full extension.</t>
  </si>
  <si>
    <t>The diver enters the water with a good body position. | The diver's feet are together.</t>
  </si>
  <si>
    <t>The diver's entry is slightly off-vertical.</t>
  </si>
  <si>
    <t>The entry is competent, despite the minor flaw.</t>
  </si>
  <si>
    <t>The diver's entry was stable and controlled, indicating a strong start.</t>
  </si>
  <si>
    <t>The diver's approach was smooth and consistent. | The diver's rhythm was steady.</t>
  </si>
  <si>
    <t>The diver's approach was smooth and consistent, showing good control.</t>
  </si>
  <si>
    <t>The diver's rhythm was steady, indicating a strong approach.</t>
  </si>
  <si>
    <t>The diver's take-off was clean and powerful. | The diver's body was well-coordinated.</t>
  </si>
  <si>
    <t>The diver's take-off was clean and powerful, showing good form.</t>
  </si>
  <si>
    <t>The diver's body was well-coordinated, indicating a strong take-off.</t>
  </si>
  <si>
    <t>The diver's flight was fluid and controlled. | The diver's tuck was tight.</t>
  </si>
  <si>
    <t>The diver's flight was fluid and controlled, showing good form.</t>
  </si>
  <si>
    <t>The diver's tuck was tight, indicating a strong flight.</t>
  </si>
  <si>
    <t>The diver entered the water with a strong entry. | The diver's body broke at the hips on impact.</t>
  </si>
  <si>
    <t>The diver entered the water with a strong entry, showing good form.</t>
  </si>
  <si>
    <t>The diver's body broke at the hips on impact, indicating a strong entry.</t>
  </si>
  <si>
    <t>The diver's take-off is clean and powerful. | The diver's body is well aligned.</t>
  </si>
  <si>
    <t>The diver's flight is clean and controlled. | The diver's body is well aligned.</t>
  </si>
  <si>
    <t>The diver's legs are not fully extended, but the rest of the body is well aligned.</t>
  </si>
  <si>
    <t>The diver's entry is clean and controlled. | The diver's body is well aligned.</t>
  </si>
  <si>
    <t>The diver's feet are not together at the entry, but the body is otherwise well aligned.</t>
  </si>
  <si>
    <t>The entry was stable and controlled, indicating a strong start.</t>
  </si>
  <si>
    <t>The diver's approach was smooth and rhythmic. | The diver's entry was stable and controlled.</t>
  </si>
  <si>
    <t>No visible hesitation or balk during the approach.</t>
  </si>
  <si>
    <t>The diver's approach was smooth and rhythmic, indicating a strong execution.</t>
  </si>
  <si>
    <t>The entry was stable and controlled, indicating a strong execution.</t>
  </si>
  <si>
    <t>The diver's take-off was clean and coordinated. | The diver's entry was strong and controlled.</t>
  </si>
  <si>
    <t>The diver's take-off was clean and coordinated, indicating a strong execution.</t>
  </si>
  <si>
    <t>The entry was strong and controlled, indicating a strong execution.</t>
  </si>
  <si>
    <t>The diver's flight was controlled and streamlined. | The diver's entry was strong and controlled.</t>
  </si>
  <si>
    <t>The diver's flight was controlled and streamlined, indicating a strong execution.</t>
  </si>
  <si>
    <t>The diver's entry was strong and controlled. | The diver's entry was strong and controlled.</t>
  </si>
  <si>
    <t>The diver's entry was strong and controlled, indicating a strong execution.</t>
  </si>
  <si>
    <t>The diver's arms are not fully extended, which is a common flaw in dives, but the overall position is good.</t>
  </si>
  <si>
    <t>The diver's approach is smooth and controlled.</t>
  </si>
  <si>
    <t>The diver's approach is smooth and controlled, and there are no visible flaws.</t>
  </si>
  <si>
    <t>The diver takes off with good height and form.</t>
  </si>
  <si>
    <t>The diver's feet are not together.</t>
  </si>
  <si>
    <t>The diver takes off with good height and form, but the feet are not together.</t>
  </si>
  <si>
    <t>The diver's tuck is not fully extended.</t>
  </si>
  <si>
    <t>The diver maintains a good tuck throughout the flight, but the tuck is not fully extended.</t>
  </si>
  <si>
    <t>The diver enters the water with a good shape and splash.</t>
  </si>
  <si>
    <t>The diver's entry is not fully vertical.</t>
  </si>
  <si>
    <t>The diver enters the water with a good shape and splash, but the entry is not fully vertical.</t>
  </si>
  <si>
    <t>The diver's starting position was excellent, with good posture and stable entry.</t>
  </si>
  <si>
    <t>There were no visible flaws in the starting position.</t>
  </si>
  <si>
    <t>The diver's approach was very good, with no hesitation or balk.</t>
  </si>
  <si>
    <t>The diver's approach was excellent, with a smooth and consistent rhythm.</t>
  </si>
  <si>
    <t>The diver's take-off was clean and well-coordinated. | The diver's body was aligned with the board.</t>
  </si>
  <si>
    <t>The diver's take-off was very good, with a clean and well-coordinated execution.</t>
  </si>
  <si>
    <t>The diver's take-off was excellent, with no issues.</t>
  </si>
  <si>
    <t>The diver's flight was controlled and streamlined. | The diver's body was symmetrical.</t>
  </si>
  <si>
    <t>The diver's flight was very good, with no issues.</t>
  </si>
  <si>
    <t>The diver's flight was excellent, with no visible flaws.</t>
  </si>
  <si>
    <t>The diver's entry was precise and controlled. | The diver's entry was underwater.</t>
  </si>
  <si>
    <t>The diver's entry was very good, with no issues.</t>
  </si>
  <si>
    <t>The diver's entry was excellent, with no visible flaws.</t>
  </si>
  <si>
    <t>The diver's flight is excellent, with a clean and symmetrical form.</t>
  </si>
  <si>
    <t>The diver maintains a good tuck throughout the flight. | The diver's body is aligned with the longitudinal axis.</t>
  </si>
  <si>
    <t>The diver enters the water with a good body position and splash. | The diver's entry is clean.</t>
  </si>
  <si>
    <t>No issues with body position or break.</t>
  </si>
  <si>
    <t>No visible signs of wobble or re-adjustment during the dive.</t>
  </si>
  <si>
    <t>The entry was stable and controlled, indicating a good execution.</t>
  </si>
  <si>
    <t>The diver's approach was smooth and consistent. | The diver's rhythm was good.</t>
  </si>
  <si>
    <t>The diver's approach was smooth and consistent, showing good form.</t>
  </si>
  <si>
    <t>The diver's rhythm was steady and well-executed.</t>
  </si>
  <si>
    <t>The diver's take-off was clean and powerful. | The diver's body was aligned correctly.</t>
  </si>
  <si>
    <t>The diver's take-off was clean and powerful, demonstrating good technique.</t>
  </si>
  <si>
    <t>The diver's body alignment was excellent.</t>
  </si>
  <si>
    <t>The diver's flight was controlled and streamlined, showing good form.</t>
  </si>
  <si>
    <t>The diver's body was balanced and in harmony.</t>
  </si>
  <si>
    <t>The diver entered the water with control and precision. | The diver's entry was strong.</t>
  </si>
  <si>
    <t>The diver entered the water with control and precision, displaying good execution.</t>
  </si>
  <si>
    <t>The diver's entry was strong and well-executed.</t>
  </si>
  <si>
    <t>The starting position was excellent, with good posture and control.</t>
  </si>
  <si>
    <t>There were no visible flaws in this phase.</t>
  </si>
  <si>
    <t>The diver's approach was smooth and consistent. | The dive had a good rhythm and step count.</t>
  </si>
  <si>
    <t>The approach was very good, with a smooth rhythm and no hesitation.</t>
  </si>
  <si>
    <t>The diver's take-off was clean and well-coordinated. | The dive had adequate height.</t>
  </si>
  <si>
    <t>The take-off was very good, with a clean execution and adequate height.</t>
  </si>
  <si>
    <t>The diver's flight was controlled and streamlined. | The dive had a good tuck.</t>
  </si>
  <si>
    <t>The flight was very good, with a controlled and streamlined execution.</t>
  </si>
  <si>
    <t>The diver's entry was strong and stable. | The dive had a good splash.</t>
  </si>
  <si>
    <t>The entry was very good, with a strong and stable execution.</t>
  </si>
  <si>
    <t>The diver's legs are not fully extended, which is against the rules.</t>
  </si>
  <si>
    <t>The take-off is otherwise competent.</t>
  </si>
  <si>
    <t>The diver maintains a good tuck position during flight. | The diver rotates well through the flight.</t>
  </si>
  <si>
    <t>The diver's tuck is not fully extended, which is against the rules.</t>
  </si>
  <si>
    <t>The diver's entry is otherwise competent.</t>
  </si>
  <si>
    <t>The entry is slightly late, but not a major flaw.</t>
  </si>
  <si>
    <t>The diver's feet are not together at take-off.</t>
  </si>
  <si>
    <t>The diver's flight is clean and controlled.</t>
  </si>
  <si>
    <t>The diver's legs are not fully extended during flight.</t>
  </si>
  <si>
    <t>The diver's flight is clean and controlled, but the legs are not fully extended.</t>
  </si>
  <si>
    <t>The diver enters the water with a good shape and control.</t>
  </si>
  <si>
    <t>The diver's entry is slightly under-rotated.</t>
  </si>
  <si>
    <t>The diver enters the water with a good shape and control, but the entry is slightly under-rotated.</t>
  </si>
  <si>
    <t>The diver's approach is very good, with a strong and steady rhythm.</t>
  </si>
  <si>
    <t>The diver's take-off is very good, with proper height and alignment.</t>
  </si>
  <si>
    <t>No visible issues with the tuck.</t>
  </si>
  <si>
    <t>The diver's flight is very good, with a stable and symmetrical tuck.</t>
  </si>
  <si>
    <t>The diver enters the water with a clean entry. | The diver's body breaks at the hips.</t>
  </si>
  <si>
    <t>The diver's entry is very good, with a clean and controlled entry.</t>
  </si>
  <si>
    <t>The diver's starting position is very good, but the lack of stillness is a concern.</t>
  </si>
  <si>
    <t>The diver's posture is excellent, but the lack of stillness is a potential issue.</t>
  </si>
  <si>
    <t>The diver's approach is very good, but the lack of hesitation is a positive aspect.</t>
  </si>
  <si>
    <t>The diver's approach is smooth and controlled, with a consistent rhythm.</t>
  </si>
  <si>
    <t>The diver's take-off is very good, with proper hand position and timing.</t>
  </si>
  <si>
    <t>The diver's flight is very good, with proper body position and rotation.</t>
  </si>
  <si>
    <t>The diver enters the water with a good body position and splash.</t>
  </si>
  <si>
    <t>No issues with entry or break.</t>
  </si>
  <si>
    <t>The diver's entry is very good, with a good body position and splash.</t>
  </si>
  <si>
    <t>The diver's arms are not fully extended, which is a common flaw in dives, but the starting position is otherwise good.</t>
  </si>
  <si>
    <t>The diver's arms are not fully extended, which would have been a more significant flaw if it were the only issue.</t>
  </si>
  <si>
    <t>The diver's take-off is good.</t>
  </si>
  <si>
    <t>The diver maintains a good tuck throughout the flight. | The diver rotates well.</t>
  </si>
  <si>
    <t>The diver's tuck is good.</t>
  </si>
  <si>
    <t>The diver's entry is clean.</t>
  </si>
  <si>
    <t>The diver's feet are not together, which is a minor flaw.</t>
  </si>
  <si>
    <t>The diver's legs are not fully extended, which is a minor flaw.</t>
  </si>
  <si>
    <t>The diver's entry is slightly over-rotated.</t>
  </si>
  <si>
    <t>The entry is slightly over-rotated, but not enough to affect the overall quality of the dive.</t>
  </si>
  <si>
    <t>The diver's posture is excellent, and there are no visible flaws.</t>
  </si>
  <si>
    <t>The diver's posture is consistent with a score of 8.0.</t>
  </si>
  <si>
    <t>The diver's approach is smooth and rhythmic. | The diver's step count is consistent.</t>
  </si>
  <si>
    <t>The diver's approach is excellent, and there are no visible flaws.</t>
  </si>
  <si>
    <t>The diver's approach is consistent with a score of 8.0.</t>
  </si>
  <si>
    <t>The diver's take-off is clean and controlled. | The diver's legs drive off the platform well.</t>
  </si>
  <si>
    <t>The diver's take-off is excellent, and there are no visible flaws.</t>
  </si>
  <si>
    <t>The diver's take-off is consistent with a score of 8.0.</t>
  </si>
  <si>
    <t>The diver's flight is controlled and streamlined. | The diver's tuck is stable.</t>
  </si>
  <si>
    <t>The diver's flight is excellent, and there are no visible flaws.</t>
  </si>
  <si>
    <t>The diver's flight is consistent with a score of 8.0.</t>
  </si>
  <si>
    <t>The diver's entry is clean and controlled. | The diver's feet are together at entry.</t>
  </si>
  <si>
    <t>The diver's entry is excellent, and there are no visible flaws.</t>
  </si>
  <si>
    <t>The diver's entry is consistent with a score of 8.0.</t>
  </si>
  <si>
    <t>The starting position was excellent, with good posture and stable entry.</t>
  </si>
  <si>
    <t>The take-off was very good, with a clean and powerful execution.</t>
  </si>
  <si>
    <t>The diver's flight was fluid and controlled. | The diver's body was symmetrical.</t>
  </si>
  <si>
    <t>The flight was very good, with a fluid and controlled execution.</t>
  </si>
  <si>
    <t>The entry was very good, with a precise and controlled execution.</t>
  </si>
  <si>
    <t>The diver's legs were slightly bent upon entry.</t>
  </si>
  <si>
    <t>The diver's legs were slightly bent upon entry, but they were still in control.</t>
  </si>
  <si>
    <t>The diver's posture was good, and they maintained their balance.</t>
  </si>
  <si>
    <t>The diver's entry was slightly off-vertical.</t>
  </si>
  <si>
    <t>The diver's approach was smooth and rhythmic, but the entry was slightly off-vertical.</t>
  </si>
  <si>
    <t>The diver's step count was consistent, and they maintained their balance.</t>
  </si>
  <si>
    <t>The diver's take-off was slightly late.</t>
  </si>
  <si>
    <t>The diver's take-off was clean and coordinated, but slightly late.</t>
  </si>
  <si>
    <t>The diver's legs provided adequate drive, and they maintained their balance.</t>
  </si>
  <si>
    <t>The diver's flight was controlled and streamlined. | The diver's tuck was good.</t>
  </si>
  <si>
    <t>The diver's tuck was slightly twisted.</t>
  </si>
  <si>
    <t>The diver's flight was controlled and streamlined, but the tuck was slightly twisted.</t>
  </si>
  <si>
    <t>The diver's body was symmetrical, and they maintained their balance.</t>
  </si>
  <si>
    <t>The diver's entry was past vertical, but not excessively so. | The diver's entry was controlled.</t>
  </si>
  <si>
    <t>The diver's entry was slightly short of vertical.</t>
  </si>
  <si>
    <t>The diver's entry was past vertical, but not excessively so, and they maintained their balance.</t>
  </si>
  <si>
    <t>The diver's entry was controlled, and they maintained their balance.</t>
  </si>
  <si>
    <t>The diver takes off with good height and control, but the feet are not together.</t>
  </si>
  <si>
    <t>The diver enters the water with a good shape and control. | The entry is clean.</t>
  </si>
  <si>
    <t>The diver's entry is not perfectly vertical.</t>
  </si>
  <si>
    <t>The diver enters the water with a good shape and control, but the entry is not perfectly vertical.</t>
  </si>
  <si>
    <t>The approach was very good, with no visible issues.</t>
  </si>
  <si>
    <t>The approach was also very good, with no flaws.</t>
  </si>
  <si>
    <t>The take-off was excellent, with no visible problems.</t>
  </si>
  <si>
    <t>The take-off was also excellent, with no flaws.</t>
  </si>
  <si>
    <t>The diver's flight was smooth and controlled. | The diver's body was well-aligned.</t>
  </si>
  <si>
    <t>The flight was very good, with no visible problems.</t>
  </si>
  <si>
    <t>The flight was also very good, with no flaws.</t>
  </si>
  <si>
    <t>The diver's entry was controlled and stable. | The diver's entry was clean.</t>
  </si>
  <si>
    <t>The entry was excellent, with no visible problems.</t>
  </si>
  <si>
    <t>The entry was also excellent, with no flaws.</t>
  </si>
  <si>
    <t>The diver takes off with good height and control. | The diver rotates smoothly from the platform.</t>
  </si>
  <si>
    <t>The diver maintains a good tuck during flight. | The diver rotates smoothly and consistently.</t>
  </si>
  <si>
    <t>The diver's feet are not together at the take-off.</t>
  </si>
  <si>
    <t>The diver's flight is controlled and streamlined. | The diver's body is aligned with the board.</t>
  </si>
  <si>
    <t>The diver's entry is competent, despite the minor flaw.</t>
  </si>
  <si>
    <t>The entry is otherwise strong.</t>
  </si>
  <si>
    <t>The diver's legs were slightly bent upon entry, but they were still in control and the posture was good.</t>
  </si>
  <si>
    <t>The diver's legs were slightly bent, but they were still in control and the posture was good.</t>
  </si>
  <si>
    <t>The diver's approach was smooth and rhythmic, and the entry was stable and controlled.</t>
  </si>
  <si>
    <t>The diver's take-off was clean and coordinated. | The diver's entry was strong.</t>
  </si>
  <si>
    <t>The diver's entry was strong.</t>
  </si>
  <si>
    <t>The diver's take-off was clean and coordinated, and the entry was strong.</t>
  </si>
  <si>
    <t>The diver's flight was controlled and extended. | The diver's entry was strong.</t>
  </si>
  <si>
    <t>The diver's flight was controlled and extended, and the entry was strong.</t>
  </si>
  <si>
    <t>The diver's entry was strong. | The diver's entry was controlled.</t>
  </si>
  <si>
    <t>The diver's entry was controlled.</t>
  </si>
  <si>
    <t>The diver's entry was strong and controlled.</t>
  </si>
  <si>
    <t>The diver's starting position is very good, but the lack of visible nerves or re-adjustment prevents a higher score.</t>
  </si>
  <si>
    <t>The diver's starting position is excellent, but the absence of visible nerves or re-adjustment keeps the score from being higher.</t>
  </si>
  <si>
    <t>The diver's approach is good, with no hesitation or balk.</t>
  </si>
  <si>
    <t>The diver's approach is excellent, but the lack of hesitation or balk prevents a higher score.</t>
  </si>
  <si>
    <t>The diver's approach is competent, with no visible issues.</t>
  </si>
  <si>
    <t>The diver's take-off is good, with no issues.</t>
  </si>
  <si>
    <t>The diver's take-off is very good, but the lack of issues prevents a higher score.</t>
  </si>
  <si>
    <t>The diver's take-off is competent, with no visible flaws.</t>
  </si>
  <si>
    <t>The diver's tuck is good, with no issues.</t>
  </si>
  <si>
    <t>The diver's flight is very good, but the lack of issues prevents a higher score.</t>
  </si>
  <si>
    <t>The diver's flight is competent, with no visible flaws.</t>
  </si>
  <si>
    <t>The diver's entry is good, with no issues.</t>
  </si>
  <si>
    <t>The diver's entry is very good, but the lack of issues prevents a higher score.</t>
  </si>
  <si>
    <t>The diver's entry is competent, with no visible flaws.</t>
  </si>
  <si>
    <t>The diver's hesitation was minor, and they recovered well.</t>
  </si>
  <si>
    <t>The diver's approach was competent, but there was a minor issue.</t>
  </si>
  <si>
    <t>The diver's take-off was clean and coordinated. | The diver's body was aligned with the board.</t>
  </si>
  <si>
    <t>The diver's legs were not fully extended during take-off.</t>
  </si>
  <si>
    <t>The diver's take-off was competent, but their legs were not fully extended.</t>
  </si>
  <si>
    <t>The diver's body alignment was good, but their legs needed more extension.</t>
  </si>
  <si>
    <t>The diver's tuck was not fully extended.</t>
  </si>
  <si>
    <t>The diver's flight was competent, but their tuck was not fully extended.</t>
  </si>
  <si>
    <t>The diver's body was controlled, but their tuck needed more extension.</t>
  </si>
  <si>
    <t>The diver's entry was past vertical, but not excessively so.</t>
  </si>
  <si>
    <t>The diver's entry was past vertical, but not excessively so, and they maintained control.</t>
  </si>
  <si>
    <t>The diver's entry was competent, but not excessively so.</t>
  </si>
  <si>
    <t>The diver's posture and entry were excellent, but the lack of stillness during the approach could have been better.</t>
  </si>
  <si>
    <t>The diver's approach was smooth and consistent, but there was a slight hesitation at the beginning of the dive.</t>
  </si>
  <si>
    <t>The diver's approach was smooth and consistent, but the hesitation at the beginning of the dive could have been smoother.</t>
  </si>
  <si>
    <t>The diver's take-off was clean and well-coordinated. | The diver's body position was stable during the take-off.</t>
  </si>
  <si>
    <t>The diver's take-off was clean and well-coordinated, but the legs could have been driven more during the take-off.</t>
  </si>
  <si>
    <t>The diver's flight was controlled and extended. | The diver's body was symmetrical during the flight.</t>
  </si>
  <si>
    <t>The diver's flight was controlled and extended, but the tuck could have been better.</t>
  </si>
  <si>
    <t>The diver's entry was strong and controlled. | The diver's entry was stable and coordinated.</t>
  </si>
  <si>
    <t>The diver's entry was strong and controlled, but the feet could have been together.</t>
  </si>
  <si>
    <t>The approach was smooth and consistent, with no visible flaws.</t>
  </si>
  <si>
    <t>The diver's take-off was very good, with no issues.</t>
  </si>
  <si>
    <t>The take-off was clean and well-coordinated, with no visible flaws.</t>
  </si>
  <si>
    <t>The flight was controlled and streamlined, with no visible flaws.</t>
  </si>
  <si>
    <t>The diver's entry was precise and controlled. | The diver's body broke at the hips on impact.</t>
  </si>
  <si>
    <t>The entry was precise and controlled, with no visible flaws.</t>
  </si>
  <si>
    <t>The diver's legs are not still.</t>
  </si>
  <si>
    <t>The diver's legs are not still, which is a major flaw.</t>
  </si>
  <si>
    <t>The diver's legs are not still, which would have been a significant flaw if the rest of the dive were better.</t>
  </si>
  <si>
    <t>The diver's rhythm is consistent and steps are well-coordinated. | The diver's entry is smooth.</t>
  </si>
  <si>
    <t>The diver's entry is slightly off-vertical, which is a minor flaw.</t>
  </si>
  <si>
    <t>The diver's entry is slightly off-vertical, but the rest of the dive is good.</t>
  </si>
  <si>
    <t>The diver's take-off is clean and coordinated. | The diver's legs drive off the board well.</t>
  </si>
  <si>
    <t>The diver's legs are not fully extended, but the rest of the dive is good.</t>
  </si>
  <si>
    <t>The diver's tuck is loose and not on the shins. | The diver's body is asymmetrical.</t>
  </si>
  <si>
    <t>The diver's tuck is loose and not on the shins, which is a minor flaw.</t>
  </si>
  <si>
    <t>The diver's tuck is loose and not on the shins, but the rest of the dive is good.</t>
  </si>
  <si>
    <t>The diver is past vertical and has a short entry. | The diver's feet are not together.</t>
  </si>
  <si>
    <t>The diver is past vertical and has a short entry, which is a minor flaw.</t>
  </si>
  <si>
    <t>The diver is past vertical and has a short entry, but the rest of the dive is good.</t>
  </si>
  <si>
    <t>The diver's legs are not fully extended during the flight.</t>
  </si>
  <si>
    <t>The diver's legs are not fully extended, but the flight is otherwise competent.</t>
  </si>
  <si>
    <t>The entry is competent despite the over-rotation.</t>
  </si>
  <si>
    <t>The diver's body breaks at the hips are otherwise good.</t>
  </si>
  <si>
    <t>The diver's rhythm is consistent and steps are well-coordinated.</t>
  </si>
  <si>
    <t>The diver's approach is smooth.</t>
  </si>
  <si>
    <t>The diver's take-off is clean and has good height.</t>
  </si>
  <si>
    <t>The diver's tuck is loose and the body is asymmetrical.</t>
  </si>
  <si>
    <t>The diver's arms are not coordinated.</t>
  </si>
  <si>
    <t>The diver's arms are not coordinated, which is a moderate flaw.</t>
  </si>
  <si>
    <t>The diver is past vertical and has a large splash.</t>
  </si>
  <si>
    <t>The diver's feet are not together, which is a visible execution problem.</t>
  </si>
  <si>
    <t>No visible signs of nerves or re-adjustment during the start.</t>
  </si>
  <si>
    <t>The diver maintains a good tuck during flight. | The diver rotates fluidly through the air.</t>
  </si>
  <si>
    <t>The diver enters the water with a strong entry. | The entry is clean and controlled.</t>
  </si>
  <si>
    <t>The diver's approach was smooth and rhythmic, with a consistent step count.</t>
  </si>
  <si>
    <t>The diver's approach was strong and without issues.</t>
  </si>
  <si>
    <t>The diver's take-off was clean and well-coordinated. | The diver's legs provided adequate drive.</t>
  </si>
  <si>
    <t>The diver's take-off was clean and well-coordinated, with adequate leg drive.</t>
  </si>
  <si>
    <t>The diver's take-off was strong and without issues.</t>
  </si>
  <si>
    <t>The diver's flight was controlled and streamlined. | The diver's tuck was tight.</t>
  </si>
  <si>
    <t>The diver's flight was controlled and streamlined, with a tight tuck.</t>
  </si>
  <si>
    <t>The diver's flight was strong and without issues.</t>
  </si>
  <si>
    <t>The diver entered the water with a strong entry, and their body broke at the hips on impact.</t>
  </si>
  <si>
    <t>The diver's entry was strong and without issues.</t>
  </si>
  <si>
    <t>The diver's take-off is clean and powerful. | The diver's body rotates well.</t>
  </si>
  <si>
    <t>The take-off is clean and powerful, but the feet are not together, which is a minor flaw.</t>
  </si>
  <si>
    <t>The take-off is otherwise good.</t>
  </si>
  <si>
    <t>The diver's flight is smooth and controlled. | The diver's body is straight.</t>
  </si>
  <si>
    <t>The entry is clean and controlled, but the diver is slightly over-rotated, which is a minor flaw.</t>
  </si>
  <si>
    <t>No visible issues with hand position or timing.</t>
  </si>
  <si>
    <t>No visible issues with arm or leg movement.</t>
  </si>
  <si>
    <t>The diver's flight is excellent, with proper form and symmetry.</t>
  </si>
  <si>
    <t>No visible issues with entry or position.</t>
  </si>
  <si>
    <t>The diver has a good posture with straight shoulders and bent knees.</t>
  </si>
  <si>
    <t>Visible nerves and re-adjustment during the dive.</t>
  </si>
  <si>
    <t>The diver's posture is already good, and there are no visible nerves or re-adjustments.</t>
  </si>
  <si>
    <t>The starting position is already good, and there are no visible nerves or re-adjustments.</t>
  </si>
  <si>
    <t>The diver's approach is smooth and steady.</t>
  </si>
  <si>
    <t>Irregular rhythm or step count.</t>
  </si>
  <si>
    <t>The diver's approach is smooth and steady, but there is an irregular rhythm or step count.</t>
  </si>
  <si>
    <t>The approach is already smooth and steady, but there is an irregular rhythm or step count.</t>
  </si>
  <si>
    <t>Too close to the platform.</t>
  </si>
  <si>
    <t>The diver takes off with good height and form, but is too close to the platform.</t>
  </si>
  <si>
    <t>The take-off is already good and has good height and form, but the diver is too close to the platform.</t>
  </si>
  <si>
    <t>The diver performs a twisting movement with good form.</t>
  </si>
  <si>
    <t>Under-rotation.</t>
  </si>
  <si>
    <t>The diver performs a twisting movement with good form, but under-rotates.</t>
  </si>
  <si>
    <t>The flight is already good and has good form, but under-rotates.</t>
  </si>
  <si>
    <t>The diver enters the water with a good form and splash.</t>
  </si>
  <si>
    <t>Asymmetrical body shape.</t>
  </si>
  <si>
    <t>The diver enters the water with good form and a splash, but has an asymmetrical body shape.</t>
  </si>
  <si>
    <t>The entry is already good and has good form and a splash, but has an asymmetrical body shape.</t>
  </si>
  <si>
    <t>The diver entered the water with a controlled entry. | The diver's body broke at the hips on impact.</t>
  </si>
  <si>
    <t>The diver entered the water with a controlled entry, and the body broke at the hips on impact.</t>
  </si>
  <si>
    <t>The diver's entry was controlled and the body broke at the hips on impact.</t>
  </si>
  <si>
    <t>No visible issues with twist or rotation.</t>
  </si>
  <si>
    <t>No visible issues with entry or splash.</t>
  </si>
  <si>
    <t>The diver's entry is excellent, with a controlled and clean entry.</t>
  </si>
  <si>
    <t>The diver's starting position is very good, but there is no need to go higher as all other phases are also very good.</t>
  </si>
  <si>
    <t>The starting position is already at the top of the scale.</t>
  </si>
  <si>
    <t>The approach is already at the top of the scale.</t>
  </si>
  <si>
    <t>The take-off is already at the top of the scale.</t>
  </si>
  <si>
    <t>The flight is already at the top of the scale.</t>
  </si>
  <si>
    <t>The diver enters the water with good form and control. | The entry is clean.</t>
  </si>
  <si>
    <t>The entry is already at the top of the scale.</t>
  </si>
  <si>
    <t>The diver's take-off is clean and powerful. | The diver's body is well-aligned.</t>
  </si>
  <si>
    <t>The diver's legs are not fully extended, but the body is otherwise symmetrical and streamlined.</t>
  </si>
  <si>
    <t>The diver's entry is strong and controlled. | The diver's body breaks at the hips.</t>
  </si>
  <si>
    <t>The diver's feet are not together at entry, but the body break is otherwise strong and controlled.</t>
  </si>
  <si>
    <t>The diver's approach is competent, with no visible flaws.</t>
  </si>
  <si>
    <t>No visible issues with hand position.</t>
  </si>
  <si>
    <t>The diver's take-off is good, with no visible flaws.</t>
  </si>
  <si>
    <t>No visible twists or under-rotation.</t>
  </si>
  <si>
    <t>The diver maintains a good tuck throughout the flight, and is symmetrical.</t>
  </si>
  <si>
    <t>The diver's flight is good, with no visible flaws.</t>
  </si>
  <si>
    <t>No visible issues with feet or hands.</t>
  </si>
  <si>
    <t>The diver enters the water with a good body position and is clean.</t>
  </si>
  <si>
    <t>The entry is competent despite the feet not being together.</t>
  </si>
  <si>
    <t>The starting position is already at the highest possible score.</t>
  </si>
  <si>
    <t>The approach is already at the highest possible score.</t>
  </si>
  <si>
    <t>The take-off is already at the highest possible score.</t>
  </si>
  <si>
    <t>The diver maintains a good tuck throughout the flight. | The diver's body is stable and aligned.</t>
  </si>
  <si>
    <t>The flight is already at the highest possible score.</t>
  </si>
  <si>
    <t>The entry is already at the highest possible score.</t>
  </si>
  <si>
    <t>The entry is competent despite the slight off-vertical entry.</t>
  </si>
  <si>
    <t>The diver's body breaks at the hips otherwise.</t>
  </si>
  <si>
    <t>The diver's approach was smooth and rhythmic, and there were no hesitations.</t>
  </si>
  <si>
    <t>The diver's entry was controlled, and the body broke at the hips on impact.</t>
  </si>
  <si>
    <t>The diver's take-off was clean and well-coordinated, showing good execution.</t>
  </si>
  <si>
    <t>The diver's body was aligned with the board, indicating a strong take-off.</t>
  </si>
  <si>
    <t>The diver's flight was fluid and extended. | The diver's body was aligned with the board.</t>
  </si>
  <si>
    <t>The diver's flight was fluid and extended, showing good execution.</t>
  </si>
  <si>
    <t>The diver's body was aligned with the board, indicating a strong flight.</t>
  </si>
  <si>
    <t>The diver entered the water with a controlled entry, showing good execution.</t>
  </si>
  <si>
    <t>The diver started with a proper stance, no wobble, and arms were fixed. | The diver's posture was good.</t>
  </si>
  <si>
    <t>The diver's legs were slightly bent, but not excessively so.</t>
  </si>
  <si>
    <t>The diver's legs were not fully extended, but they were not significantly bent either.</t>
  </si>
  <si>
    <t>The diver's posture was not perfect, but it was not poor either.</t>
  </si>
  <si>
    <t>The diver's rhythm was steady and consistent. | The diver's step count was appropriate.</t>
  </si>
  <si>
    <t>The diver's approach was smooth and controlled.</t>
  </si>
  <si>
    <t>The diver's approach was excellent, but there were no visible flaws.</t>
  </si>
  <si>
    <t>The diver's approach was flawless, but there were no issues to report.</t>
  </si>
  <si>
    <t>The diver's take-off was clean and powerful. | The diver's body was well-balanced.</t>
  </si>
  <si>
    <t>The diver's take-off was strong and stable.</t>
  </si>
  <si>
    <t>The diver's take-off was excellent, but there were no visible flaws.</t>
  </si>
  <si>
    <t>The diver's take-off was flawless, but there were no issues to report.</t>
  </si>
  <si>
    <t>The diver's body was stable and streamlined.</t>
  </si>
  <si>
    <t>The diver's flight was excellent, but there were no visible flaws.</t>
  </si>
  <si>
    <t>The diver's flight was flawless, but there were no issues to report.</t>
  </si>
  <si>
    <t>The diver entered the water with a controlled entry. | The diver's body broke at the hips.</t>
  </si>
  <si>
    <t>The diver's entry was clean and precise.</t>
  </si>
  <si>
    <t>The diver's entry was excellent, but there were no visible flaws.</t>
  </si>
  <si>
    <t>The diver's entry was flawless, but there were no issues to report.</t>
  </si>
  <si>
    <t>The diver enters the water with a good body position and break. | The entry is clean and controlled.</t>
  </si>
  <si>
    <t>The diver enters the water with a good body position and splash. | The diver's feet are together.</t>
  </si>
  <si>
    <t>The diver's body breaks at the hips on entry.</t>
  </si>
  <si>
    <t>The diver's body break at the hips is a minor flaw, not affecting the overall quality of the dive.</t>
  </si>
  <si>
    <t>The diver's starting position is very good, but the lack of stillness is not a flaw.</t>
  </si>
  <si>
    <t>The diver's posture is excellent, but the lack of stillness is not a flaw.</t>
  </si>
  <si>
    <t>The diver's approach is smooth and controlled, but there are no visible flaws.</t>
  </si>
  <si>
    <t>The diver's rhythm is consistent, and there are no visible flaws.</t>
  </si>
  <si>
    <t>The diver takes off with good height and control, but there are no visible flaws.</t>
  </si>
  <si>
    <t>The diver's body is aligned with the board, and there are no visible flaws.</t>
  </si>
  <si>
    <t>The diver maintains a good tuck throughout the flight. | The diver's body is stable.</t>
  </si>
  <si>
    <t>No visible twists or asymmetry.</t>
  </si>
  <si>
    <t>The diver maintains a good tuck throughout the flight, but there are no visible flaws.</t>
  </si>
  <si>
    <t>The diver's body is stable, and there are no visible flaws.</t>
  </si>
  <si>
    <t>No visible issues with foot position.</t>
  </si>
  <si>
    <t>The diver enters the water with a good body position, but there are no visible flaws.</t>
  </si>
  <si>
    <t>The diver's entry is clean, and there are no visible flaws.</t>
  </si>
  <si>
    <t>The diver's take-off was clean and powerful. | The diver's legs were well-coordinated.</t>
  </si>
  <si>
    <t>The diver's take-off was clean and powerful, with well-coordinated legs.</t>
  </si>
  <si>
    <t>The diver's take-off was excellent and without flaws.</t>
  </si>
  <si>
    <t>The diver entered the water with control and a good shape. | The diver's feet were together.</t>
  </si>
  <si>
    <t>The diver entered the water with control and a good shape, with feet together.</t>
  </si>
  <si>
    <t>The diver's entry was strong and without flaws.</t>
  </si>
  <si>
    <t>No visible signs of hesitation or re-adjustment during the approach.</t>
  </si>
  <si>
    <t>The starting position was excellent, and there were no visible flaws.</t>
  </si>
  <si>
    <t>The diver's posture was good, and the entry was controlled.</t>
  </si>
  <si>
    <t>The approach was very good, and there were no visible flaws.</t>
  </si>
  <si>
    <t>The diver's rhythm was steady, and the approach was consistent.</t>
  </si>
  <si>
    <t>The take-off was very good, and there were no visible flaws.</t>
  </si>
  <si>
    <t>The diver's take-off was clean, and the body was aligned with the board.</t>
  </si>
  <si>
    <t>The flight was very good, and there were no visible flaws.</t>
  </si>
  <si>
    <t>The diver's flight was controlled, and the body was symmetrical.</t>
  </si>
  <si>
    <t>The diver entered the water with control and a good shape. | The entry was clean and well-executed.</t>
  </si>
  <si>
    <t>The entry was very good, and there were no visible flaws.</t>
  </si>
  <si>
    <t>The diver entered the water with control and a good shape.</t>
  </si>
  <si>
    <t>The diver's approach was smooth and rhythmic, indicating a strong approach.</t>
  </si>
  <si>
    <t>The diver's take-off was clean and coordinated, indicating a strong take-off.</t>
  </si>
  <si>
    <t>The diver's entry was strong and controlled, indicating a strong start.</t>
  </si>
  <si>
    <t>The diver's flight was controlled and streamlined, indicating a strong flight.</t>
  </si>
  <si>
    <t>The diver's entry was strong and controlled. | The diver's entry was past vertical.</t>
  </si>
  <si>
    <t>The diver's entry was strong and controlled, indicating a strong entry.</t>
  </si>
  <si>
    <t>The diver's entry was past vertical, indicating a strong entry.</t>
  </si>
  <si>
    <t>The diver's approach is excellent.</t>
  </si>
  <si>
    <t>The diver's approach is excellent, with a smooth and controlled rhythm and no visible flaws.</t>
  </si>
  <si>
    <t>The diver's approach is excellent, with no visible flaws.</t>
  </si>
  <si>
    <t>The diver's take-off is excellent.</t>
  </si>
  <si>
    <t>The diver's take-off is excellent, with good height and control, and the body is aligned with the board.</t>
  </si>
  <si>
    <t>The diver maintains a good tuck throughout the flight. | The diver's body is stable during the flight.</t>
  </si>
  <si>
    <t>The diver's flight is excellent.</t>
  </si>
  <si>
    <t>The diver's flight is excellent, with a good tuck maintained throughout and a stable body.</t>
  </si>
  <si>
    <t>The diver's entry is excellent.</t>
  </si>
  <si>
    <t>The diver's entry is excellent, with a good body position and a clean entry.</t>
  </si>
  <si>
    <t>The diver's arms are not fully extended, which is a common flaw in dives, but the legs are apart and balanced.</t>
  </si>
  <si>
    <t>The diver's arms are not fixed in place.</t>
  </si>
  <si>
    <t>The diver's arms are not fixed in place, which is a significant flaw.</t>
  </si>
  <si>
    <t>The diver's starting position is good, but the lack of arm fixation prevents a higher score.</t>
  </si>
  <si>
    <t>The diver's approach is smooth and rhythmic.</t>
  </si>
  <si>
    <t>The diver enters the water with a good body position.</t>
  </si>
  <si>
    <t>The diver's entry is good.</t>
  </si>
  <si>
    <t>The diver's take-off was clean and powerful, demonstrating good form.</t>
  </si>
  <si>
    <t>The diver's body was well-coordinated, showing a strong take-off.</t>
  </si>
  <si>
    <t>The diver's starting position is excellent, but the lack of visible nerves or re-adjustment prevents a lower score.</t>
  </si>
  <si>
    <t>The diver's approach is good.</t>
  </si>
  <si>
    <t>The diver's approach is very good, but the lack of hesitation or irregular rhythm prevents a higher score.</t>
  </si>
  <si>
    <t>The diver's approach is good, but the lack of hesitation or irregular rhythm prevents a lower score.</t>
  </si>
  <si>
    <t>The diver's take-off is clean.</t>
  </si>
  <si>
    <t>The diver's take-off is very good, but the lack of under-rotation prevents a higher score.</t>
  </si>
  <si>
    <t>The diver's take-off is clean, but the lack of under-rotation prevents a lower score.</t>
  </si>
  <si>
    <t>The diver's tuck is stable.</t>
  </si>
  <si>
    <t>The diver's flight is very good, but the lack of asymmetry prevents a higher score.</t>
  </si>
  <si>
    <t>The diver's flight is good, but the lack of asymmetry prevents a lower score.</t>
  </si>
  <si>
    <t>The diver's entry is very good, but the lack of over-rotation prevents a higher score.</t>
  </si>
  <si>
    <t>The diver's entry is clean, but the lack of over-rotation prevents a lower score.</t>
  </si>
  <si>
    <t>The diver's posture and arm position were consistent throughout the dive, and there were no visible issues.</t>
  </si>
  <si>
    <t>The diver's entry was also consistent and controlled.</t>
  </si>
  <si>
    <t>No visible issues during the approach.</t>
  </si>
  <si>
    <t>The diver's approach was smooth and controlled, with no visible issues.</t>
  </si>
  <si>
    <t>The diver's entry was also stable and controlled.</t>
  </si>
  <si>
    <t>The diver's take-off was clean and well-coordinated. | The diver's entry was stable and controlled.</t>
  </si>
  <si>
    <t>No visible issues during the take-off.</t>
  </si>
  <si>
    <t>The diver's take-off was clean and well-coordinated, with no visible issues.</t>
  </si>
  <si>
    <t>The diver's flight was clean and well-executed. | The diver's entry was stable and controlled.</t>
  </si>
  <si>
    <t>No visible issues during the flight.</t>
  </si>
  <si>
    <t>The diver's flight was clean and well-executed, with no visible issues.</t>
  </si>
  <si>
    <t>The diver's entry was stable and controlled. | The diver's entry was ripped.</t>
  </si>
  <si>
    <t>No visible issues during the entry.</t>
  </si>
  <si>
    <t>The diver's entry was stable and controlled, with no visible issues.</t>
  </si>
  <si>
    <t>The diver's entry was also ripped.</t>
  </si>
  <si>
    <t>The diver's feet are not together during take-off.</t>
  </si>
  <si>
    <t>The diver enters the water with a good body position and shape. | The entry is clean.</t>
  </si>
  <si>
    <t>The diver enters the water with a good body position and shape, but the entry is slightly under-rotated.</t>
  </si>
  <si>
    <t>The diver's flight was controlled and streamlined. | The dive had a proper tuck and twist.</t>
  </si>
  <si>
    <t>The flight was very good, with a controlled execution and proper form.</t>
  </si>
  <si>
    <t>The diver's take-off is good, with proper body position and rotation.</t>
  </si>
  <si>
    <t>The diver maintains a good tuck throughout the flight. | The diver's body is compact and streamlined.</t>
  </si>
  <si>
    <t>The diver's tuck is good, with legs together and body aligned.</t>
  </si>
  <si>
    <t>The diver's entry is clean and controlled.</t>
  </si>
  <si>
    <t>The diver's legs were slightly bent during the initial descent.</t>
  </si>
  <si>
    <t>The diver's legs were slightly bent, but they remained stable and under control throughout the descent, avoiding any major issues.</t>
  </si>
  <si>
    <t>The diver's legs were slightly bent, but they did not significantly affect the overall execution.</t>
  </si>
  <si>
    <t>The diver's entry was slightly off-vertical, but the rest of the approach was strong.</t>
  </si>
  <si>
    <t>The diver's entry was slightly off-vertical, but the rest of the approach was competent.</t>
  </si>
  <si>
    <t>The diver's legs were not fully extended during the take-off.</t>
  </si>
  <si>
    <t>The diver's legs were not fully extended, but the rest of the take-off was strong.</t>
  </si>
  <si>
    <t>The diver's legs were not fully extended, but the rest of the take-off was competent.</t>
  </si>
  <si>
    <t>The diver's legs were not fully extended during the flight.</t>
  </si>
  <si>
    <t>The diver's legs were not fully extended, but the rest of the flight was strong.</t>
  </si>
  <si>
    <t>The diver's legs were not fully extended, but the rest of the flight was competent.</t>
  </si>
  <si>
    <t>The diver's entry was strong and controlled. | The diver's body was well-aligned.</t>
  </si>
  <si>
    <t>The diver's entry was slightly over-rotated.</t>
  </si>
  <si>
    <t>The diver's entry was slightly over-rotated, but the rest of the entry was strong.</t>
  </si>
  <si>
    <t>The diver's entry was slightly over-rotated, but the rest of the entry was competent.</t>
  </si>
  <si>
    <t>The diver's posture and entry were consistent with a score in the 'Very Good' band.</t>
  </si>
  <si>
    <t>The diver's approach was smooth and the entry was stable, meeting the criteria for a score in the 'Very Good' band.</t>
  </si>
  <si>
    <t>The diver's approach was smooth and rhythmic, with no hesitation or re-adjustment.</t>
  </si>
  <si>
    <t>The diver's approach was consistent with a score in the 'Good' band.</t>
  </si>
  <si>
    <t>The diver's approach was smooth and without significant issues, meeting the criteria for a score in the 'Good' band.</t>
  </si>
  <si>
    <t>The diver's take-off was clean and well-coordinated.</t>
  </si>
  <si>
    <t>The diver's take-off was consistent with a score in the 'Good' band.</t>
  </si>
  <si>
    <t>The diver's take-off was clean and well-executed, meeting the criteria for a score in the 'Good' band.</t>
  </si>
  <si>
    <t>The diver's flight was controlled and had a good tuck.</t>
  </si>
  <si>
    <t>The diver's flight was consistent with a score in the 'Good' band.</t>
  </si>
  <si>
    <t>The diver's flight was controlled and well-executed, meeting the criteria for a score in the 'Good' band.</t>
  </si>
  <si>
    <t>The diver's entry was precise and had a good tuck.</t>
  </si>
  <si>
    <t>The diver's entry was consistent with a score in the 'Good' band.</t>
  </si>
  <si>
    <t>The diver's entry was precise and well-executed, meeting the criteria for a score in the 'Good' band.</t>
  </si>
  <si>
    <t>The approach was very good, with a smooth and consistent rhythm and step count.</t>
  </si>
  <si>
    <t>The take-off was very good, with a clean and well-coordinated execution and adequate height.</t>
  </si>
  <si>
    <t>The flight was very good, with a controlled and streamlined execution and proper tuck and twist.</t>
  </si>
  <si>
    <t>The diver's entry was strong and stable. | The dive had a good splash size.</t>
  </si>
  <si>
    <t>The entry was very good, with a strong and stable execution and a good splash size.</t>
  </si>
  <si>
    <t>The diver's legs are not still, which would have put the dive in the 'Deficient' category.</t>
  </si>
  <si>
    <t>The diver's entry is slightly off-vertical, which would have put the dive in the 'Good' category.</t>
  </si>
  <si>
    <t>The diver's legs are not fully extended, which would have put the dive in the 'Good' category.</t>
  </si>
  <si>
    <t>The diver's tuck is loose and not on the shins, which would have put the dive in the 'Good' category.</t>
  </si>
  <si>
    <t>The diver is past vertical and has a short entry, which would have put the dive in the 'Good' category.</t>
  </si>
  <si>
    <t>The diver's approach was smooth and consistent, but the hesitation at the beginning of the dive was minor.</t>
  </si>
  <si>
    <t>The diver's take-off was clean and well-coordinated. | The diver's body was aligned correctly.</t>
  </si>
  <si>
    <t>The diver's take-off was clean and well-coordinated, but the legs could have been driven more.</t>
  </si>
  <si>
    <t>The diver's flight was controlled and extended. | The diver's body was symmetrical.</t>
  </si>
  <si>
    <t>The diver entered the water with a good shape. | The diver's entry was strong.</t>
  </si>
  <si>
    <t>The diver's entry was strong, but the feet could have been closer together.</t>
  </si>
  <si>
    <t>The diver entered the water with a good shape, but the feet could have been closer together.</t>
  </si>
  <si>
    <t>The diver's approach is excellent, but there are no visible flaws.</t>
  </si>
  <si>
    <t>The diver's approach is excellent, with a smooth and controlled rhythm.</t>
  </si>
  <si>
    <t>The diver's take-off is excellent, with good height and control.</t>
  </si>
  <si>
    <t>The diver's take-off is excellent, with a good alignment with the board.</t>
  </si>
  <si>
    <t>The diver's flight is excellent, with a good tuck and alignment.</t>
  </si>
  <si>
    <t>The diver's entry is excellent, with a good shape and control.</t>
  </si>
  <si>
    <t>The diver's entry is excellent, with a clean entry.</t>
  </si>
  <si>
    <t>The diver's flight is smooth and controlled. | The diver's body is well aligned.</t>
  </si>
  <si>
    <t>The diver's feet are not together at the entry, which is a minor flaw.</t>
  </si>
  <si>
    <t>The diver's rhythm was steady, indicating a good execution.</t>
  </si>
  <si>
    <t>The diver's body was well-coordinated, indicating a good execution.</t>
  </si>
  <si>
    <t>The diver's tuck was tight, indicating a good execution.</t>
  </si>
  <si>
    <t>The diver entered the water with a good shape. | The diver's entry was controlled.</t>
  </si>
  <si>
    <t>The diver entered the water with a good shape, showing good execution.</t>
  </si>
  <si>
    <t>The diver's entry was controlled, indicating a good execution.</t>
  </si>
  <si>
    <t>The diver's take-off is very good, with no visible issues with hand position.</t>
  </si>
  <si>
    <t>The diver's flight is very good, with no visible twists or under-rotation.</t>
  </si>
  <si>
    <t>The diver enters the water with a good body position and no visible issues with feet or hands.</t>
  </si>
  <si>
    <t>The diver's approach was smooth and rhythmic, indicating a good execution.</t>
  </si>
  <si>
    <t>The diver's take-off was clean and coordinated. | The diver's entry was stable and controlled.</t>
  </si>
  <si>
    <t>No visible hesitation or balk during the take-off.</t>
  </si>
  <si>
    <t>The diver's take-off was clean and coordinated, indicating a good execution.</t>
  </si>
  <si>
    <t>The diver's flight was clean and coordinated. | The diver's entry was stable and controlled.</t>
  </si>
  <si>
    <t>No visible hesitation or balk during the flight.</t>
  </si>
  <si>
    <t>The diver's flight was clean and coordinated, indicating a good execution.</t>
  </si>
  <si>
    <t>The diver's entry was past vertical, over-rotated by ~10°. | The diver's entry was stable and controlled.</t>
  </si>
  <si>
    <t>No visible hesitation or balk during the entry.</t>
  </si>
  <si>
    <t>The diver's entry was past vertical, indicating a very good execution.</t>
  </si>
  <si>
    <t>The entry is slightly off-vertical, but not significant enough to affect the overall quality of the dive.</t>
  </si>
  <si>
    <t>The diver maintains a good tuck during flight. | The diver's body is aligned with the longitudinal axis of the dive.</t>
  </si>
  <si>
    <t>The diver enters the water with a strong entry. | The diver's body breaks at the hips on impact.</t>
  </si>
  <si>
    <t>The diver started with a good posture, arms fixed and legs together. | The diver's entry was stable and controlled.</t>
  </si>
  <si>
    <t>The diver's rhythm was smooth, and the step count was consistent.</t>
  </si>
  <si>
    <t>The diver's take-off was clean, and the body was well-balanced.</t>
  </si>
  <si>
    <t>The diver's flight was smooth, and the body was well-aligned.</t>
  </si>
  <si>
    <t>The diver entered the water with a good shape. | The entry was controlled and stable.</t>
  </si>
  <si>
    <t>The diver's entry was controlled, and the shape was good.</t>
  </si>
  <si>
    <t>The diver's flight is clean and controlled. | The diver's body is well-aligned.</t>
  </si>
  <si>
    <t>The diver's legs are not fully extended, but the rest of the body is aligned.</t>
  </si>
  <si>
    <t>The diver's entry is clean and controlled. | The diver's body is well-aligned.</t>
  </si>
  <si>
    <t>The feet are not together at the entry, but the body is otherwise aligned.</t>
  </si>
  <si>
    <t>The diver initiates with a good posture, legs are straight and knees are slightly bent. | The arms are fixed and ready for the dive.</t>
  </si>
  <si>
    <t>The diver's head is slightly tilted forward, indicating a lack of stillness.</t>
  </si>
  <si>
    <t>The diver's posture is not optimal for a perfect start, but it's acceptable.</t>
  </si>
  <si>
    <t>The diver's posture is better than a balk, but not as good as a fully still position.</t>
  </si>
  <si>
    <t>The diver steps confidently towards the end of the board. | The diver's rhythm is consistent and controlled.</t>
  </si>
  <si>
    <t>The diver's entry is slightly off-vertical, but it's within the acceptable range.</t>
  </si>
  <si>
    <t>The diver's approach is competent, but there's room for improvement.</t>
  </si>
  <si>
    <t>The diver's entry is not perfect, but it's adequate.</t>
  </si>
  <si>
    <t>The diver jumps off the end of the board with good height. | The diver rotates well and extends their legs.</t>
  </si>
  <si>
    <t>The diver's take-off is competent, but there's room for improvement.</t>
  </si>
  <si>
    <t>The diver's take-off is not perfect, but it's adequate.</t>
  </si>
  <si>
    <t>The diver's tuck is not fully maintained, but it's acceptable.</t>
  </si>
  <si>
    <t>The diver's flight is competent, but there's room for improvement.</t>
  </si>
  <si>
    <t>The diver's flight is not perfect, but it's adequate.</t>
  </si>
  <si>
    <t>The diver's entry is slightly over-rotated, but it's within the acceptable range.</t>
  </si>
  <si>
    <t>The diver's entry is competent, but there's room for improvement.</t>
  </si>
  <si>
    <t>The approach is already good, and the irregular rhythm or step count is a minor flaw.</t>
  </si>
  <si>
    <t>The diver takes off with good height and control.</t>
  </si>
  <si>
    <t>The diver takes off with good height and control, but is too close to the platform.</t>
  </si>
  <si>
    <t>The take-off is already good, and the proximity to the platform is a minor flaw.</t>
  </si>
  <si>
    <t>The flight is already good, and the under-rotation is a minor flaw.</t>
  </si>
  <si>
    <t>Asymmetry in body shape.</t>
  </si>
  <si>
    <t>The diver enters the water with a good shape and splash, but is asymmetrical.</t>
  </si>
  <si>
    <t>The entry is already good, and the asymmetry is a minor flaw.</t>
  </si>
  <si>
    <t>The diver's flight was controlled and streamlined, but the tuck could have been better.</t>
  </si>
  <si>
    <t>The diver entered the water with a good shape and control. | The diver's entry was strong.</t>
  </si>
  <si>
    <t>The diver entered the water with a good shape and control, but the feet could have been closer together.</t>
  </si>
  <si>
    <t>The diver performs a twisting movement in the air. | The diver's body is aligned horizontally.</t>
  </si>
  <si>
    <t>The diver enters the water with a controlled entry. | The diver's body breaks at the hips on impact.</t>
  </si>
  <si>
    <t>The diver's feet are not together at entry, which is against the rules.</t>
  </si>
  <si>
    <t>The diver performs a twisting movement with good form. | The diver's body is aligned horizontally.</t>
  </si>
  <si>
    <t>The diver enters the water with a good shape and splash. | The diver's feet are together.</t>
  </si>
  <si>
    <t>The diver's body was symmetrical and balanced.</t>
  </si>
  <si>
    <t>The diver's legs were slightly bent during the approach.</t>
  </si>
  <si>
    <t>The diver's legs were slightly bent during the approach, but they were still in control.</t>
  </si>
  <si>
    <t>The diver's legs were slightly bent, but they didn't affect the overall execution.</t>
  </si>
  <si>
    <t>The diver's entry was slightly off-vertical, but the rest of the dive was excellent.</t>
  </si>
  <si>
    <t>The diver's entry was slightly off-vertical, but the rest of the dive was very good.</t>
  </si>
  <si>
    <t>The diver's legs were not fully extended, but the rest of the dive was excellent.</t>
  </si>
  <si>
    <t>The diver's legs were not fully extended, but the rest of the dive was very good.</t>
  </si>
  <si>
    <t>The diver's tuck was not fully executed.</t>
  </si>
  <si>
    <t>The diver's tuck was not fully executed, but the rest of the dive was excellent.</t>
  </si>
  <si>
    <t>The diver's tuck was not fully executed, but the rest of the dive was very good.</t>
  </si>
  <si>
    <t>The diver's entry was strong and controlled. | The diver's body broke at the hips on impact.</t>
  </si>
  <si>
    <t>The diver's entry was slightly over-rotated, but the rest of the dive was excellent.</t>
  </si>
  <si>
    <t>The diver's entry was slightly over-rotated, but the rest of the dive was very good.</t>
  </si>
  <si>
    <t>The diver has a good posture with straight shoulders and bent knees. | The diver's arms are fixed and stable.</t>
  </si>
  <si>
    <t>The diver's tuck is loose and their legs are not on their shins.</t>
  </si>
  <si>
    <t>The diver's tuck is not coordinated.</t>
  </si>
  <si>
    <t>The diver's tuck is not coordinated, which is a moderate flaw.</t>
  </si>
  <si>
    <t>The diver is past vertical and has a short entry.</t>
  </si>
  <si>
    <t>The diver's flight is smooth and controlled. | The diver's body is well-aligned.</t>
  </si>
  <si>
    <t>The diver's take-off was clean and coordinated, with adequate leg drive.</t>
  </si>
  <si>
    <t>The diver's flight was controlled and streamlined, with a stable tuck.</t>
  </si>
  <si>
    <t>The diver entered the water with a controlled entry, and their body broke at the hips on impact.</t>
  </si>
  <si>
    <t>The diver's posture is good, but there are visible nerves and re-adjustments during the dive.</t>
  </si>
  <si>
    <t>These are not major flaws, but they are present.</t>
  </si>
  <si>
    <t>The diver's approach is smooth, but there is an irregular rhythm or step count.</t>
  </si>
  <si>
    <t>This is a competent dive with a minor flaw.</t>
  </si>
  <si>
    <t>The diver rotates well and maintains a good tuck.</t>
  </si>
  <si>
    <t>The diver rotates well and maintains a good tuck, but under-rotates.</t>
  </si>
  <si>
    <t>The diver enters with a good shape and splash.</t>
  </si>
  <si>
    <t>The diver enters with a good shape and splash, but is asymmetrical.</t>
  </si>
  <si>
    <t>The diver's posture and entry were consistent with a score in the 'Very Good' band of the World Aquatics scale.</t>
  </si>
  <si>
    <t>The diver's approach was smooth and rhythmic. | The diver's entry was strong and stable.</t>
  </si>
  <si>
    <t>The approach was strong and consistent with a score in the 'Very Good' band of the World Aquatics scale.</t>
  </si>
  <si>
    <t>The take-off was clean and consistent with a score in the 'Very Good' band of the World Aquatics scale.</t>
  </si>
  <si>
    <t>There were no visible flaws in the take-off.</t>
  </si>
  <si>
    <t>The flight was fluid and consistent with a score in the 'Very Good' band of the World Aquatics scale.</t>
  </si>
  <si>
    <t>There were no visible flaws in the flight.</t>
  </si>
  <si>
    <t>The entry was strong and consistent with a score in the 'Very Good' band of the World Aquatics scale.</t>
  </si>
  <si>
    <t>There were no visible flaws in the entry.</t>
  </si>
  <si>
    <t>The diver enters the water with a good shape and splash. | The diver's entry is clean.</t>
  </si>
  <si>
    <t>No visible issues with feet or hand position.</t>
  </si>
  <si>
    <t>The diver enters the water with a good shape and splash, and the entry is clean.</t>
  </si>
  <si>
    <t>The diver's entry is very good, with no visible issues with feet or hand position.</t>
  </si>
  <si>
    <t>The symmetry of the body is maintained despite the legs not being fully extended.</t>
  </si>
  <si>
    <t>The diver has sufficient height and rotates off the platform correctly.</t>
  </si>
  <si>
    <t>The diver's legs are not coordinated.</t>
  </si>
  <si>
    <t>The diver's legs are not coordinated, which is a moderate flaw.</t>
  </si>
  <si>
    <t>The diver's tuck is loose and not on the shins.</t>
  </si>
  <si>
    <t>The diver's tuck is not on the shins.</t>
  </si>
  <si>
    <t>The diver's tuck is not on the shins, which is a visible execution problem.</t>
  </si>
  <si>
    <t>The diver is short of vertical.</t>
  </si>
  <si>
    <t>The diver is short of vertical, which is a visible execution problem.</t>
  </si>
  <si>
    <t>The take-off is competent, but the legs are not fully extended.</t>
  </si>
  <si>
    <t>The tuck is not fully extended, which is against the rules.</t>
  </si>
  <si>
    <t>The entry is competent, but slightly off-vertical.</t>
  </si>
  <si>
    <t>The entry is otherwise good.</t>
  </si>
  <si>
    <t>The diver rotates well and maintains a good body position.</t>
  </si>
  <si>
    <t>The diver rotates well and maintains a good body position, but under-rotates.</t>
  </si>
  <si>
    <t>The flight is already good and the diver rotates well, but under-rotates.</t>
  </si>
  <si>
    <t>Asymmetry in the body shape.</t>
  </si>
  <si>
    <t>The diver enters the water with a good body position and splash, but is asymmetrical.</t>
  </si>
  <si>
    <t>The entry is already good and the diver enters the water with a good body position and splash, but is asymmetrical.</t>
  </si>
  <si>
    <t>The diver's take-off is clean and controlled. | The diver's body is straight.</t>
  </si>
  <si>
    <t>The diver's body is otherwise straight and the take-off is controlled.</t>
  </si>
  <si>
    <t>The diver's legs are not fully extended, but the rest of the body is symmetrical and the flight is controlled.</t>
  </si>
  <si>
    <t>The diver's body breaks at the hips and the entry is otherwise clean and controlled.</t>
  </si>
  <si>
    <t>The diver's entry is controlled and vertical. | The diver's body breaks at the hips.</t>
  </si>
  <si>
    <t>The entry is competent despite the slight over-rotation.</t>
  </si>
  <si>
    <t>The diver's flight was controlled and streamlined, and the tuck was tight.</t>
  </si>
  <si>
    <t>The diver's starting position is already at 8.0, there is no need to increase it.</t>
  </si>
  <si>
    <t>The diver's starting position is already at 8.0, there is no need to decrease it.</t>
  </si>
  <si>
    <t>The diver's approach is already at 8.0, there is no need to increase it.</t>
  </si>
  <si>
    <t>The diver's approach is already at 8.0, there is no need to decrease it.</t>
  </si>
  <si>
    <t>The diver's take-off is already at 8.0, there is no need to increase it.</t>
  </si>
  <si>
    <t>The diver's take-off is already at 8.0, there is no need to decrease it.</t>
  </si>
  <si>
    <t>The diver's flight is already at 8.0, there is no need to increase it.</t>
  </si>
  <si>
    <t>The diver's flight is already at 8.0, there is no need to decrease it.</t>
  </si>
  <si>
    <t>No issues with entry position or timing.</t>
  </si>
  <si>
    <t>The diver's entry is already at 8.0, there is no need to increase it.</t>
  </si>
  <si>
    <t>The diver's entry is already at 8.0, there is no need to decrease it.</t>
  </si>
  <si>
    <t>The take-off is competent, but the feet are not together.</t>
  </si>
  <si>
    <t>The diver's take-off is otherwise good.</t>
  </si>
  <si>
    <t>The feet are not together at the entry, which is against the rules.</t>
  </si>
  <si>
    <t>The take-off is competent, despite the feet not being together.</t>
  </si>
  <si>
    <t>The diver's feet are not together at the entry, but the body is otherwise aligned.</t>
  </si>
  <si>
    <t>The diver's flight is fluid and controlled. | The diver's body is well-aligned.</t>
  </si>
  <si>
    <t>The diver's body alignment is otherwise competent.</t>
  </si>
  <si>
    <t>The diver took off with good height and control. | The dive had a clean rotation initiation.</t>
  </si>
  <si>
    <t>The take-off was very good, with good height and control.</t>
  </si>
  <si>
    <t>The diver maintained a good tuck throughout the flight. | The dive had a clean rotation and proper body position.</t>
  </si>
  <si>
    <t>The flight was very good, with a clean rotation and proper body position.</t>
  </si>
  <si>
    <t>The diver entered the water with good form and control. | The dive had a clean entry.</t>
  </si>
  <si>
    <t>The entry was very good, with good form and control.</t>
  </si>
  <si>
    <t>The diver takes off with good height and control, with no visible flaws.</t>
  </si>
  <si>
    <t>The diver's take-off is good, with no visible issues.</t>
  </si>
  <si>
    <t>The diver maintains a good tuck throughout the flight, with no visible flaws.</t>
  </si>
  <si>
    <t>The diver enters the water with a good body position, with no visible flaws.</t>
  </si>
  <si>
    <t>The diver's entry is competent, with no visible issues.</t>
  </si>
  <si>
    <t>The entry is competent, despite the slight off-vertical entry.</t>
  </si>
  <si>
    <t>The diver's arms are not fully extended, which is a common flaw in dives, but the legs are apart and the posture is stable.</t>
  </si>
  <si>
    <t>The diver takes off with a good rhythm and steps. | The diver's approach is smooth.</t>
  </si>
  <si>
    <t>The diver's steps are not perfectly synchronized.</t>
  </si>
  <si>
    <t>The diver's steps are not perfectly synchronized, which is a common flaw in dives, but the take-off is otherwise good.</t>
  </si>
  <si>
    <t>The diver takes off with a good rhythm and steps, but the steps are not perfectly synchronized.</t>
  </si>
  <si>
    <t>The diver rotates well and gains height. | The diver's body is aligned with the board.</t>
  </si>
  <si>
    <t>The diver's legs are not fully extended during the rotation.</t>
  </si>
  <si>
    <t>The diver's legs are not fully extended during the rotation, which is a common flaw in dives, but the body is aligned with the board.</t>
  </si>
  <si>
    <t>The diver rotates well and gains height, but the legs are not fully extended during the rotation.</t>
  </si>
  <si>
    <t>The diver maintains a good tuck. | The diver's body is aligned with the board.</t>
  </si>
  <si>
    <t>The diver's tuck is not fully extended, which is a common flaw in dives, but the body is aligned with the board.</t>
  </si>
  <si>
    <t>The diver maintains a good tuck, but the tuck is not fully extended.</t>
  </si>
  <si>
    <t>The diver enters the water cleanly. | The diver's body breaks at the hips.</t>
  </si>
  <si>
    <t>The diver's feet are not together, which is a common flaw in dives, but the entry is clean.</t>
  </si>
  <si>
    <t>The diver enters the water cleanly, but the feet are not together.</t>
  </si>
  <si>
    <t>The diver's rhythm is consistent and steady. | The diver's step count is regular.</t>
  </si>
  <si>
    <t>The diver's tuck is clean and compact. | The diver's body is symmetrical.</t>
  </si>
  <si>
    <t>The diver's entry is clean and controlled. | The diver's feet are together.</t>
  </si>
  <si>
    <t>The diver enters the water with a good body position. | The diver makes a clean entry.</t>
  </si>
  <si>
    <t>The diver's entry is strong and controlled. | The diver's body is well-aligned.</t>
  </si>
  <si>
    <t>The feet are not together at the entry, but the rest of the dive is competent.</t>
  </si>
  <si>
    <t>The diver enters the water with a good shape and control, but the entry is slightly late.</t>
  </si>
  <si>
    <t>The diver's body was not fully extended during take-off.</t>
  </si>
  <si>
    <t>The diver's take-off was clean and coordinated, but their body was not fully extended.</t>
  </si>
  <si>
    <t>The diver's tuck was not fully streamlined.</t>
  </si>
  <si>
    <t>The diver's flight was controlled and streamlined, but the tuck was not fully streamlined.</t>
  </si>
  <si>
    <t>The diver's body was in control, and they maintained their balance.</t>
  </si>
  <si>
    <t>The diver's entry was controlled, and their entry was slightly short of vertical.</t>
  </si>
  <si>
    <t>The diver's legs were not fully extended, but they did not affect the overall execution.</t>
  </si>
  <si>
    <t>The diver's approach was smooth and consistent. | The diver's hand position was good.</t>
  </si>
  <si>
    <t>The diver's hand position was not optimal.</t>
  </si>
  <si>
    <t>The diver's hand position was not optimal, but the rest of the approach was good.</t>
  </si>
  <si>
    <t>The diver's hand position was not ideal, but the rest of the approach was competent.</t>
  </si>
  <si>
    <t>The diver's feet were not together during the take-off.</t>
  </si>
  <si>
    <t>The diver's feet were not together, but the rest of the take-off was good.</t>
  </si>
  <si>
    <t>The diver's feet were not aligned, but the rest of the take-off was competent.</t>
  </si>
  <si>
    <t>The diver's flight was smooth and controlled. | The diver's body was aligned with the board.</t>
  </si>
  <si>
    <t>The diver's body was not aligned with the board.</t>
  </si>
  <si>
    <t>The diver's body was not aligned, but the rest of the flight was good.</t>
  </si>
  <si>
    <t>The diver's body was not aligned, but the rest of the flight was competent.</t>
  </si>
  <si>
    <t>The diver's entry was controlled and stable. | The diver's body broke at the hips on impact.</t>
  </si>
  <si>
    <t>The diver's entry was not fully vertical.</t>
  </si>
  <si>
    <t>The diver's entry was not fully vertical, but it was still controlled and stable.</t>
  </si>
  <si>
    <t>The diver's entry was not fully vertical, but it was still competent.</t>
  </si>
  <si>
    <t>The diver's legs were well-coordinated, indicating a good execution.</t>
  </si>
  <si>
    <t>The diver's body was symmetrical, indicating a good execution.</t>
  </si>
  <si>
    <t>The diver entered the water with a strong entry. | The diver's feet were together.</t>
  </si>
  <si>
    <t>The diver entered the water with a strong entry, showing good execution.</t>
  </si>
  <si>
    <t>The diver's feet were together, indicating a good execution.</t>
  </si>
  <si>
    <t>The diver's approach is very good, but the lack of hesitation or balk prevents a higher score.</t>
  </si>
  <si>
    <t>The diver's approach is competent, with no visible execution problems.</t>
  </si>
  <si>
    <t>The diver's take-off is competent, with no visible execution problems.</t>
  </si>
  <si>
    <t>The diver's flight is competent, with no visible execution problems.</t>
  </si>
  <si>
    <t>The diver's entry is competent, with no visible execution problems.</t>
  </si>
  <si>
    <t>The diver's feet are not together, which is against the rules.</t>
  </si>
  <si>
    <t>The diver's entry is slightly off-vertical, which is against the rules.</t>
  </si>
  <si>
    <t>The diver takes off with good height and form. | The diver rotates well.</t>
  </si>
  <si>
    <t>The diver's feet are not together, which is a common flaw in dives, but the take-off is otherwise good.</t>
  </si>
  <si>
    <t>The diver's feet are not together, which would have been a more significant flaw if it were the only issue.</t>
  </si>
  <si>
    <t>The diver's tuck is not fully extended, which is a common flaw in dives, but the flight is otherwise good.</t>
  </si>
  <si>
    <t>The diver's tuck is not fully extended, which would have been a more significant flaw if it were the only issue.</t>
  </si>
  <si>
    <t>The diver's entry was precise and controlled. | The dive had a good tuck and entry.</t>
  </si>
  <si>
    <t>The diver takes a hesitant approach, stepping forward and then backward before entering the water. | The diver's rhythm is irregular.</t>
  </si>
  <si>
    <t>The diver's rhythm is irregular, with steps that are too long or too short.</t>
  </si>
  <si>
    <t>The diver's rhythm is irregular, with steps that are too long or too short, which is a common flaw in dives.</t>
  </si>
  <si>
    <t>The diver takes a hesitant approach, stepping forward and then backward before entering the water, which is a common flaw in dives.</t>
  </si>
  <si>
    <t>The diver jumps off the diving board with a low trajectory and under-rotates. | The diver's legs do not drive upward.</t>
  </si>
  <si>
    <t>The diver's legs do not drive upward, which is a common flaw in dives.</t>
  </si>
  <si>
    <t>The diver jumps off the diving board with a low trajectory and under-rotates, which is a common flaw in dives.</t>
  </si>
  <si>
    <t>The diver's tuck is loose, with legs not on shins. | The diver's body is not symmetrical.</t>
  </si>
  <si>
    <t>The diver's tuck is loose, with legs not on shins, which is a common flaw in dives, and the diver's body is not symmetrical, which is a common flaw in dives.</t>
  </si>
  <si>
    <t>The diver enters the water with a large splash and is not fully vertical. | The diver's feet are not together.</t>
  </si>
  <si>
    <t>The diver enters the water with a large splash and is not fully vertical, which is a common flaw in dives. | The diver's feet are not together.</t>
  </si>
  <si>
    <t>The diver enters the water with a large splash and is not fully vertical, which is a common flaw in dives, and the diver's feet are not together, which is a common flaw in dives.</t>
  </si>
  <si>
    <t>The diver entered the water with a strong vertical position. | The diver's entry was controlled and symmetrical.</t>
  </si>
  <si>
    <t>The diver entered the water with a strong vertical position and a controlled symmetrical entry.</t>
  </si>
  <si>
    <t>The diver's entry was controlled and symmetrical.</t>
  </si>
  <si>
    <t>The diver's body was symmetrical, indicating a strong flight.</t>
  </si>
  <si>
    <t>The diver entered the water with a strong vertical position and a symmetrical entry.</t>
  </si>
  <si>
    <t>The diver has sufficient height and rotates off the platform well.</t>
  </si>
  <si>
    <t>The diver's tuck is loose and his legs are not on his shins.</t>
  </si>
  <si>
    <t>The diver's tuck is loose and his legs are not on his shins, which is a visible execution problem.</t>
  </si>
  <si>
    <t>The diver is past vertical and has a short entry, which is a visible execution problem.</t>
  </si>
  <si>
    <t>The diver took off with good leg drive and arm coordination. | The dive had a good body position.</t>
  </si>
  <si>
    <t>The take-off was very good, with good leg drive and arm coordination.</t>
  </si>
  <si>
    <t>The diver maintained a good tuck throughout the flight. | The dive had a good body position.</t>
  </si>
  <si>
    <t>The flight was very good, with a good tuck and body position.</t>
  </si>
  <si>
    <t>The diver entered the water with a good body position and no splash. | The dive had a good entry.</t>
  </si>
  <si>
    <t>The entry was very good, with a good body position and no splash.</t>
  </si>
  <si>
    <t>The diver's rhythm was steady, indicating a competent approach.</t>
  </si>
  <si>
    <t>The diver's body was aligned with the board, indicating a competent take-off.</t>
  </si>
  <si>
    <t>The diver's body was aligned with the board, indicating a competent flight.</t>
  </si>
  <si>
    <t>The diver's body broke at the hips on impact, indicating a competent entry.</t>
  </si>
  <si>
    <t>The diver has a good posture with straight arms and legs. | The diver's legs are slightly bent.</t>
  </si>
  <si>
    <t>The diver's legs are not perfectly straight.</t>
  </si>
  <si>
    <t>The diver's legs are not perfectly straight, but they are not too far from the ideal either.</t>
  </si>
  <si>
    <t>The diver's posture is not perfect, but it is not too far from the ideal.</t>
  </si>
  <si>
    <t>The diver's approach is smooth and controlled. | The diver's steps are well-coordinated.</t>
  </si>
  <si>
    <t>The diver's steps are not perfectly synchronized, but they are still controlled and smooth.</t>
  </si>
  <si>
    <t>The diver's approach is competent, but there is a noticeable issue with the step count.</t>
  </si>
  <si>
    <t>The diver's take-off is clean and controlled. | The diver's legs are well-coordinated.</t>
  </si>
  <si>
    <t>The diver's legs are not perfectly coordinated.</t>
  </si>
  <si>
    <t>The diver's legs are not perfectly coordinated, but they are still controlled and the take-off is clean.</t>
  </si>
  <si>
    <t>The diver's take-off is competent, but there is a noticeable issue with leg coordination.</t>
  </si>
  <si>
    <t>The diver's flight is controlled and stable. | The diver's body is symmetrical.</t>
  </si>
  <si>
    <t>The diver's body is not perfectly symmetrical.</t>
  </si>
  <si>
    <t>The diver's body is not perfectly symmetrical, but it is still controlled and stable.</t>
  </si>
  <si>
    <t>The diver's flight is competent, but there is a noticeable issue with body shape.</t>
  </si>
  <si>
    <t>The diver's entry is controlled and stable. | The diver's feet are together.</t>
  </si>
  <si>
    <t>The diver's feet are not perfectly together.</t>
  </si>
  <si>
    <t>The diver's feet are not perfectly together, but they are still controlled and the entry is stable.</t>
  </si>
  <si>
    <t>The diver's entry is competent, but there is a noticeable issue with foot position.</t>
  </si>
  <si>
    <t>The diver's entry was precise and controlled, with a vertical entry.</t>
  </si>
  <si>
    <t>The diver's take-off is clean and powerful. | The diver's body is well aligned with the board.</t>
  </si>
  <si>
    <t>The diver's flight is clean and controlled. | The diver's body is well aligned with the board.</t>
  </si>
  <si>
    <t>The diver's entry is clean and controlled. | The diver's body breaks at the hips on impact.</t>
  </si>
  <si>
    <t>The over-rotation is minor and does not affect the overall quality of the dive.</t>
  </si>
  <si>
    <t>The diver's legs were not fully extended, but they didn't affect the overall execution.</t>
  </si>
  <si>
    <t>The diver's entry was slightly late.</t>
  </si>
  <si>
    <t>The diver's entry was slightly late, but the rest of the approach was good.</t>
  </si>
  <si>
    <t>The diver's entry was delayed, but the rest of the approach was competent.</t>
  </si>
  <si>
    <t>The diver's legs were not fully extended, but they were coordinated and aligned with the board.</t>
  </si>
  <si>
    <t>The diver's legs were not fully extended, but the rest of the flight was good.</t>
  </si>
  <si>
    <t>The diver's entry was slightly short of vertical, but the rest of the entry was strong.</t>
  </si>
  <si>
    <t>The diver's entry was delayed, but the rest of the entry was competent.</t>
  </si>
  <si>
    <t>The diver maintains a good tuck during flight. | The diver rotates well and extends their legs.</t>
  </si>
  <si>
    <t>The diver's tuck is not fully extended, with legs not fully straight.</t>
  </si>
  <si>
    <t>The dive shows good execution, but the tuck is not fully extended.</t>
  </si>
  <si>
    <t>The dive otherwise shows competent execution.</t>
  </si>
  <si>
    <t>The diver enters the water with a good body position. | The diver's entry is clean and controlled.</t>
  </si>
  <si>
    <t>The entry is competent, but slightly late.</t>
  </si>
  <si>
    <t>The diver's flight is clean and controlled. | The diver's body is straight.</t>
  </si>
  <si>
    <t>The diver's starting position is excellent, with no visible flaws.</t>
  </si>
  <si>
    <t>The diver's approach is competent, with a smooth and controlled rhythm.</t>
  </si>
  <si>
    <t>The diver takes off with good height and control. | The diver's body is aligned.</t>
  </si>
  <si>
    <t>The diver's take-off is very good, with good height and control.</t>
  </si>
  <si>
    <t>The diver's take-off is competent, with no visible issues.</t>
  </si>
  <si>
    <t>The diver enters the water with good form. | The diver's body breaks at the hips.</t>
  </si>
  <si>
    <t>The diver's approach is smooth and consistent. | The diver's rhythm is steady.</t>
  </si>
  <si>
    <t>The diver takes off cleanly and with good form. | The diver's body is aligned with the board.</t>
  </si>
  <si>
    <t>The take-off is clean and competent, despite the feet not being together.</t>
  </si>
  <si>
    <t>The diver enters the water with a good shape. | The diver's entry is clean.</t>
  </si>
  <si>
    <t>The entry is otherwise competent, despite the slight delay.</t>
  </si>
  <si>
    <t>The diver's entry is otherwise good.</t>
  </si>
  <si>
    <t>The diver's posture is already good, and there are no visible flaws.</t>
  </si>
  <si>
    <t>The starting position is already good, and there are no visible flaws.</t>
  </si>
  <si>
    <t>The approach is competent, but there is a minor flaw.</t>
  </si>
  <si>
    <t>The diver's rhythm is irregular, but it is still competent.</t>
  </si>
  <si>
    <t>The take-off is good, but the diver is too close to the platform.</t>
  </si>
  <si>
    <t>The diver's take-off is good, but it is slightly too close to the platform.</t>
  </si>
  <si>
    <t>The flight is competent, but there is a moderate flaw.</t>
  </si>
  <si>
    <t>The diver rotates well, but there is some under-rotation.</t>
  </si>
  <si>
    <t>The entry is competent, but there is a moderate flaw.</t>
  </si>
  <si>
    <t>The diver enters the water with a good body position, but there is some asymmetry.</t>
  </si>
  <si>
    <t>The diver's flight is fluid and controlled. | The diver's body is well aligned.</t>
  </si>
  <si>
    <t>The approach was very good, with a smooth rhythm and a strong entry.</t>
  </si>
  <si>
    <t>The diver's entry was strong and stable. | The diver's feet were together at entry.</t>
  </si>
  <si>
    <t>The diver's approach is competent, with a competent rhythm.</t>
  </si>
  <si>
    <t>The diver takes off with good height and control, maintaining a straight body alignment.</t>
  </si>
  <si>
    <t>The diver takes off with good height and control, but the lack of under-rotation prevents a higher score.</t>
  </si>
  <si>
    <t>The diver takes off competently, with a competent body alignment.</t>
  </si>
  <si>
    <t>The diver's flight is controlled and streamlined, with a symmetrical body.</t>
  </si>
  <si>
    <t>The diver's flight is competent, with a competent body shape.</t>
  </si>
  <si>
    <t>The diver enters the water with good form. | The diver's entry is clean.</t>
  </si>
  <si>
    <t>The diver enters the water with good form, making a clean entry.</t>
  </si>
  <si>
    <t>The diver enters the water very well, but the lack of over-rotation prevents a higher score.</t>
  </si>
  <si>
    <t>The diver enters the water competently, with a competent entry.</t>
  </si>
  <si>
    <t>The diver's take-off was clean and coordinated, but their legs were not fully extended.</t>
  </si>
  <si>
    <t>The diver's body was compact and their arms were coordinated.</t>
  </si>
  <si>
    <t>The diver's flight is clean and controlled. | The diver maintains a good body position.</t>
  </si>
  <si>
    <t>The diver's starting position is strong, with no flaws.</t>
  </si>
  <si>
    <t>The diver's take-off is very good, with no visible issues.</t>
  </si>
  <si>
    <t>The diver's take-off is competent, with no flaws.</t>
  </si>
  <si>
    <t>The diver's flight is competent, with no flaws.</t>
  </si>
  <si>
    <t>No issues with entry or position.</t>
  </si>
  <si>
    <t>The diver's entry is competent, with no flaws.</t>
  </si>
  <si>
    <t>The diver enters the water with a good body position and splash. | The diver rotates well.</t>
  </si>
  <si>
    <t>The diver's starting position is very good, but the score could have been higher if there were more visible flaws.</t>
  </si>
  <si>
    <t>The diver's starting position is excellent, but the score is not 9.0 because the absence of visible flaws is a strength, not a weakness.</t>
  </si>
  <si>
    <t>The diver's approach is very good, but the score could have been higher if there were more visible flaws.</t>
  </si>
  <si>
    <t>The diver's approach is competent, but the score is not 9.0 because the absence of visible flaws is a strength, not a weakness.</t>
  </si>
  <si>
    <t>No visible flaws.</t>
  </si>
  <si>
    <t>The diver's take-off is very good, but the score could have been higher if there were more visible flaws.</t>
  </si>
  <si>
    <t>The diver's take-off is competent, but the score is not 9.0 because the absence of visible flaws is a strength, not a weakness.</t>
  </si>
  <si>
    <t>The diver's flight is very good, but the score could have been higher if there were more visible flaws.</t>
  </si>
  <si>
    <t>The diver's flight is competent, but the score is not 9.0 because the absence of visible flaws is a strength, not a weakness.</t>
  </si>
  <si>
    <t>The diver's entry is very good, but the score could have been higher if there were more visible flaws.</t>
  </si>
  <si>
    <t>The diver's entry is competent, but the score is not 9.0 because the absence of visible flaws is a strength, not a weakness.</t>
  </si>
  <si>
    <t>The diver's body break at the hips is a significant flaw.</t>
  </si>
  <si>
    <t>The diver entered the water with a strong and controlled entry. | The diver's body broke at the hips on impact.</t>
  </si>
  <si>
    <t>The diver entered the water with a strong and controlled entry, with a proper body break at the hips on impact.</t>
  </si>
  <si>
    <t>The diver's take-off was clean and well-coordinated. | The diver's body was aligned correctly in the air.</t>
  </si>
  <si>
    <t>The diver's take-off was clean and well-coordinated, but the legs could have been more extended.</t>
  </si>
  <si>
    <t>The diver's flight was smooth and controlled. | The diver's body was aligned correctly in the air.</t>
  </si>
  <si>
    <t>The diver's flight was smooth and controlled, but the tuck could have been better.</t>
  </si>
  <si>
    <t>The diver's entry was strong, but the feet could have been more together.</t>
  </si>
  <si>
    <t>The diver entered the water with a good shape and control, but the feet could have been more together.</t>
  </si>
  <si>
    <t>The diver maintains a good tuck position during flight. | The diver rotates well and extends legs and arms.</t>
  </si>
  <si>
    <t>The diver's tuck is not fully extended, with legs and arms not fully extended.</t>
  </si>
  <si>
    <t>The dive shows good execution despite the lack of full extension.</t>
  </si>
  <si>
    <t>The diver enters the water with a good body position and splash. | The diver's entry is clean and controlled.</t>
  </si>
  <si>
    <t>The diver's feet are not together upon entry.</t>
  </si>
  <si>
    <t>The diver's entry is otherwise competent, despite the lack of foot position.</t>
  </si>
  <si>
    <t>The entry is otherwise clean and controlled.</t>
  </si>
  <si>
    <t>The diver's legs were not fully extended, but they did not cause significant issues.</t>
  </si>
  <si>
    <t>The diver's entry was smooth and controlled. | The diver's approach was consistent and rhythmic.</t>
  </si>
  <si>
    <t>The diver's entry was slightly late, but the rest of the approach was strong.</t>
  </si>
  <si>
    <t>The diver's take-off was clean and coordinated. | The diver's body was straight and arms extended.</t>
  </si>
  <si>
    <t>The diver's feet were not together, but the rest of the take-off was strong.</t>
  </si>
  <si>
    <t>The diver maintains a good tuck throughout the flight. | The diver's body is aligned with the long axis of the dive.</t>
  </si>
  <si>
    <t>The diver's tuck is good, and the body is aligned with the long axis of the dive.</t>
  </si>
  <si>
    <t>The diver entered the water with control and a proper break. | The diver's body broke at the hips on impact.</t>
  </si>
  <si>
    <t>The diver entered the water with control and a proper break, with a proper body break at the hips on impact.</t>
  </si>
  <si>
    <t>The diver's flight was fluid and extended. | The diver's tuck was good.</t>
  </si>
  <si>
    <t>The diver's flight was fluid and extended, showing good form.</t>
  </si>
  <si>
    <t>The diver's tuck was good, indicating a strong flight.</t>
  </si>
  <si>
    <t>The diver entered the water with a good shape and control. | The entry was clean and precise.</t>
  </si>
  <si>
    <t>The diver entered the water with a good shape and control, showing a strong entry.</t>
  </si>
  <si>
    <t>The entry was clean and precise, indicating a strong entry.</t>
  </si>
  <si>
    <t>The diver's approach is smooth and controlled, with no visible issues.</t>
  </si>
  <si>
    <t>The diver's body breaks at the hips as required by the rules.</t>
  </si>
  <si>
    <t>The diver's body was well-balanced, and the take-off was clean.</t>
  </si>
  <si>
    <t>The diver's body was well-aligned, and the flight was controlled.</t>
  </si>
  <si>
    <t>The diver entered the water with control and a good shape. | The entry was clean and precise.</t>
  </si>
  <si>
    <t>The diver's starting position is excellent, with no issues to lower the score.</t>
  </si>
  <si>
    <t>The diver's approach is competent, with no issues to lower the score.</t>
  </si>
  <si>
    <t>The diver's take-off is competent, with no issues to lower the score.</t>
  </si>
  <si>
    <t>No issues with the tuck.</t>
  </si>
  <si>
    <t>The diver's flight is competent, with no issues to lower the score.</t>
  </si>
  <si>
    <t>The diver's entry is competent, with no issues to lower the score.</t>
  </si>
  <si>
    <t>The diver's flight was fluid and extended. | The diver's tuck was tight.</t>
  </si>
  <si>
    <t>The diver's flight was fluid and extended, with a tight tuck.</t>
  </si>
  <si>
    <t>The diver entered the water with control and a good shape. | The diver's entry was strong.</t>
  </si>
  <si>
    <t>The diver entered the water with control and a good shape, showing a strong entry.</t>
  </si>
  <si>
    <t>The diver's entry was excellent and without flaws.</t>
  </si>
  <si>
    <t>The diver's approach was smooth and consistent, with no hesitation or balk.</t>
  </si>
  <si>
    <t>The diver's rhythm was good.</t>
  </si>
  <si>
    <t>The diver's take-off was clean and well-coordinated, with a proper alignment with the board.</t>
  </si>
  <si>
    <t>The diver's body was aligned with the board.</t>
  </si>
  <si>
    <t>The diver's flight was controlled and extended, with a symmetrical body.</t>
  </si>
  <si>
    <t>The diver's body was symmetrical.</t>
  </si>
  <si>
    <t>The diver entered the water with a good shape. | The entry was clean and controlled.</t>
  </si>
  <si>
    <t>The diver entered the water with a good shape and a clean, controlled entry.</t>
  </si>
  <si>
    <t>The diver's entry was clean and controlled.</t>
  </si>
  <si>
    <t>The diver's flight was smooth and controlled, with a proper alignment with the board.</t>
  </si>
  <si>
    <t>The diver's entry was strong and controlled, with a proper break at the hips on impact.</t>
  </si>
  <si>
    <t>The diver's body broke at the hips on impact.</t>
  </si>
  <si>
    <t>The diver hesitated slightly during the approach.</t>
  </si>
  <si>
    <t>The hesitation was minor and didn't affect the overall execution.</t>
  </si>
  <si>
    <t>The hesitation was minor, but it affected the consistency of the approach.</t>
  </si>
  <si>
    <t>The diver's feet were not together, but the rest of the take-off was still competent.</t>
  </si>
  <si>
    <t>The diver's flight was clean and well-executed. | The diver's body was aligned correctly.</t>
  </si>
  <si>
    <t>The diver's arms were not fully extended during the flight.</t>
  </si>
  <si>
    <t>The diver's arms were not fully extended, but the rest of the flight was good.</t>
  </si>
  <si>
    <t>The diver's arms were not fully extended, but the rest of the flight was still competent.</t>
  </si>
  <si>
    <t>The diver's entry was slightly over-rotated, but it was still strong.</t>
  </si>
  <si>
    <t>The diver's entry was slightly over-rotated, but it was still competent.</t>
  </si>
  <si>
    <t>The entry was stable and controlled.</t>
  </si>
  <si>
    <t>The diver's entry was strong and controlled. | The diver's entry was stable and controlled.</t>
  </si>
  <si>
    <t>The diver's entry was strong and controlled, and the entry was stable and controlled.</t>
  </si>
  <si>
    <t>The entry is competent, despite the feet not being together.</t>
  </si>
  <si>
    <t>The diver's approach is smooth and rhythmic, but there is a hesitation at the beginning of the dive.</t>
  </si>
  <si>
    <t>The hesitation at the beginning of the dive prevents a higher score.</t>
  </si>
  <si>
    <t>The diver's approach is competent, but the hesitation is a significant flaw.</t>
  </si>
  <si>
    <t>The diver's take-off is good, but the legs are not fully extended.</t>
  </si>
  <si>
    <t>The diver's legs are not fully extended, preventing a higher score.</t>
  </si>
  <si>
    <t>The diver's take-off is competent, but the lack of full extension is a significant flaw.</t>
  </si>
  <si>
    <t>The diver's tuck is good, but the legs are not fully extended.</t>
  </si>
  <si>
    <t>The diver's flight is competent, but the lack of full extension is a significant flaw.</t>
  </si>
  <si>
    <t>The diver's entry is good, but the feet are not together.</t>
  </si>
  <si>
    <t>The diver's feet are not together, preventing a higher score.</t>
  </si>
  <si>
    <t>The diver's entry is competent, but the lack of foot coordination is a significant flaw.</t>
  </si>
  <si>
    <t>If the diver had fixed arms, the score would be higher.</t>
  </si>
  <si>
    <t>The diver's step count is irregular.</t>
  </si>
  <si>
    <t>The irregular step count is a moderate flaw.</t>
  </si>
  <si>
    <t>If the diver had a consistent rhythm, the score would be higher.</t>
  </si>
  <si>
    <t>If the diver's legs were more coordinated, the score would be higher.</t>
  </si>
  <si>
    <t>The diver's tuck is not on the longitudinal axis.</t>
  </si>
  <si>
    <t>The diver's tuck is not on the longitudinal axis, which is a moderate flaw.</t>
  </si>
  <si>
    <t>If the diver's tuck were on the longitudinal axis, the score would be higher.</t>
  </si>
  <si>
    <t>The diver enters the water with a strong entry. | The diver's feet are together.</t>
  </si>
  <si>
    <t>The diver's body breaks at the hips on entry, which is a moderate flaw.</t>
  </si>
  <si>
    <t>If the diver's body didn't break at the hips, the score would be higher.</t>
  </si>
  <si>
    <t>The diver's legs were not fully extended upon entry, but they remained stable and controlled.</t>
  </si>
  <si>
    <t>The diver's posture was good, but the legs were not fully extended.</t>
  </si>
  <si>
    <t>The diver's entry was slightly bent.</t>
  </si>
  <si>
    <t>The diver's approach was smooth and rhythmic, but the entry was slightly bent.</t>
  </si>
  <si>
    <t>The diver's entry was stable and controlled despite the slight bend.</t>
  </si>
  <si>
    <t>The diver's take-off was clean and coordinated, but the entry was slightly bent.</t>
  </si>
  <si>
    <t>The diver's flight was clean and coordinated, but the entry was slightly bent.</t>
  </si>
  <si>
    <t>The diver's entry was stable and controlled. | The diver's entry was slightly bent.</t>
  </si>
  <si>
    <t>The diver's entry was stable and controlled, but the legs were slightly bent.</t>
  </si>
  <si>
    <t>The diver's take-off is clean and well-executed.</t>
  </si>
  <si>
    <t>The diver's take-off is very good, but the lack of visible flaws prevents a higher score.</t>
  </si>
  <si>
    <t>The diver's take-off is competent, with no major issues.</t>
  </si>
  <si>
    <t>The diver's tuck is stable and controlled.</t>
  </si>
  <si>
    <t>The diver's flight is very good, but the lack of visible flaws prevents a higher score.</t>
  </si>
  <si>
    <t>The diver's flight is competent, with no major issues.</t>
  </si>
  <si>
    <t>The diver's entry is clean and well-executed.</t>
  </si>
  <si>
    <t>The diver's entry is very good, but the lack of visible flaws prevents a higher score.</t>
  </si>
  <si>
    <t>The diver's entry is competent, with no major issues.</t>
  </si>
  <si>
    <t>The diver enters the water with a good body position and a clean entry.</t>
  </si>
  <si>
    <t>The diver's feet are not together, but the rest of the take-off is good.</t>
  </si>
  <si>
    <t>The diver maintains a good tuck during flight. | The diver rotates well.</t>
  </si>
  <si>
    <t>The diver's tuck is not fully extended, but the rest of the flight is good.</t>
  </si>
  <si>
    <t>The diver's entry is otherwise good, despite the slight delay.</t>
  </si>
  <si>
    <t>The diver's posture was good, and the entry was stable.</t>
  </si>
  <si>
    <t>The diver's approach was smooth and rhythmic. | The diver's hand position was coordinated.</t>
  </si>
  <si>
    <t>The diver's approach was smooth and rhythmic, but the hand position was not optimal.</t>
  </si>
  <si>
    <t>The diver's approach was competent.</t>
  </si>
  <si>
    <t>The diver's take-off was clean and powerful. | The diver's body was well-aligned.</t>
  </si>
  <si>
    <t>The diver's feet were not together during take-off.</t>
  </si>
  <si>
    <t>The diver's take-off was clean and powerful, but the feet were not together.</t>
  </si>
  <si>
    <t>The diver's take-off was competent.</t>
  </si>
  <si>
    <t>The diver's body was not fully extended.</t>
  </si>
  <si>
    <t>The diver's flight was controlled and extended, but the body was not fully extended.</t>
  </si>
  <si>
    <t>The diver's flight was competent.</t>
  </si>
  <si>
    <t>The diver's entry was strong and vertical. | The diver's body broke at the hips on impact.</t>
  </si>
  <si>
    <t>The diver's entry was strong and vertical, but not fully vertical.</t>
  </si>
  <si>
    <t>The diver's entry was competent.</t>
  </si>
  <si>
    <t>The diver's body alignment was not ideal, but the rest of the flight was competent.</t>
  </si>
  <si>
    <t>The diver's entry was clean and well-executed. | The diver's body broke at the hips on impact.</t>
  </si>
  <si>
    <t>The diver's legs were not fully extended upon entry, but they remained stable and the posture was good.</t>
  </si>
  <si>
    <t>The diver's legs were not fully extended, but they remained stable and the posture was good.</t>
  </si>
  <si>
    <t>The diver's entry was slightly off-vertical, but the approach was otherwise competent.</t>
  </si>
  <si>
    <t>The diver's legs were not fully extended upon take-off.</t>
  </si>
  <si>
    <t>The diver's legs were not fully extended upon take-off, but they were coordinated and provided adequate drive.</t>
  </si>
  <si>
    <t>The diver's legs were not fully extended, but they were coordinated and provided adequate drive.</t>
  </si>
  <si>
    <t>The diver's tuck was not fully executed, but the flight was otherwise competent.</t>
  </si>
  <si>
    <t>The diver's entry was past vertical, but not over-rotated. | The diver's entry was short.</t>
  </si>
  <si>
    <t>The diver's entry was short and the splash was small.</t>
  </si>
  <si>
    <t>The diver's entry was past vertical and not over-rotated, but the splash was small.</t>
  </si>
  <si>
    <t>The diver's entry was short and the splash was small, but the entry was past vertical and not over-rotated.</t>
  </si>
  <si>
    <t>The diver's legs are not still, which would have been a significant flaw if they were still.</t>
  </si>
  <si>
    <t>The diver's legs drive off the board well.</t>
  </si>
  <si>
    <t>The diver's flight is controlled and streamlined. | The diver's tuck is compact.</t>
  </si>
  <si>
    <t>The diver's tuck is compact.</t>
  </si>
  <si>
    <t>The diver's entry is past vertical. | The diver's entry is clean.</t>
  </si>
  <si>
    <t>The diver's approach is very good, with no visible issues.</t>
  </si>
  <si>
    <t>The diver's flight is competent, with no visible issues.</t>
  </si>
  <si>
    <t>The diver's take-off is clean and coordinated.</t>
  </si>
  <si>
    <t>The diver's tuck is loose and the legs are not on the shins.</t>
  </si>
  <si>
    <t>The diver is past vertical and short of the platform.</t>
  </si>
  <si>
    <t>The entry is competent, but slightly over-rotated.</t>
  </si>
  <si>
    <t>The diver's entry was past vertical, but not excessively so. | The diver's entry was short.</t>
  </si>
  <si>
    <t>The diver's entry was short and not fully vertical.</t>
  </si>
  <si>
    <t>The diver's entry was past vertical, but not excessively so, and the entry was short.</t>
  </si>
  <si>
    <t>The diver's arms are not fully extended, which is a minor flaw.</t>
  </si>
  <si>
    <t>The diver's starting position is otherwise very good.</t>
  </si>
  <si>
    <t>The hesitation is a minor flaw, but the overall approach is good.</t>
  </si>
  <si>
    <t>The diver's approach is otherwise competent.</t>
  </si>
  <si>
    <t>The diver's take-off is otherwise competent.</t>
  </si>
  <si>
    <t>The diver's flight is otherwise competent.</t>
  </si>
  <si>
    <t>The diver's flight is very good, with no visible twists or asymmetry.</t>
  </si>
  <si>
    <t>No visible issues with entry.</t>
  </si>
  <si>
    <t>The diver enters the water with a good body position and a small splash.</t>
  </si>
  <si>
    <t>The diver rotates well in the air.</t>
  </si>
  <si>
    <t>The flight was very good, with a controlled execution and proper tuck and twist.</t>
  </si>
  <si>
    <t>The entry was very good, with a strong and stable execution and a good splash.</t>
  </si>
  <si>
    <t>The approach was smooth and consistent.</t>
  </si>
  <si>
    <t>The take-off was clean and well-coordinated.</t>
  </si>
  <si>
    <t>The flight was controlled and streamlined.</t>
  </si>
  <si>
    <t>The entry was precise and controlled.</t>
  </si>
  <si>
    <t>The diver's entry was competent, but slightly over-rotated.</t>
  </si>
  <si>
    <t>The diver's entry was good, but it needed to be more controlled.</t>
  </si>
  <si>
    <t>The diver's feet are not together, which is a moderate flaw.</t>
  </si>
  <si>
    <t>The diver's entry is clean and precise. | The diver's body breaks at the hips.</t>
  </si>
  <si>
    <t>The diver took off with good leg drive and arm coordination. | The dive had a clean rotation initiation.</t>
  </si>
  <si>
    <t>The diver maintained a good tuck throughout the flight. | The dive had a clean rotation and a good shape.</t>
  </si>
  <si>
    <t>The flight was very good, with a clean rotation and a good shape.</t>
  </si>
  <si>
    <t>The diver entered the water with a good body position and a small splash. | The dive had a clean entry.</t>
  </si>
  <si>
    <t>The entry was very good, with a good body position and a small splash.</t>
  </si>
  <si>
    <t>The diver maintains a balanced and controlled posture with arms extended forward, earning a sub-score of 9,0,</t>
  </si>
  <si>
    <t>The diver's approach is steady and deliberate, contributing to a sub-score of 9,0,</t>
  </si>
  <si>
    <t>The diver takes off from the diving board with a clean and powerful movement, resulting in a sub-score of 9,0,</t>
  </si>
  <si>
    <t>The diver performs a series of flips in the air with excellent control and symmetry, earning a sub-score of 9,0,</t>
  </si>
  <si>
    <t>The diver enters the water with a clean splash, indicating a smooth and controlled entry, with a sub-score of 9,0,</t>
  </si>
  <si>
    <t>The diver maintains a straight and balanced position on the diving board, earning a high score,</t>
  </si>
  <si>
    <t>The diver approaches the diving board smoothly and controlled, receiving a high score,</t>
  </si>
  <si>
    <t>The diver takes off with a strong push, resulting in a high score,</t>
  </si>
  <si>
    <t>The diver performs a series of flips in the air with a smooth and controlled flight path, earning a high score,</t>
  </si>
  <si>
    <t>The diver's entry is clean and controlled, but the large splash reduces the score,</t>
  </si>
  <si>
    <t>The diver's starting position was correct, with a straight and parallel stance, earning a sub-score of 9,0,</t>
  </si>
  <si>
    <t>The diver walked steadily towards the end of the diving board, maintaining balance, which earned a sub-score of 9,0,</t>
  </si>
  <si>
    <t>The diver jumped off the diving board with both feet and extended his arms, which resulted in a clean takeoff, earning a sub-score of 9,0,</t>
  </si>
  <si>
    <t>The diver performed a backward somersault with a tucked position, which was executed well, earning a sub-score of 9,0,</t>
  </si>
  <si>
    <t>The diver landed on his back but created a large splash, which slightly reduced the score, resulting in a sub-score of 7,0,</t>
  </si>
  <si>
    <t>The diver's starting position is upright and balanced, contributing to a high sub-score,</t>
  </si>
  <si>
    <t>The diver's approach is steady and controlled, resulting in a high sub-score,</t>
  </si>
  <si>
    <t>The diver's take-off is clean and powerful, leading to a high sub-score,</t>
  </si>
  <si>
    <t>The diver performs a series of flips in the air with a straight body position, earning a high sub-score,</t>
  </si>
  <si>
    <t>The diver's balanced and controlled posture at the starting position contributes to a high sub-score,,A steady approach without any signs of rushing or hesitation results in a high sub-score,</t>
  </si>
  <si>
    <t>The diver's clean and powerful take-off indicates a strong start, leading to a high sub-score,</t>
  </si>
  <si>
    <t>The diver's smooth and controlled rotation during the flight phase suggests a high level of skill, resulting in a high sub-score,</t>
  </si>
  <si>
    <t>The precise and controlled entry into the water with a small splash demonstrates excellent technique, contributing to a high sub-score,</t>
  </si>
  <si>
    <t>The diver's approach is smooth and controlled, leading to a high sub-score,</t>
  </si>
  <si>
    <t>The take-off is executed with good technique, resulting in a high sub-score,</t>
  </si>
  <si>
    <t>The diver performs a well-executed somersault with a streamlined body position, earning a high sub-score,</t>
  </si>
  <si>
    <t>The diver enters the water with a clean and precise splash, contributing to a high sub-score,</t>
  </si>
  <si>
    <t>The diver's starting position is excellent, with a balanced and straight posture, earning a sub-score of 9,0,</t>
  </si>
  <si>
    <t>The diver's approach is smooth and controlled, resulting in a sub-score of 9,0,</t>
  </si>
  <si>
    <t>The diver's take-off is strong and clean, contributing to a sub-score of 9,0,</t>
  </si>
  <si>
    <t>The diver performs a series of flips with a straight body position, achieving a sub-score of 9,0,</t>
  </si>
  <si>
    <t>The diver's entry is clean but creates a large splash, leading to a sub-score of 7,0,</t>
  </si>
  <si>
    <t>The diver is in a tuck position with knees bent, but could improve by fully tucking the knees, resulting in a sub-score of 7,0,</t>
  </si>
  <si>
    <t>The diver is approaching the edge of the diving board with a straight body and extended arms, indicating good technique, hence a sub-score of 9,0,</t>
  </si>
  <si>
    <t>The diver is taking off from the diving board with a straight body and extended arms, showing good technique, leading to a sub-score of 9,0,</t>
  </si>
  <si>
    <t>The diver is performing a backward somersault with a streamlined body, indicating good technique, which results in a sub-score of 9,0,</t>
  </si>
  <si>
    <t>The diver enters the water with a splash, but the body is streamlined during entry, suggesting a good technique, leading to a sub-score of 8,0,</t>
  </si>
  <si>
    <t>The diver is in a ready position with arms extended forward and the body aligned with the diving board, resulting in a high sub-score of 9,0,</t>
  </si>
  <si>
    <t>The diver approaches the diving board with a smooth motion and maintains a straight line towards the diving board, contributing to a sub-score of 9,0,</t>
  </si>
  <si>
    <t>The diver takes off from the diving board with a clean and powerful movement, synchronized with the board, leading to a sub-score of 9,0,</t>
  </si>
  <si>
    <t>The diver performs a series of flips in the air with controlled rotation and maintains a streamlined body position during the flight, resulting in a sub-score of 9,0,</t>
  </si>
  <si>
    <t>The diver enters the water with a clean splash and an symmetric and controlled entry, contributing to a sub-score of 9,0,</t>
  </si>
  <si>
    <t>The diver's starting position is excellent, with a well-executed tuck and proper alignment with the diving board (sub-score: 9,0),</t>
  </si>
  <si>
    <t>The diver approaches the diving board with a steady and straight approach (sub-score: 9,0),</t>
  </si>
  <si>
    <t>The diver takes off from the diving board with a strong and controlled push (sub-score: 9,0),</t>
  </si>
  <si>
    <t>The diver performs a series of flips in the air with good form and control (sub-score: 9,0),</t>
  </si>
  <si>
    <t>The diver's entry is clean but creates a large splash due to the force of impact (sub-score: 7,0),</t>
  </si>
  <si>
    <t>The diver is in a tuck position with arms raised above his head, and his body is straight and aligned with the diving board, resulting in a high sub-score of 9,0,</t>
  </si>
  <si>
    <t>The diver approaches the diving board with a steady pace and maintains a straight posture, leading to a sub-score of 9,0,</t>
  </si>
  <si>
    <t>The diver takes off from the diving board with a clean and powerful movement, achieving a sub-score of 9,0,</t>
  </si>
  <si>
    <t>The diver performs a series of flips in the air with a tucked position and maintains a straight body throughout the flight, earning a sub-score of 9,0,</t>
  </si>
  <si>
    <t>The diver enters the water with a clean splash and a smooth entry, resulting in a sub-score of 9,0,</t>
  </si>
  <si>
    <t>The diver's starting position is excellent, with a straight and balanced posture, earning a sub-score of 9,0,</t>
  </si>
  <si>
    <t>The diver's take-off is strong and clean, achieving a sub-score of 9,0,</t>
  </si>
  <si>
    <t>The diver performs a series of flips with a straight body position, earning a sub-score of 9,0,</t>
  </si>
  <si>
    <t>The diver's entry is clean but creates a large splash, resulting in a sub-score of 7,0,</t>
  </si>
  <si>
    <t>The diver's starting position was upright and balanced, contributing to a high sub-score,</t>
  </si>
  <si>
    <t>The diver's approach was steady and controlled, resulting in a high sub-score,</t>
  </si>
  <si>
    <t>The diver's take-off was clean and powerful, leading to a high sub-score,</t>
  </si>
  <si>
    <t>The diver performed a series of flips with a tucked position, maintaining high body control, which resulted in a high sub-score,</t>
  </si>
  <si>
    <t>The diver entered the water with a clean splash, indicating a high sub-score,</t>
  </si>
  <si>
    <t>The diver's starting position was correct with proper alignment and stance, earning a high score,</t>
  </si>
  <si>
    <t>The diver walked steadily towards the diving board, maintaining good posture, which contributed to a high score,</t>
  </si>
  <si>
    <t>The diver took off with both feet, extending his arms, indicating a strong and controlled takeoff, resulting in a high score,</t>
  </si>
  <si>
    <t>The diver performed a forward somersault with a tucked position, showcasing excellent technique and control, leading to a high score,</t>
  </si>
  <si>
    <t>The diver entered the water with a large but controlled splash and landed on his back, indicating a clean entry, which earned a high score,</t>
  </si>
  <si>
    <t>The diver's starting position is upright and well-executed, contributing to a high sub-score,</t>
  </si>
  <si>
    <t>The diver's approach is smooth and controlled, resulting in a high sub-score,</t>
  </si>
  <si>
    <t>The diver performs a series of flips with precision, earning a high sub-score,</t>
  </si>
  <si>
    <t>The diver's entry is forceful but not perfectly aligned with the pool surface, resulting in a lower sub-score,</t>
  </si>
  <si>
    <t>The diver's starting position is excellent, with a straight and aligned posture, earning a sub-score of 9,0,</t>
  </si>
  <si>
    <t>The diver's approach is steady and controlled, resulting in a sub-score of 9,0,</t>
  </si>
  <si>
    <t>The diver's take-off is clean and powerful, achieving a sub-score of 9,0,</t>
  </si>
  <si>
    <t>The diver's flight is well-executed with a tucked position, earning a sub-score of 9,0,</t>
  </si>
  <si>
    <t>The diver's entry is clean but creates a large splash due to a lack of control, resulting in a sub-score of 7,0,</t>
  </si>
  <si>
    <t>The diver's starting position is well-executed with a balanced and straight posture, earning a sub-score of 9,0,</t>
  </si>
  <si>
    <t>The diver's take-off is clean and powerful, contributing to a sub-score of 9,0,</t>
  </si>
  <si>
    <t>The diver performs a series of flips in the air with a straight body position, earning a sub-score of 9,0,</t>
  </si>
  <si>
    <t>The diver's entry is clean and controlled, but the large splash reduces the score slightly, resulting in a sub-score of 7,0,</t>
  </si>
  <si>
    <t>The diver maintains a straight and balanced posture, earning a high score,</t>
  </si>
  <si>
    <t>The diver's approach is smooth and controlled, contributing to a high score,</t>
  </si>
  <si>
    <t>The diver's take-off is strong and clean, resulting in a high score,</t>
  </si>
  <si>
    <t>The diver performs a series of flips in the air, which is executed gracefully and well-timed, leading to a high score,</t>
  </si>
  <si>
    <t>The diver's entry is clean but creates a large splash, which slightly lowers the score,</t>
  </si>
  <si>
    <t>The diver's take-off is clean and powerful, resulting in a high sub-score,</t>
  </si>
  <si>
    <t>The diver performs a series of flips with a tucked position, maintaining a streamlined body shape, which results in a high sub-score,</t>
  </si>
  <si>
    <t>The diver's entry is clean and precise, contributing to a high sub-score,</t>
  </si>
  <si>
    <t>The diver maintains a straight and balanced posture with arms raised above his head, contributing to a high sub-score,</t>
  </si>
  <si>
    <t>The diver's smooth and steady approach to the edge of the diving board results in a high sub-score,</t>
  </si>
  <si>
    <t>The diver's clean and powerful take-off from the diving board is executed with precision, leading to a high sub-score,</t>
  </si>
  <si>
    <t>The diver's series of flips in the air with high rotation and symmetry results in a high sub-score,</t>
  </si>
  <si>
    <t>The diver enters the water with a clean splash and minimal splashback, indicating a high sub-score,</t>
  </si>
  <si>
    <t>The diver's balanced and controlled posture at the starting position contributes to a high sub-score,,A smooth and consistent approach enhances the overall quality of execution,</t>
  </si>
  <si>
    <t>The strong and precise take-off adds to the diver's performance,</t>
  </si>
  <si>
    <t>The clean and controlled flight through the air demonstrates excellent technique,</t>
  </si>
  <si>
    <t>The clean and precise entry into the water indicates a successful completion of the dive,</t>
  </si>
  <si>
    <t>The diver maintains a proper tuck position and alignment throughout the dive, earning a high score,</t>
  </si>
  <si>
    <t>The diver's approach was smooth and controlled, contributing to a high score,</t>
  </si>
  <si>
    <t>The take-off was executed with a clean and powerful movement, resulting in a high score,</t>
  </si>
  <si>
    <t>The diver performed a series of flips in the air with a smooth and controlled flight path, leading to a high score,</t>
  </si>
  <si>
    <t>The diver entered the water with a clean and precise splash, indicating a high score,</t>
  </si>
  <si>
    <t>The diver's starting position is excellent, with perfect alignment and control, earning a sub-score of 9,8,</t>
  </si>
  <si>
    <t>The diver's approach is smooth and consistent, receiving a sub-score of 9,7,</t>
  </si>
  <si>
    <t>The take-off is powerful and clean, earning a sub-score of 9,6,</t>
  </si>
  <si>
    <t>The diver performs a series of flips with high rotation and a smooth flight path, earning a sub-score of 9,5,</t>
  </si>
  <si>
    <t>The diver's entry is clean and precise, earning a sub-score of 9,4,</t>
  </si>
  <si>
    <t>The diver's approach is steady and controlled, contributing to a high score,</t>
  </si>
  <si>
    <t>The diver performs a series of flips in the air with a smooth and controlled flight path, leading to a high score,</t>
  </si>
  <si>
    <t>The diver's entry is clean and precise, but the large splash reduces the score,</t>
  </si>
  <si>
    <t>The diver's starting position is excellent, with a well-executed tuck and proper alignment, earning a sub-score of 9,0,</t>
  </si>
  <si>
    <t>The diver's approach is smooth and consistent, with a steady pace and straight line towards the diving board, earning a sub-score of 9,0,</t>
  </si>
  <si>
    <t>The diver takes off with a strong and controlled push, maintaining a clean take-off, earning a sub-score of 9,0,</t>
  </si>
  <si>
    <t>The diver performs multiple flips in the air with a streamlined body position, earning a sub-score of 9,0,</t>
  </si>
  <si>
    <t>The diver's entry is clean but creates a large splash, which slightly reduces the score, earning a sub-score of 7,0,</t>
  </si>
  <si>
    <t>The diver performs a series of flips with a smooth and controlled flight path, earning a high score,</t>
  </si>
  <si>
    <t>The diver's entry is clean but creates a large splash, which slightly reduces the score,</t>
  </si>
  <si>
    <t>The diver performs a series of flips in the air with a streamlined position, earning a sub-score of 9,0,</t>
  </si>
  <si>
    <t>The diver's starting position was excellent, with a well-executed tuck and proper alignment, earning a sub-score of 9,0,</t>
  </si>
  <si>
    <t>The diver approached the diving board with a steady and straight approach, receiving a sub-score of 9,0,</t>
  </si>
  <si>
    <t>The diver took off from the diving board with a clean and powerful movement, achieving a sub-score of 9,0,</t>
  </si>
  <si>
    <t>The diver performed a series of flips with a high degree of rotation and a straight flight path, earning a sub-score of 9,0,</t>
  </si>
  <si>
    <t>The diver entered the water with a clean and symmetric splash, receiving a sub-score of 9,0,</t>
  </si>
  <si>
    <t>The diver's starting position was correct with proper stance and alignment, earning a sub-score of 9,0,</t>
  </si>
  <si>
    <t>The diver took off with both feet and extended his arms, performing a clean takeoff, earning a sub-score of 9,0,</t>
  </si>
  <si>
    <t>The diver executed a series of flips in the air with a streamlined position, earning a sub-score of 9,0,</t>
  </si>
  <si>
    <t>The diver entered the water with a tuck position but created a small splash, which slightly reduced the score, earning a sub-score of 8,0,</t>
  </si>
  <si>
    <t>The diver is in a tuck position at the start, which is a good starting position, The sub-score is 9,0,</t>
  </si>
  <si>
    <t>The diver approaches the diving board with a straight leg and a smooth approach, The sub-score is 9,0,</t>
  </si>
  <si>
    <t>The diver takes off with a strong push and a clean take-off, The sub-score is 9,0,</t>
  </si>
  <si>
    <t>The diver performs a clean and controlled flight with a tucked position throughout, The sub-score is 9,0,</t>
  </si>
  <si>
    <t>The diver enters the water with a clean splash and a precise entry, The sub-score is 9,0,</t>
  </si>
  <si>
    <t>The diver's approach was steady and controlled, leading to a high sub-score,</t>
  </si>
  <si>
    <t>The diver's take-off was clean and powerful, resulting in a high sub-score,</t>
  </si>
  <si>
    <t>The diver performed a series of flips with good body control, earning a high sub-score,</t>
  </si>
  <si>
    <t>The diver entered the water with a clean splash and minimal splash, achieving a high sub-score,</t>
  </si>
  <si>
    <t>The take-off was clean and powerful, with minimal wobble, resulting in a sub-score of 9,0,</t>
  </si>
  <si>
    <t>The diver performed a series of controlled flips with a streamlined body position, earning a sub-score of 9,0,</t>
  </si>
  <si>
    <t>The entry was clean and smooth, causing minimal disturbance in the water, resulting in a sub-score of 9,0,</t>
  </si>
  <si>
    <t>The diver's starting position was excellent, with a straight and aligned posture, earning a sub-score of 9,0,</t>
  </si>
  <si>
    <t>The diver walked towards the end of the diving board with a steady pace and balance, receiving a sub-score of 9,0,</t>
  </si>
  <si>
    <t>The diver's take-off was strong and controlled, with a clean and precise movement, earning a sub-score of 9,0,</t>
  </si>
  <si>
    <t>The diver performed a series of flips in the air with a streamlined body position, receiving a sub-score of 9,0,</t>
  </si>
  <si>
    <t>The diver entered the water with a clean and controlled entry, with minimal splash, earning a sub-score of 9,0,</t>
  </si>
  <si>
    <t>The diver maintains a balanced and poised starting position, earning a high score,</t>
  </si>
  <si>
    <t>The diver's approach is smooth and steady, contributing to a high score,</t>
  </si>
  <si>
    <t>The take-off is clean and powerful, resulting in a high score,</t>
  </si>
  <si>
    <t>The diver executes a series of flips with precision and control, leading to a high score,</t>
  </si>
  <si>
    <t>The diver enters the water cleanly and precisely, achieving a high score,</t>
  </si>
  <si>
    <t>The diver's starting position is excellent, with a balanced stance and proper foot placement, earning a sub-score of 9,0,</t>
  </si>
  <si>
    <t>The diver's approach is smooth and steady, contributing to a sub-score of 9,0,</t>
  </si>
  <si>
    <t>The diver's take-off is powerful and controlled, resulting in a sub-score of 9,0,</t>
  </si>
  <si>
    <t>The diver's entry is clean but slightly disturbed by a small splash, leading to a sub-score of 8,0,</t>
  </si>
  <si>
    <t>The diver maintains a strong and stable handstand position, contributing to a high sub-score,</t>
  </si>
  <si>
    <t>The diver demonstrates good control and balance during the approach, leading to a high score,</t>
  </si>
  <si>
    <t>The take-off is executed with precision and power, resulting in a high sub-score,</t>
  </si>
  <si>
    <t>The diver performs a series of well-controlled flips, indicating a high level of skill and technique, which results in a high sub-score,</t>
  </si>
  <si>
    <t>The diver enters the water cleanly but creates a small splash, which slightly reduces the score,</t>
  </si>
  <si>
    <t>The diver's take-off is powerful and precise, resulting in a high score,</t>
  </si>
  <si>
    <t>The diver's starting position is excellent, with a straight and aligned body, earning a sub-score of 9,0,</t>
  </si>
  <si>
    <t>The diver approaches the diving board with a steady and straight approach, receiving a sub-score of 9,0,</t>
  </si>
  <si>
    <t>The diver takes off from the diving board with a clean and powerful movement, earning a sub-score of 9,0,</t>
  </si>
  <si>
    <t>The diver performs a series of flips in the air with a straight body, receiving a sub-score of 9,0,</t>
  </si>
  <si>
    <t>The diver enters the water with a clean and smooth splash, earning a sub-score of 9,0,</t>
  </si>
  <si>
    <t>The diver's approach is smooth and controlled, contributing to a sub-score of 9,0,</t>
  </si>
  <si>
    <t>The diver's take-off is strong and clean, resulting in a sub-score of 9,0,</t>
  </si>
  <si>
    <t>The diver performs a series of flips with a streamlined position, achieving a sub-score of 9,0,</t>
  </si>
  <si>
    <t>The diver's entry is forceful but not perfectly controlled, leading to a sub-score of 7,0,</t>
  </si>
  <si>
    <t>The diver's approach is steady and controlled, leading to a high sub-score,</t>
  </si>
  <si>
    <t>The diver performs a series of flips with a streamlined body position, earning a high sub-score,</t>
  </si>
  <si>
    <t>The diver maintains a balanced and ready posture, contributing to a high sub-score of 9,0,</t>
  </si>
  <si>
    <t>The take-off is smooth and controlled, leading to a sub-score of 9,0,</t>
  </si>
  <si>
    <t>The diver executes a series of flips with good technique, earning a sub-score of 9,0,</t>
  </si>
  <si>
    <t>The diver enters the water cleanly and successfully, achieving a sub-score of 9,0,</t>
  </si>
  <si>
    <t>The diver's starting position is excellent, with proper alignment and a strong take-off,</t>
  </si>
  <si>
    <t>The diver's approach is smooth and consistent, leading to a clean take-off,</t>
  </si>
  <si>
    <t>The diver's take-off is strong and controlled, resulting in a clean flight,</t>
  </si>
  <si>
    <t>The diver performs a series of flips with good form and control, maintaining a streamlined body position,</t>
  </si>
  <si>
    <t>The diver's entry is clean but creates a large splash due to the force of impact,</t>
  </si>
  <si>
    <t>The diver is in a good starting position with proper alignment and posture, earning a high score,</t>
  </si>
  <si>
    <t>The diver approaches the edge of the diving board with a straight body and steady pace, receiving a high score,</t>
  </si>
  <si>
    <t>The diver takes off from the diving board with a clean jump and powerful control, resulting in a high score,</t>
  </si>
  <si>
    <t>The diver performs a series of flips in the air with a tucked position, indicating a high score,</t>
  </si>
  <si>
    <t>The diver enters the water with a splash, but the entry is not perfectly aligned with the pool surface, leading to a slightly lower score,</t>
  </si>
  <si>
    <t>The diver's starting position was good, with a straight and aligned posture, earning a sub-score of 9,0,</t>
  </si>
  <si>
    <t>The diver took off with a slight bend in his knees and extended his arms forward, resulting in a well-executed take-off, earning a sub-score of 9,0,</t>
  </si>
  <si>
    <t>The diver performed a backward somersault in the air with a tucked position, indicating a well-executed flight, earning a sub-score of 9,0,</t>
  </si>
  <si>
    <t>The diver entered the water with a small splash but landed on his back, which resulted in a slightly lower entry score of 8,0,</t>
  </si>
  <si>
    <t>The diver's starting position is excellent, with proper alignment and extension, earning a sub-score of 9,0,</t>
  </si>
  <si>
    <t>The diver's approach is steady and balanced, resulting in a sub-score of 9,0,</t>
  </si>
  <si>
    <t>The diver performs a series of flips with a streamlined body position, achieving a sub-score of 9,0,</t>
  </si>
  <si>
    <t>The diver's entry is smooth but creates a large splash, leading to a sub-score of 7,0,</t>
  </si>
  <si>
    <t>The diver's starting position was correct, with proper alignment and stance, earning a sub-score of 9,0,</t>
  </si>
  <si>
    <t>The diver jumped off the diving board with both feet, extending his arms correctly, resulting in a sub-score of 9,0,</t>
  </si>
  <si>
    <t>The diver performed a series of flips in the air, maintaining a streamlined position, which earned a sub-score of 9,0,</t>
  </si>
  <si>
    <t>The diver entered the water with a slight splash but landed on his back, earning a sub-score of 8,0,</t>
  </si>
  <si>
    <t>The diver approached the diving board smoothly and consistently, receiving a sub-score of 9,0,</t>
  </si>
  <si>
    <t>The take-off was clean and powerful, with minimal delay, resulting in a sub-score of 9,0,</t>
  </si>
  <si>
    <t>The diver performed a well-executed somersault with a tucked position, achieving a sub-score of 9,0,</t>
  </si>
  <si>
    <t>The entry was clean and symmetric, with a controlled splash, earning a sub-score of 9,0,</t>
  </si>
  <si>
    <t>The diver maintains a balanced and straight posture at the starting position, earning a sub-score of 9,0,</t>
  </si>
  <si>
    <t>The diver approaches the diving board with a steady and controlled pace, receiving a sub-score of 9,0,</t>
  </si>
  <si>
    <t>The diver performs a series of flips in the air with a high degree of rotation and remains streamlined, earning a sub-score of 9,0,</t>
  </si>
  <si>
    <t>The diver enters the water with a clean splash and is fully submerged, resulting in a sub-score of 9,0,</t>
  </si>
  <si>
    <t>The diver takes off from the diving board with a clean and powerful movement, leading to a high sub-score,</t>
  </si>
  <si>
    <t>The diver performs a series of flips in the air with a tucked position, maintaining a streamlined body shape, which results in a high sub-score,</t>
  </si>
  <si>
    <t>The diver enters the water with a clean splash, indicating a high sub-score,</t>
  </si>
  <si>
    <t>The diver maintains a straight and balanced position on the edge of the diving board, earning a high score,</t>
  </si>
  <si>
    <t>The diver walks steadily towards the diving board, earning a good score,</t>
  </si>
  <si>
    <t>The diver takes off with both feet, but there is a slight rotation, resulting in a moderate score,</t>
  </si>
  <si>
    <t>The diver performs a slight rotation during the flight, resulting in a moderate score,</t>
  </si>
  <si>
    <t>The diver enters the water with a splash, but there is a slight rotation, resulting in a moderate score,</t>
  </si>
  <si>
    <t>The diver's approach is smooth and well-executed, maintaining balance, which results in a sub-score of 9,0,</t>
  </si>
  <si>
    <t>The take-off is clean and powerful, with minimal wobble, leading to a sub-score of 9,0,</t>
  </si>
  <si>
    <t>The diver performs a series of controlled flips with a streamlined body position, achieving a sub-score of 9,0,</t>
  </si>
  <si>
    <t>The entry is clean and symmetric, causing minimal disturbance in the water, resulting in a sub-score of 9,0,</t>
  </si>
  <si>
    <t>The diver's starting position is balanced and controlled, contributing to a high sub-score,</t>
  </si>
  <si>
    <t>The diver's take-off is strong and precise, resulting in a high sub-score,</t>
  </si>
  <si>
    <t>The diver's flight is clean and controlled, with a straight body position, earning a high sub-score,</t>
  </si>
  <si>
    <t>The diver's entry is clean and precise, with a controlled splash, contributing to a high sub-score,</t>
  </si>
  <si>
    <t>The diver's balanced and controlled posture on the diving board contributes to a high-quality execution,,A steady approach towards the edge of the board indicates good technique and confidence,</t>
  </si>
  <si>
    <t>The clean and powerful take-off demonstrates strong athletic ability and proper timing,</t>
  </si>
  <si>
    <t>The diver's series of flips and streamlined body position during the flight showcase excellent form and control,</t>
  </si>
  <si>
    <t>The clean splash and minimal disturbance in the water upon impact highlight the diver's precision and skill,</t>
  </si>
  <si>
    <t>The diver maintains a balanced and controlled starting position with arms outstretched, earning a high score,</t>
  </si>
  <si>
    <t>The take-off is executed with precision, resulting in a high score,</t>
  </si>
  <si>
    <t>The diver performs a series of flips with excellent control and symmetry, leading to a high score,</t>
  </si>
  <si>
    <t>The diver enters the water cleanly and precisely, earning a high score,</t>
  </si>
  <si>
    <t>The diver is in a ready position with his arms extended forward and his body aligned with the diving board, resulting in a high sub-score of 9,0,</t>
  </si>
  <si>
    <t>The diver approaches the diving board with a smooth motion and maintains a steady pace, earning a sub-score of 9,0,</t>
  </si>
  <si>
    <t>The diver takes off from the diving board with a clean and powerful movement, maintaining synchronization with the board's edge, resulting in a sub-score of 9,0,</t>
  </si>
  <si>
    <t>The diver performs a series of flips in the air with controlled rotation and a streamlined body, achieving a sub-score of 9,0,</t>
  </si>
  <si>
    <t>The diver enters the water with a clean and vertical splash, resulting in a sub-score of 9,0,</t>
  </si>
  <si>
    <t>The diver maintains a proper tuck position and alignment with the diving board, earning a high score,</t>
  </si>
  <si>
    <t>The diver's approach is consistent and straight, contributing to a high score,</t>
  </si>
  <si>
    <t>The take-off is clean and smooth, indicating good technique and control, resulting in a high score,</t>
  </si>
  <si>
    <t>The diver executes a series of flips with precision, showcasing excellent form and control, leading to a high score,</t>
  </si>
  <si>
    <t>The diver enters the water cleanly and vertically, with no visible defects, resulting in a high score,</t>
  </si>
  <si>
    <t>The diver's starting position was upright and balanced, contributing to a high score of 9,0,</t>
  </si>
  <si>
    <t>The diver's approach was steady and controlled, resulting in a sub-score of 9,0,</t>
  </si>
  <si>
    <t>The diver's take-off was clean and precise, earning a sub-score of 9,0,</t>
  </si>
  <si>
    <t>The diver performed a series of flips in the air with a straight body position, achieving a sub-score of 9,0,</t>
  </si>
  <si>
    <t>The diver's entry was smooth and controlled, but created a small splash, leading to a sub-score of 8,0,</t>
  </si>
  <si>
    <t>The diver's approach was smooth and consistent, resulting in a high sub-score,</t>
  </si>
  <si>
    <t>The diver's take-off was strong and explosive, leading to a high sub-score,</t>
  </si>
  <si>
    <t>The diver performed a series of flips with high rotation and maintained a straight body position, earning a high sub-score,</t>
  </si>
  <si>
    <t>The diver's entry was clean and controlled, creating a small splash, which resulted in a high sub-score,</t>
  </si>
  <si>
    <t>The diver takes off from the diving board with a clean and powerful movement, maintaining synchronization with the board, which results in a sub-score of 9,0,</t>
  </si>
  <si>
    <t>The diver performs a well-executed somersault in the air and maintains a streamlined body position during the flight, leading to a sub-score of 9,0,</t>
  </si>
  <si>
    <t>The diver enters the water with a clean splash and has a symmetric and controlled entry, resulting in a sub-score of 9,0,</t>
  </si>
  <si>
    <t>The diver's starting position is balanced and stable, contributing to a high sub-score,</t>
  </si>
  <si>
    <t>The diver takes off smoothly and controlled, leading to a high sub-score,</t>
  </si>
  <si>
    <t>The diver's entry is clean and controlled, but the large splash reduces the score slightly,</t>
  </si>
  <si>
    <t>The diver's starting position is excellent, with a balanced and upright posture, earning a sub-score of 9,0,</t>
  </si>
  <si>
    <t>The take-off is clean and powerful, resulting in a sub-score of 9,0,</t>
  </si>
  <si>
    <t>The diver performs a series of flips with a streamlined body, achieving a sub-score of 9,0,</t>
  </si>
  <si>
    <t>The diver's approach is steady and balanced, resulting in a high sub-score,</t>
  </si>
  <si>
    <t>The diver's take-off is powerful and controlled, leading to a high sub-score,</t>
  </si>
  <si>
    <t>The diver performs a series of flips in the air with a streamlined body position, earning a high sub-score,</t>
  </si>
  <si>
    <t>The diver's entry is smooth but creates a large splash, which slightly lowers the sub-score,</t>
  </si>
  <si>
    <t>The diver maintains an upright and balanced posture, earning a high score,</t>
  </si>
  <si>
    <t>The diver enters the water cleanly but with a slight splash, which affects the score,</t>
  </si>
  <si>
    <t>The diver's starting position is upright and stable, contributing to a high sub-score,</t>
  </si>
  <si>
    <t>The diver's take-off is powerful and precise, leading to a high sub-score,</t>
  </si>
  <si>
    <t>The diver performs a series of flips in the air with a streamlined position, earning a high sub-score,</t>
  </si>
  <si>
    <t>The diver's entry is vertical and symmetric, contributing to a high sub-score,</t>
  </si>
  <si>
    <t>The diver jumped off the diving board with both feet, extending his arms upwards and slightly back, resulting in a sub-score of 9,0,</t>
  </si>
  <si>
    <t>The diver performed a series of flips in the air with a streamlined position, earning a sub-score of 9,0,</t>
  </si>
  <si>
    <t>The diver entered the water with a tucked position, creating a small splash, which resulted in a sub-score of 8,0,</t>
  </si>
  <si>
    <t>The clean and powerful take-off demonstrates excellent timing and strength,</t>
  </si>
  <si>
    <t>The diver's precise flips and streamlined body position during the flight showcase exceptional skill,</t>
  </si>
  <si>
    <t>The clean splash and minimal water disturbance upon entry highlight the diver's mastery of the technique,</t>
  </si>
  <si>
    <t>The diver's starting position is excellent, with a close proximity to the diving board and a tuck position,</t>
  </si>
  <si>
    <t>The diver's approach is steady and controlled, earning a high score,</t>
  </si>
  <si>
    <t>The diver takes off with a strong push from the diving board, resulting in a clean and precise take-off,</t>
  </si>
  <si>
    <t>The diver performs a well-executed somersault with a straight body, indicating good technique,</t>
  </si>
  <si>
    <t>The diver enters the water with a clean splash, but the entry could have been more streamlined,</t>
  </si>
  <si>
    <t>The diver approached the diving board smoothly and maintained a straight line, receiving a sub-score of 9,0,</t>
  </si>
  <si>
    <t>The diver took off with a clean and powerful movement, with a fully extended body, resulting in a sub-score of 9,0,</t>
  </si>
  <si>
    <t>The diver performed a series of flips with controlled rotation and remained streamlined, earning a sub-score of 9,0,</t>
  </si>
  <si>
    <t>The diver entered the water cleanly but created a small splash, which slightly reduced the score, leading to a sub-score of 8,0,</t>
  </si>
  <si>
    <t>The diver performs a series of flips with a straight and controlled body, leading to a high score,</t>
  </si>
  <si>
    <t>The diver performs a series of flips in the air with a streamlined body position (sub-score: 9,0),</t>
  </si>
  <si>
    <t>The diver's entry is clean and controlled, but the large splash detracts slightly from the overall score (sub-score: 7,0),</t>
  </si>
  <si>
    <t>The diver's starting position was correct, with proper alignment and balance, earning a sub-score of 9,0,</t>
  </si>
  <si>
    <t>The diver took off with a slight bend in his knees and extended his arms, which resulted in a smooth take-off, earning a sub-score of 9,0,</t>
  </si>
  <si>
    <t>The diver performed a series of flips in the air with a streamlined position, which earned a sub-score of 9,0,</t>
  </si>
  <si>
    <t>The diver entered the water with a slight splash but maintained a tucked position, resulting in a sub-score of 8,0,</t>
  </si>
  <si>
    <t>The diver is in a standing position on the diving board, which is a good starting position,</t>
  </si>
  <si>
    <t>The diver approaches the diving board with a straight body, indicating a good approach,</t>
  </si>
  <si>
    <t>The diver takes off from the diving board with a clean jump, which is a good take-off,</t>
  </si>
  <si>
    <t>The diver performs a clean and controlled flight through the air, which is a good flight,</t>
  </si>
  <si>
    <t>The diver enters the water with a clean and controlled entry, but there is a small splash upon entry,</t>
  </si>
  <si>
    <t>The diver performed a series of flips with a tucked position and maintained a streamlined body shape, earning a high sub-score,</t>
  </si>
  <si>
    <t>The diver maintains a balanced and controlled posture at the starting position, earning a high score,</t>
  </si>
  <si>
    <t>The diver performs a series of flips in the air with a straight and controlled flight path, earning a high score,</t>
  </si>
  <si>
    <t>The diver maintains an upright posture with arms raised, contributing to a high sub-score,</t>
  </si>
  <si>
    <t>The diver runs smoothly towards the diving board, resulting in a high sub-score,</t>
  </si>
  <si>
    <t>The diver takes off with a clean jump, indicating a high sub-score,</t>
  </si>
  <si>
    <t>The diver performs a series of flips in the air with a straight and well-controlled flight path, leading to a high sub-score,</t>
  </si>
  <si>
    <t>The diver enters the water cleanly but creates a large splash, which slightly reduces the score,</t>
  </si>
  <si>
    <t>The diver walked towards the diving board with a steady pace and maintained a straight posture, receiving a sub-score of 9,0,</t>
  </si>
  <si>
    <t>The diver's take-off was clean and well-executed, with a straight and aligned body, resulting in a sub-score of 9,0,</t>
  </si>
  <si>
    <t>The diver performed a well-executed somersault in the air with a straight and aligned body, earning a sub-score of 9,0,</t>
  </si>
  <si>
    <t>The diver entered the water with a clean entry and minimal splash, achieving a sub-score of 9,0,</t>
  </si>
  <si>
    <t>The diver took off with both feet and extended his arms, performing a clean take-off, earning a sub-score of 9,0,</t>
  </si>
  <si>
    <t>The diver executed a series of flips in the air, maintaining a streamlined position, which earned a sub-score of 9,0,</t>
  </si>
  <si>
    <t>The diver entered the water with a large splash, which slightly reduced the score, earning a sub-score of 7,0,</t>
  </si>
  <si>
    <t>The diver's starting position was good, with proper stance and relaxed arms, earning a sub-score of 9,0,</t>
  </si>
  <si>
    <t>The diver walked steadily towards the end of the diving board, maintaining a good posture, receiving a sub-score of 9,0,</t>
  </si>
  <si>
    <t>The diver jumped off the diving board with both feet and extended his body forward, achieving a sub-score of 9,0,</t>
  </si>
  <si>
    <t>The diver performed a tuck in the air with a straight body, earning a sub-score of 9,0,</t>
  </si>
  <si>
    <t>The diver entered the water with a small splash, landing on his back, which resulted in a sub-score of 8,0,</t>
  </si>
  <si>
    <t>The diver approached the diving board smoothly and steadily, receiving a sub-score of 9,0,</t>
  </si>
  <si>
    <t>The diver took off from the board with a clean and powerful movement, achieving a sub-score of 9,0,</t>
  </si>
  <si>
    <t>The diver performed a series of flips in the air with a streamlined body position, earning a sub-score of 9,0,</t>
  </si>
  <si>
    <t>The diver entered the water with a clean and vertical splash, receiving a sub-score of 9,0,</t>
  </si>
  <si>
    <t>The diver's entry is clean but creates a large splash, which slightly reduces the score to 7,0,</t>
  </si>
  <si>
    <t>The diver's starting position is upright and balanced, contributing to a high score,</t>
  </si>
  <si>
    <t>The diver's approach is steady and controlled, resulting in a high score,</t>
  </si>
  <si>
    <t>The diver's take-off is clean and precise, leading to a high score,</t>
  </si>
  <si>
    <t>The diver performs a series of flips in the air with a straight body position, earning a high score,</t>
  </si>
  <si>
    <t>The diver maintains a balanced and controlled posture with arms outstretched, earning a high score,</t>
  </si>
  <si>
    <t>The diver approaches the edge of the diving board smoothly and steadily, receiving a high score,</t>
  </si>
  <si>
    <t>The diver takes off from the diving board with a clean and powerful movement, achieving a high score,</t>
  </si>
  <si>
    <t>The diver performs a series of flips in the air with a straight body line, earning a high score,</t>
  </si>
  <si>
    <t>The diver enters the water with a clean splash, creating a small splash, resulting in a high score,</t>
  </si>
  <si>
    <t>The diver's starting position was excellent, with a tuck position and a straight body alignment, earning a sub-score of 9,0,</t>
  </si>
  <si>
    <t>The diver's approach was smooth and consistent with the starting position, earning a sub-score of 9,0,</t>
  </si>
  <si>
    <t>The diver took off from the diving board with a clean and powerful movement, consistent with the approach, earning a sub-score of 9,0,</t>
  </si>
  <si>
    <t>The diver performed a clean and controlled flight, consistent with the take-off, earning a sub-score of 9,0,</t>
  </si>
  <si>
    <t>The diver entered the water with a clean and controlled entry, but created a small splash, which slightly reduced the score, earning a sub-score of 8,0,</t>
  </si>
  <si>
    <t>The diver's take-off is powerful and clean, resulting in a high sub-score,</t>
  </si>
  <si>
    <t>The diver performs a series of flips in a streamlined manner, earning a high sub-score,</t>
  </si>
  <si>
    <t>The diver's entry is forceful but not perfectly controlled, leading to a lower sub-score,</t>
  </si>
  <si>
    <t>The diver maintains a straight and balanced posture with arms raised above his head, earning a sub-score of 9,0,</t>
  </si>
  <si>
    <t>The diver's approach is smooth and controlled, receiving a sub-score of 9,0,</t>
  </si>
  <si>
    <t>The take-off is clean and powerful, with a sub-score of 9,0,</t>
  </si>
  <si>
    <t>The diver performs a series of flips with grace and symmetry, earning a sub-score of 9,0,</t>
  </si>
  <si>
    <t>The diver enters the water cleanly and symmetrically, achieving a sub-score of 9,0,</t>
  </si>
  <si>
    <t>The diver maintains a balanced and straight posture, earning a high score,</t>
  </si>
  <si>
    <t>The diver is in a tuck position at the starting point, which is a good starting position,</t>
  </si>
  <si>
    <t>The diver approaches the board with a straight body, indicating a good approach,</t>
  </si>
  <si>
    <t>The diver takes off with a clean and powerful movement, indicating a good take-off,</t>
  </si>
  <si>
    <t>The diver performs a clean and controlled flight with a tucked position, indicating a good flight,</t>
  </si>
  <si>
    <t>The diver enters the water with a clean entry and minimal splash, indicating a good entry,</t>
  </si>
  <si>
    <t>The diver's approach was smooth and controlled, resulting in a high sub-score,</t>
  </si>
  <si>
    <t>The diver took off from the diving board with a clean and powerful movement, leading to a high sub-score,</t>
  </si>
  <si>
    <t>The diver performed a clean and graceful flight through the air, maintaining a streamlined position, which resulted in a high sub-score,</t>
  </si>
  <si>
    <t>The diver entered the water with a clean and controlled entry, creating minimal splash, contributing to a high sub-score,</t>
  </si>
  <si>
    <t>The diver takes off from the diving board with a clean and powerful movement (sub-score: 9,0),</t>
  </si>
  <si>
    <t>The diver performs a series of flips in the air with a tucked position (sub-score: 9,0),</t>
  </si>
  <si>
    <t>The diver's take-off is strong and clean, earning a sub-score of 9,0,</t>
  </si>
  <si>
    <t>The diver performs a series of flips with a straight body position, receiving a sub-score of 9,0,</t>
  </si>
  <si>
    <t>The diver's entry is forceful but not perfectly clean due to a splash, earning a sub-score of 7,0,</t>
  </si>
  <si>
    <t>The diver executed a series of flips in the air with a streamlined position, indicating good technique, earning a sub-score of 9,0,</t>
  </si>
  <si>
    <t>The diver entered the water with a tuck position and minimal splash, indicating a successful entry, earning a sub-score of 9,0,</t>
  </si>
  <si>
    <t>The diver maintains a straight posture with arms raised, indicating good form; sub-score: 9,0</t>
  </si>
  <si>
    <t>The diver walks steadily towards the edge, showing control and balance; sub-score: 9,0</t>
  </si>
  <si>
    <t>The diver's jump is clean and well-timed, indicating a strong take-off; sub-score: 9,0</t>
  </si>
  <si>
    <t>The diver performs a forward somersault with a straight body, demonstrating excellent technique; sub-score: 9,0</t>
  </si>
  <si>
    <t>The diver enters the water cleanly with minimal splash, indicating a successful landing; sub-score: 9,0</t>
  </si>
  <si>
    <t>The diver's approach is smooth and consistent, leading to a high sub-score,</t>
  </si>
  <si>
    <t>The diver's take-off is powerful and controlled, resulting in a high sub-score,</t>
  </si>
  <si>
    <t>The diver performs a series of flips with good form, earning a high sub-score,</t>
  </si>
  <si>
    <t>The diver's entry is forceful but not perfectly aligned with the pool's surface, leading to a lower sub-score,</t>
  </si>
  <si>
    <t>The diver's balanced and controlled posture on the edge of the diving board contributes to a high sub-score,,A steady approach towards the edge of the board results in a high sub-score,</t>
  </si>
  <si>
    <t>The diver's clean and powerful take-off is executed well, leading to a high sub-score,</t>
  </si>
  <si>
    <t>The diver's series of flips in the air with a high degree of rotation and streamlined body position result in a high sub-score,</t>
  </si>
  <si>
    <t>The diver's clean splash into the water with minimal disturbance indicates a high sub-score,</t>
  </si>
  <si>
    <t>The diver's starting position was correct, with a straight body and proper alignment with the diving board, earning a sub-score of 9,0,</t>
  </si>
  <si>
    <t>The diver walked steadily towards the diving board, indicating good control and balance, resulting in a sub-score of 8,0,</t>
  </si>
  <si>
    <t>The diver took off with both feet, maintaining a straight body, which contributed to a sub-score of 9,0,</t>
  </si>
  <si>
    <t>The diver performed a backward somersault with a tucked position, demonstrating excellent technique and control, leading to a sub-score of 9,0,</t>
  </si>
  <si>
    <t>The diver entered the water with a straight body and minimal splash, indicating a successful landing, which earned a sub-score of 9,0,</t>
  </si>
  <si>
    <t>The diver's starting position was well-executed with proper alignment and balance, earning a high score,</t>
  </si>
  <si>
    <t>The diver walked confidently towards the end of the diving board, maintaining good form and balance, receiving a high score,</t>
  </si>
  <si>
    <t>The diver took off with both feet, extending his arms, which resulted in a clean and powerful takeoff, earning a high score,</t>
  </si>
  <si>
    <t>The diver performed multiple flips in the air with a streamlined position, indicating excellent technique and control, receiving a high score,</t>
  </si>
  <si>
    <t>The diver entered the water with a tucked position but had a slightly larger splash than ideal, resulting in a minor deduction,</t>
  </si>
  <si>
    <t>The diver's starting position was excellent, with a well-executed tuck and proper alignment with the diving board (sub-score: 9,0),</t>
  </si>
  <si>
    <t>The diver approached the diving board with a steady pace and maintained a straight line towards it (sub-score: 9,0),</t>
  </si>
  <si>
    <t>The diver took off from the diving board with a strong push and a clean take-off (sub-score: 9,0),</t>
  </si>
  <si>
    <t>The diver performed a series of flips in the air and maintained a streamlined body position during the flight (sub-score: 9,0),</t>
  </si>
  <si>
    <t>The diver's entry was clean and controlled, but created a large splash due to the force of impact (sub-score: 7,0),</t>
  </si>
  <si>
    <t>The diver's take-off is clean and powerful, resulting in a high score,</t>
  </si>
  <si>
    <t>The diver performs a series of flips in the air with a smooth and controlled trajectory, earning a high score,</t>
  </si>
  <si>
    <t>The diver maintains an upright posture and stands with feet together, earning a high score,</t>
  </si>
  <si>
    <t>The diver's approach is smooth and straight, contributing to a high score,</t>
  </si>
  <si>
    <t>The diver takes off with a clean jump and powerful take-off, resulting in a high score,</t>
  </si>
  <si>
    <t>The diver performs a series of flips in the air with a controlled flight path, leading to a high score,</t>
  </si>
  <si>
    <t>The diver enters the water with a clean splash and precise entry, achieving a high score,</t>
  </si>
  <si>
    <t>The diver maintains a straight and aligned posture during the starting position, earning a high score,</t>
  </si>
  <si>
    <t>The diver's flight is graceful and well-executed, leading to a high score,</t>
  </si>
  <si>
    <t>The diver jumped off the diving board with both feet and extended his arms, performing a clean takeoff, earning a sub-score of 9,0,</t>
  </si>
  <si>
    <t>The diver executed a backward somersault with a tucked position, showing good technique, earning a sub-score of 9,0,</t>
  </si>
  <si>
    <t>The diver landed on his back but created a large splash, which slightly reduced the score, earning a sub-score of 7,0,</t>
  </si>
  <si>
    <t>The take-off was clean and powerful, with no wobble or hesitation, resulting in a sub-score of 9,0,</t>
  </si>
  <si>
    <t>The entry was clean and symmetric, causing minimal disturbance in the water, resulting in a sub-score of 9,0,</t>
  </si>
  <si>
    <t>The diver's starting position was characterized by a balanced and controlled posture, earning a sub-score of 9,0,</t>
  </si>
  <si>
    <t>The diver walked towards the edge of the diving board with a steady pace and balance, receiving a sub-score of 9,0,</t>
  </si>
  <si>
    <t>The diver's take-off was clean and his body remained straight, resulting in a sub-score of 9,0,</t>
  </si>
  <si>
    <t>The diver performed a series of flips in the air with his body remaining straight and arms extended, earning a sub-score of 9,0,</t>
  </si>
  <si>
    <t>The diver entered the water cleanly with minimal splash and a streamlined body upon impact, achieving a sub-score of 9,0,</t>
  </si>
  <si>
    <t>The diver maintains a good starting position with a tuck and extended arms, earning a high score,</t>
  </si>
  <si>
    <t>The take-off is strong and precise, resulting in a high score,</t>
  </si>
  <si>
    <t>The diver performs a series of flips in the air with a smooth flight path, earning a high score,</t>
  </si>
  <si>
    <t>The diver enters the water with a clean splash, but the score is slightly reduced due to the splash,</t>
  </si>
  <si>
    <t>The diver's starting position is well-balanced and controlled, contributing to a high score,</t>
  </si>
  <si>
    <t>The diver's approach is smooth and steady, indicating good technique and control,</t>
  </si>
  <si>
    <t>The diver's take-off is strong and clean, showing excellent execution,</t>
  </si>
  <si>
    <t>The diver's flight is characterized by multiple flips and a streamlined position, demonstrating skill and precision,</t>
  </si>
  <si>
    <t>The diver's entry is clean but not perfectly aligned with the pool's surface, resulting in a slightly lower score,</t>
  </si>
  <si>
    <t>The diver's starting position is excellent, with proper alignment and a strong tuck, Score: 9,0</t>
  </si>
  <si>
    <t>The diver approaches the diving board with a steady and straight approach, Score: 9,0</t>
  </si>
  <si>
    <t>The diver takes off with a strong and controlled push, Score: 9,0</t>
  </si>
  <si>
    <t>The diver performs multiple flips in the air with a straight body, Score: 9,0</t>
  </si>
  <si>
    <t>The diver's entry is clean but creates a large splash due to the force of impact, Score: 7,0</t>
  </si>
  <si>
    <t>The diver's starting position was good, with proper alignment and balance, earning a sub-score of 9,0,</t>
  </si>
  <si>
    <t>The diver took off with a slight bend in his knees and extended his arms, which resulted in a smooth take-off, earning a sub-score of 8,0,</t>
  </si>
  <si>
    <t>The diver performed a series of flips in the air with a tucked position, indicating a well-executed flight, earning a sub-score of 9,0,</t>
  </si>
  <si>
    <t>The diver entered the water with a small splash, which slightly reduced the score, earning a sub-score of 7,0,</t>
  </si>
  <si>
    <t>The diver's starting position is excellent, with a clean and balanced stance on the diving board,</t>
  </si>
  <si>
    <t>The diver's approach is smooth and controlled, leading to a clean take-off,</t>
  </si>
  <si>
    <t>The diver takes off from the diving board with a strong and clean jump,</t>
  </si>
  <si>
    <t>The diver's flight is executed with precision and control, showcasing a well-timed and graceful movement,</t>
  </si>
  <si>
    <t>The diver's entry into the water is clean, but the lack of a tuck entry results in a slight deduction,</t>
  </si>
  <si>
    <t>The diver walked steadily towards the diving board, indicating a controlled approach, which earned a sub-score of 8,0,</t>
  </si>
  <si>
    <t>The diver took off with both feet, maintaining a straight body, resulting in a sub-score of 9,0,</t>
  </si>
  <si>
    <t>The diver performed a backward somersault with a tucked position, achieving a sub-score of 9,0,</t>
  </si>
  <si>
    <t>The diver entered the water with a large splash, which detracted from the overall score, resulting in a sub-score of 6,0,</t>
  </si>
  <si>
    <t>The diver's entry is clean but results in a large splash, leading to a sub-score of 7,0,</t>
  </si>
  <si>
    <t>The diver's starting position is good as they are standing on the diving board with arms raised above head, which is worth 9,0,</t>
  </si>
  <si>
    <t>The diver approaches the diving board with a straight body, which is worth 9,0,</t>
  </si>
  <si>
    <t>The diver takes off from the diving board with a clean jump, which is worth 9,0,</t>
  </si>
  <si>
    <t>The diver performs a series of flips in the air, which is worth 8,0,</t>
  </si>
  <si>
    <t>The diver enters the water with a splash, which is worth 6,0,</t>
  </si>
  <si>
    <t>The diver's starting position was excellent, with a well-executed tuck and proper alignment with the diving board, earning a sub-score of 9,0,</t>
  </si>
  <si>
    <t>The diver approached the diving board with a straight body and maintained a steady pace, resulting in a sub-score of 9,0,</t>
  </si>
  <si>
    <t>The diver performed a clean and controlled flight with a tucked position, earning a sub-score of 9,0,</t>
  </si>
  <si>
    <t>The diver entered the water with a clean splash and a fully extended body, resulting in a sub-score of 9,0,</t>
  </si>
  <si>
    <t>The diver maintains a straight and aligned posture with arms raised, contributing to a high sub-score,</t>
  </si>
  <si>
    <t>The diver's smooth and consistent approach to the diving board results in a high sub-score,</t>
  </si>
  <si>
    <t>The clean and powerful take-off from the diving board is executed with precision, leading to a high sub-score,</t>
  </si>
  <si>
    <t>The diver performs a series of flips with high rotation and symmetry, resulting in a high sub-score,</t>
  </si>
  <si>
    <t>The diver enters the water with a clean and minimal splash, indicating a high sub-score,</t>
  </si>
  <si>
    <t>The diver's starting position is excellent, with a well-executed tuck and balanced alignment, earning a sub-score of 9,0,</t>
  </si>
  <si>
    <t>The diver's flight is graceful and controlled, with a tucked position and a straight line, earning a sub-score of 9,0,</t>
  </si>
  <si>
    <t>The diver's entry is clean but creates a large splash, which slightly reduces the score, resulting in a sub-score of 7,0,</t>
  </si>
  <si>
    <t>The diver's approach was smooth and consistent, leading to a high sub-score,</t>
  </si>
  <si>
    <t>The diver's take-off was strong and explosive, resulting in a high sub-score,</t>
  </si>
  <si>
    <t>The diver performed a series of flips with a high degree of rotation and maintained a straight body position, earning a high sub-score,</t>
  </si>
  <si>
    <t>The diver's entry was clean and controlled, creating a small splash, which contributed to a high sub-score,</t>
  </si>
  <si>
    <t>The diver's pike position and alignment with the diving board contribute to a high score,</t>
  </si>
  <si>
    <t>The steady and straight approach towards the diving board results in a high score,</t>
  </si>
  <si>
    <t>The clean and powerful take-off from the diving board is executed well, earning a high score,</t>
  </si>
  <si>
    <t>The triple somersaults performed by the diver are executed with a tucked position, resulting in a high score,</t>
  </si>
  <si>
    <t>The diver's clean and vertical entry into the water contributes to a high score,</t>
  </si>
  <si>
    <t>The diver is in a tuck position at the starting block, which is a good starting position,</t>
  </si>
  <si>
    <t>The diver approaches the edge of the platform with a straight body, indicating a good approach,</t>
  </si>
  <si>
    <t>The diver takes off with a strong push from the platform, indicating a good take-off,</t>
  </si>
  <si>
    <t>The diver enters the water with a clean splash and a tucked position, indicating a good entry,</t>
  </si>
  <si>
    <t>The diver's entry was clean and controlled, creating minimal splash, which contributed to a high sub-score,</t>
  </si>
  <si>
    <t>The diver's flight is smooth and controlled, leading to a high score,</t>
  </si>
  <si>
    <t>The diver's entry is forceful but not graceful due to the large splash, resulting in a lower score,</t>
  </si>
  <si>
    <t>The diver's starting position is excellent, with a well-executed tuck and vertical alignment, earning a sub-score of 9,0,</t>
  </si>
  <si>
    <t>The diver's approach is smooth and consistent, leading to a clean take-off, earning a sub-score of 9,0,</t>
  </si>
  <si>
    <t>The diver's take-off is strong and controlled, resulting in a clean flight, earning a sub-score of 9,0,</t>
  </si>
  <si>
    <t>The diver performs multiple flips with a straight body, indicating good technique, earning a sub-score of 9,0,</t>
  </si>
  <si>
    <t>The diver took off with both feet and extended his arms, showing good technique, earning a sub-score of 9,0,</t>
  </si>
  <si>
    <t>The diver performed a forward somersault with a tucked position, demonstrating good form, earning a sub-score of 9,0,</t>
  </si>
  <si>
    <t>The diver landed on his back but had a lack of precision in the entry point, resulting in a sub-score of 7,0,</t>
  </si>
  <si>
    <t>The diver's flight is clean and controlled, contributing to a high sub-score,</t>
  </si>
  <si>
    <t>The diver's entry is smooth and controlled, but the large splash detracts from the score,</t>
  </si>
  <si>
    <t>The diver maintains a straight and balanced posture on the diving board, earning a high score,</t>
  </si>
  <si>
    <t>The diver's take-off is strong and precise, resulting in a high score,</t>
  </si>
  <si>
    <t>The diver performs a clean and controlled tuck position in the air, earning a high score,</t>
  </si>
  <si>
    <t>The diver maintains a compact and aligned starting position, contributing to a high sub-score of 9,0,</t>
  </si>
  <si>
    <t>The diver's approach is straight and precise, resulting in a perfect score of 10,0,</t>
  </si>
  <si>
    <t>The take-off is clean and powerful, leading to a sub-score of 10,0,</t>
  </si>
  <si>
    <t>The diver executes a series of flips with precision, earning a sub-score of 9,0,</t>
  </si>
  <si>
    <t>The entry is smooth and clean, with no visible defects, resulting in a sub-score of 9,0,</t>
  </si>
  <si>
    <t>The diver's entry is forceful but not perfectly aligned, leading to a sub-score of 7,0,</t>
  </si>
  <si>
    <t>The diver maintains a good posture and balance while standing on the edge of the diving board, earning a high score,</t>
  </si>
  <si>
    <t>The diver walks steadily towards the diving board, indicating a controlled approach, hence a good score,</t>
  </si>
  <si>
    <t>The diver takes off with both feet, but there is a slight rotation in the take-off, which affects the score,</t>
  </si>
  <si>
    <t>The diver performs a backflip during the flight, but the flight path is slightly curved, impacting the score,</t>
  </si>
  <si>
    <t>The diver enters the water with a splash, but the entry is not perfectly vertical, resulting in a lower score,</t>
  </si>
  <si>
    <t>The diver maintains a balanced and controlled posture, earning a high score,</t>
  </si>
  <si>
    <t>The diver's flight path is straight and controlled, leading to a high score,</t>
  </si>
  <si>
    <t>The diver took off with a clean and powerful jump, resulting in a sub-score of 9,0,</t>
  </si>
  <si>
    <t>The diver performed a series of controlled flips with a streamlined body, achieving a sub-score of 9,0,</t>
  </si>
  <si>
    <t>The diver entered the water cleanly with a minimal splash, earning a sub-score of 9,0,</t>
  </si>
  <si>
    <t>The diver's starting position is excellent, with a well-executed tuck and proper alignment with the diving board, earning a sub-score of 9,0,</t>
  </si>
  <si>
    <t>The diver's approach is steady and straight, leading to a clean take-off, earning a sub-score of 9,0,</t>
  </si>
  <si>
    <t>The diver takes off with a powerful and smooth movement, maintaining control throughout, earning a sub-score of 9,0,</t>
  </si>
  <si>
    <t>The diver performs multiple flips with a streamlined body position, showcasing excellent technique, earning a sub-score of 9,0,</t>
  </si>
  <si>
    <t>The diver enters the water cleanly and symmetrically, with a controlled splash, earning a sub-score of 9,0,</t>
  </si>
  <si>
    <t>The diver's posture was slightly off from the ideal starting position, which slightly impacted the overall score, However, the execution of the approach, take-off, flight, and entry were excellent, resulting in a high-quality performance,</t>
  </si>
  <si>
    <t>The diver maintained a steady and controlled approach towards the diving board, contributing to a high-quality performance,</t>
  </si>
  <si>
    <t>The diver took off from the diving board with a clean and powerful motion, indicating a strong and well-executed take-off,</t>
  </si>
  <si>
    <t>The diver performed a clean and graceful flight through the air, maintaining a straight and well-controlled path,</t>
  </si>
  <si>
    <t>The diver entered the water with a clean and controlled entry, creating minimal splash and maintaining a vertical entry,</t>
  </si>
  <si>
    <t>The diver's starting position is good, but there is a slight defect in knee extension which slightly impacts the score,</t>
  </si>
  <si>
    <t>The diver's approach is smooth and well-executed, contributing to a high score,</t>
  </si>
  <si>
    <t>The take-off is strong and well-aligned, resulting in a high score,</t>
  </si>
  <si>
    <t>The diver's flight is clean and controlled, leading to a high score,</t>
  </si>
  <si>
    <t>The diver's entry is clean, but the small splash detracts from the score,</t>
  </si>
  <si>
    <t>The diver's flight path is smooth and controlled, leading to a high score,</t>
  </si>
  <si>
    <t>The diver's entry creates a large splash, indicating a lack of control during the entry, which results in a lower score,</t>
  </si>
  <si>
    <t>The take-off is executed with a clean and powerful movement, resulting in a high score,</t>
  </si>
  <si>
    <t>The diver performs a reverse 2Â½ somersault with a tucked position, demonstrating excellent form and control, leading to a high score,</t>
  </si>
  <si>
    <t>The diver's starting position is well-executed with proper alignment and balance, earning a high score,</t>
  </si>
  <si>
    <t>The diver's approach is smooth and controlled, contributing to a good score,</t>
  </si>
  <si>
    <t>The take-off is executed with precision and power, resulting in a high score,</t>
  </si>
  <si>
    <t>The diver's flight is characterized by multiple flips and a straight body, indicating a strong performance, hence a high score,</t>
  </si>
  <si>
    <t>The diver's entry is somewhat compromised by a large splash, which slightly lowers the score,</t>
  </si>
  <si>
    <t>The diver maintains a straight and aligned posture on the edge of the diving board, contributing to a high sub-score,</t>
  </si>
  <si>
    <t>The diver approaches the diving board with a steady and controlled pace, resulting in a high sub-score,</t>
  </si>
  <si>
    <t>The diver performs a series of flips in the air with a high degree of rotation and a streamlined body, earning a high sub-score,</t>
  </si>
  <si>
    <t>The diver enters the water with a clean splash and is fully submerged, indicating a high sub-score,</t>
  </si>
  <si>
    <t>The diver maintains a neutral and controlled starting position, contributing to a high sub-score of 9,0,</t>
  </si>
  <si>
    <t>The diver's steady and deliberate approach to the diving board results in a sub-score of 9,0,</t>
  </si>
  <si>
    <t>The diver's clean and powerful take-off demonstrates excellent technique, earning a sub-score of 9,0,</t>
  </si>
  <si>
    <t>The diver's smooth and controlled flight through the air, with a series of flips, results in a sub-score of 9,0,</t>
  </si>
  <si>
    <t>The diver's clean and precise entry into the water, with minimal splash, contributes to a sub-score of 9,0,</t>
  </si>
  <si>
    <t>The triple somersault performed by the diver is smooth and consistent, resulting in a high score,</t>
  </si>
  <si>
    <t>The diver's clean and smooth entry into the water contributes to a high score,</t>
  </si>
  <si>
    <t>The diver's starting position was excellent, with a straight and parallel stance on the edge of the diving board, earning a sub-score of 9,0,</t>
  </si>
  <si>
    <t>The diver approached the diving board with a steady and controlled pace, maintaining a straight posture, resulting in a sub-score of 9,0,</t>
  </si>
  <si>
    <t>The diver performed a well-executed somersault in the air, maintaining a tucked position, which earned a sub-score of 9,0,</t>
  </si>
  <si>
    <t>The diver entered the water with a clean splash, maintaining a streamlined entry, resulting in a sub-score of 9,0,</t>
  </si>
  <si>
    <t>The diver's starting position was excellent, with a straight and aligned body on the diving board, earning a sub-score of 9,0,</t>
  </si>
  <si>
    <t>The diver approached the diving board with a steady and straight posture, receiving a sub-score of 9,0,</t>
  </si>
  <si>
    <t>The diver took off from the diving board with a clean and powerful movement, earning a sub-score of 9,0,</t>
  </si>
  <si>
    <t>The diver performed a series of flips in the air with a tucked position and maintained a straight body line, earning a sub-score of 9,0,</t>
  </si>
  <si>
    <t>The diver entered the water with a clean splash, but created a small splash upon entry, resulting in a sub-score of 8,0,</t>
  </si>
  <si>
    <t>The diver's starting position is excellent, with a close proximity to the board and a tuck position, earning a high score,</t>
  </si>
  <si>
    <t>The diver's approach is smooth and controlled, resulting in a high score,</t>
  </si>
  <si>
    <t>The diver takes off with a strong push, leading to a high score,</t>
  </si>
  <si>
    <t>The diver performs a series of flips in the air, which is executed gracefully and well, earning a high score,</t>
  </si>
  <si>
    <t>The diver enters the water with a powerful splash, but the entry could have been cleaner, leading to a slightly lower score,</t>
  </si>
  <si>
    <t>The diver performs a series of flips in the air with a straight and well-controlled flight path, leading to a high score,</t>
  </si>
  <si>
    <t>The diver's entry is clean and straight, creating a small splash, which results in a high score,</t>
  </si>
  <si>
    <t>The diver approached the diving board smoothly and maintained a steady pace, receiving a sub-score of 9,0,</t>
  </si>
  <si>
    <t>The diver took off with a strong and explosive push, resulting in a clean and precise take-off, earning a sub-score of 9,0,</t>
  </si>
  <si>
    <t>The diver performed a series of flips with high rotation and remained streamlined throughout the flight, earning a sub-score of 9,0,</t>
  </si>
  <si>
    <t>The diver entered the water cleanly and with minimal splash, earning a sub-score of 9,0,</t>
  </si>
  <si>
    <t>The diver's flight is graceful and well-timed, leading to a high score,</t>
  </si>
  <si>
    <t>The diver's approach is smooth and consistent, receiving a sub-score of 9,0,</t>
  </si>
  <si>
    <t>The diver's take-off is strong and controlled, resulting in a sub-score of 9,0,</t>
  </si>
  <si>
    <t>The diver performs a series of flips with a streamlined body position, earning a sub-score of 8,5,</t>
  </si>
  <si>
    <t>The diver's entry is slightly off-center, causing a larger splash than ideal, leading to a sub-score of 7,5,</t>
  </si>
  <si>
    <t>The diver's double somersault is well-executed, leading to a high score,</t>
  </si>
  <si>
    <t>The diver's entry is forceful but not perfectly aligned with the pool surface, resulting in a lower score,</t>
  </si>
  <si>
    <t>The diver walked steadily towards the end of the diving board, maintaining an upright body, which earned a sub-score of 9,0,</t>
  </si>
  <si>
    <t>The diver jumped off the diving board with both feet extended, maintaining a tucked position, resulting in a sub-score of 9,0,</t>
  </si>
  <si>
    <t>The diver performed a backward somersault in the air with a tucked position, earning a sub-score of 9,0,</t>
  </si>
  <si>
    <t>The diver entered the water with a splash but landed on his back, creating a large splash, which resulted in a sub-score of 7,0,</t>
  </si>
  <si>
    <t>The diver maintains a balanced and controlled posture throughout the starting position, earning a sub-score of 9,0,</t>
  </si>
  <si>
    <t>The diver's steady and smooth approach to the diving board contributes to a sub-score of 9,0,</t>
  </si>
  <si>
    <t>The strong and precise take-off from the diving board results in a sub-score of 9,0,</t>
  </si>
  <si>
    <t>The diver's smooth and controlled flight through the air receives a sub-score of 9,0,</t>
  </si>
  <si>
    <t>The clean and precise entry into the water earns a sub-score of 9,0,</t>
  </si>
  <si>
    <t>The diver's starting position is excellent, with a close proximity to the board and a tuck position, earning a sub-score of 9,0,</t>
  </si>
  <si>
    <t>The diver takes off with a strong push, achieving a sub-score of 9,0,</t>
  </si>
  <si>
    <t>The diver performs a well-executed somersault during the flight, earning a sub-score of 9,0,</t>
  </si>
  <si>
    <t>The diver enters the water with a clean splash, achieving a sub-score of 9,0,</t>
  </si>
  <si>
    <t>The diver's starting position was excellent, with proper alignment and balance, contributing to a high sub-score of 9,0,</t>
  </si>
  <si>
    <t>The diver's approach was smooth and consistent, resulting in a sub-score of 9,0,</t>
  </si>
  <si>
    <t>The diver's take-off was strong and explosive, leading to a sub-score of 9,0,</t>
  </si>
  <si>
    <t>The diver performed a series of flips with good rotation and body control, earning a sub-score of 9,0,</t>
  </si>
  <si>
    <t>The diver's entry was clean and controlled, creating a small splash, which resulted in a sub-score of 9,0,</t>
  </si>
  <si>
    <t>The diver's balanced and controlled posture on the edge of the diving board contributes to a high sub-score,,A smooth approach towards the edge of the diving board results in a high sub-score,</t>
  </si>
  <si>
    <t>The diver's clean and powerful take-off is executed with precision, earning a high sub-score,</t>
  </si>
  <si>
    <t>The diver's graceful flight through the air with a tucked position and streamlined body shape results in a high sub-score,</t>
  </si>
  <si>
    <t>The diver's clean entry into the water with a small splash indicates a lack of control during the final moments before impact, resulting in a slightly lower sub-score,</t>
  </si>
  <si>
    <t>The diver's approach is steady and well-controlled, leading to a high sub-score,</t>
  </si>
  <si>
    <t>The diver's take-off is strong and clean, resulting in a high sub-score,</t>
  </si>
  <si>
    <t>The diver's flight is characterized by a series of flips and a streamlined body, earning a high sub-score,</t>
  </si>
  <si>
    <t>The diver's entry is straight and with minimal splash, indicating a high sub-score,</t>
  </si>
  <si>
    <t>The diver is in a tuck position with arms extended above the head, indicating good starting position, The sub-score is 9,0,</t>
  </si>
  <si>
    <t>The diver approaches the diving board with a steady pace and maintains a straight line towards the diving board, resulting in a sub-score of 9,0,</t>
  </si>
  <si>
    <t>The diver takes off from the diving board with a clean jump and a powerful, controlled take-off, leading to a sub-score of 9,0,</t>
  </si>
  <si>
    <t>The diver performs a series of flips in the air and maintains a streamlined body position during the flight, earning a sub-score of 9,0,</t>
  </si>
  <si>
    <t>The diver enters the water with a clean splash and a vertical, symmetric entry, achieving a sub-score of 9,0,</t>
  </si>
  <si>
    <t>The diver's steady and smooth approach contributes to a high score,</t>
  </si>
  <si>
    <t>The clean and powerful take-off is executed with precision, resulting in a high score,</t>
  </si>
  <si>
    <t>The well-executed sequence of dives during the flight phase receives a high score,</t>
  </si>
  <si>
    <t>The diver's clean entry into the water, despite a small splash, results in a high score,</t>
  </si>
  <si>
    <t>The diver maintains a balanced and straight posture on the diving board, earning a high score,</t>
  </si>
  <si>
    <t>The diver's approach is smooth and steady, leading to a clean take-off, earning a sub-score of 9,0,</t>
  </si>
  <si>
    <t>The diver's take-off is powerful and well-aligned, resulting in a controlled flight, earning a sub-score of 9,0,</t>
  </si>
  <si>
    <t>The diver executes a series of flips with controlled rotation, maintaining a streamlined body, earning a sub-score of 9,0,</t>
  </si>
  <si>
    <t>The diver enters the water cleanly with minimal disturbance, indicating a successful entry, earning a sub-score of 9,0,</t>
  </si>
  <si>
    <t>The diver's starting position was excellent, with a balanced stance and proper foot placement, earning a sub-score of 9,0,</t>
  </si>
  <si>
    <t>The diver took off with a strong push and a clean take-off, earning a sub-score of 9,0,</t>
  </si>
  <si>
    <t>The diver performed a series of flips in the air with a straight body position, receiving a sub-score of 9,0,</t>
  </si>
  <si>
    <t>The diver entered the water with a clean and precise entry, but created a large splash, resulting in a sub-score of 7,0,</t>
  </si>
  <si>
    <t>The diver's starting position was good, with proper alignment and a straight posture, earning a sub-score of 9,0,</t>
  </si>
  <si>
    <t>The diver walked steadily towards the end of the diving board, maintaining a good posture, resulting in a sub-score of 9,0,</t>
  </si>
  <si>
    <t>The diver took off with both feet and extended his arms forward, which contributed to a good sub-score of 9,0,</t>
  </si>
  <si>
    <t>The diver performed a series of flips in a tucked position, indicating a well-executed flight phase with a sub-score of 9,0,</t>
  </si>
  <si>
    <t>The diver entered the water with a splash, but the size of the splash detracted from the overall score, leading to a sub-score of 7,0,</t>
  </si>
  <si>
    <t>The diver's starting position was upright and stable, contributing to a high score of 9,0,</t>
  </si>
  <si>
    <t>The diver's take-off was clean and powerful, earning a sub-score of 9,0,</t>
  </si>
  <si>
    <t>The diver performed a tuck during the flight, maintaining a straight body position, which resulted in a sub-score of 9,0,</t>
  </si>
  <si>
    <t>The diver entered the water with a tuck, creating a small splash, leading to a sub-score of 8,0,</t>
  </si>
  <si>
    <t>The diver's take-off is powerful and well-timed, resulting in a high score,</t>
  </si>
  <si>
    <t>The diver's entry is clean and vertical, creating minimal splash, which results in a high score,</t>
  </si>
  <si>
    <t>The diver's balanced and controlled posture on the edge of the diving board contributes to a high sub-score,</t>
  </si>
  <si>
    <t>The diver's smooth and steady approach to the diving board results in a high sub-score,</t>
  </si>
  <si>
    <t>The diver's strong and explosive take-off from the diving board is executed with precision, leading to a high sub-score,</t>
  </si>
  <si>
    <t>The diver's clean and graceful flight through the air, maintaining a straight body position, results in a high sub-score,</t>
  </si>
  <si>
    <t>The diver's clean and controlled entry into the water, creating a small splash, contributes to a high sub-score,</t>
  </si>
  <si>
    <t>The diver performs a series of flips in the air, which is executed smoothly and controlled, leading to a high score,</t>
  </si>
  <si>
    <t>The diver's entry is forceful but not perfectly aligned with the pool surface, leading to a sub-score of 7,0,</t>
  </si>
  <si>
    <t>The diver is in a tuck position with arms raised above his head, which is a good starting position, The sub-score is 9,0,</t>
  </si>
  <si>
    <t>The diver approaches the diving board with a steady pace and maintains a straight line towards the diving board, The sub-score is 9,0,</t>
  </si>
  <si>
    <t>The diver takes off from the diving board with a clean jump and a powerful, controlled take-off, The sub-score is 9,0,</t>
  </si>
  <si>
    <t>The diver performs a tuck position during the flight and maintains a streamlined shape throughout the flight, The sub-score is 9,0,</t>
  </si>
  <si>
    <t>The diver enters the water with a splash, indicating a forceful entry but not perfectly controlled, The sub-score is 7,0,</t>
  </si>
  <si>
    <t>The diver takes off with a clean and powerful movement, leading to a high sub-score,</t>
  </si>
  <si>
    <t>The diver performs multiple flips with good body control, achieving a sub-score of 9,0,</t>
  </si>
  <si>
    <t>While the diver's entry is forceful, it results in a large splash due to lack of precision, leading to a sub-score of 7,0,</t>
  </si>
  <si>
    <t>The diver's entry is clean and powerful, creating a small splash, which results in a high score,</t>
  </si>
  <si>
    <t>The diver entered the water cleanly without any splash or disturbance, achieving a sub-score of 9,0,</t>
  </si>
  <si>
    <t>The diver's starting position was excellent, with a straight and balanced posture, earning a sub-score of 9,0,</t>
  </si>
  <si>
    <t>The diver's approach was smooth and controlled, resulting in a sub-score of 9,0,</t>
  </si>
  <si>
    <t>The diver's take-off was strong and clean, achieving a sub-score of 9,0,</t>
  </si>
  <si>
    <t>The diver performed a series of flips with a high degree of rotation and maintained a streamlined body position, earning a sub-score of 9,0,</t>
  </si>
  <si>
    <t>The diver's entry was clean and controlled, creating a small splash upon impact, resulting in a sub-score of 9,0,</t>
  </si>
  <si>
    <t>The diver's starting position was excellent, with a clean and controlled stance on the diving board,</t>
  </si>
  <si>
    <t>The diver approached the diving board with a straight body, indicating good technique and control,</t>
  </si>
  <si>
    <t>The diver took off from the diving board with a clean take-off, showing good form and technique,</t>
  </si>
  <si>
    <t>The diver performed a clean flight with a tucked position, demonstrating good technique and control throughout the dive,</t>
  </si>
  <si>
    <t>The diver entered the water with a clean entry and minimal splash, indicating good technique and control,</t>
  </si>
  <si>
    <t>The diver walked steadily towards the end of the diving board, maintaining good posture, resulting in a sub-score of 9,0,</t>
  </si>
  <si>
    <t>The diver took off with both feet, extending his arms upwards, which contributed to a sub-score of 9,0,</t>
  </si>
  <si>
    <t>The diver performed multiple flips in the air and maintained a streamlined position, leading to a sub-score of 9,0,</t>
  </si>
  <si>
    <t>The diver entered the water with a splash, but the circular splash indicates a clean entry, hence a sub-score of 7,0,</t>
  </si>
  <si>
    <t>The diver's starting position is excellent, with a tuck position and straight alignment, earning a sub-score of 9,0,</t>
  </si>
  <si>
    <t>The diver's approach is steady and well-executed, resulting in a sub-score of 9,0,</t>
  </si>
  <si>
    <t>The take-off is clean and powerful, with minimal wobble, earning a sub-score of 9,0,</t>
  </si>
  <si>
    <t>The diver's flight is controlled and straight, achieving a sub-score of 9,0,</t>
  </si>
  <si>
    <t>The diver's entry is clean and smooth, with no visible defects, earning a sub-score of 9,0,</t>
  </si>
  <si>
    <t>The diver's take-off was strong and clean, leading to a high sub-score,</t>
  </si>
  <si>
    <t>The diver performed a series of flips in the air with a streamlined position, earning a high sub-score,</t>
  </si>
  <si>
    <t>The diver entered the water with a clean and controlled entry, achieving a high sub-score,</t>
  </si>
  <si>
    <t>The diver's starting position is excellent, with a straight and balanced posture on the diving board, earning a sub-score of 9,0,</t>
  </si>
  <si>
    <t>The diver's take-off is strong and explosive, leading to a high sub-score,</t>
  </si>
  <si>
    <t>The diver's flight is clean and graceful, with a streamlined body position, earning a high sub-score,</t>
  </si>
  <si>
    <t>The diver's entry is clean and controlled, creating a small splash, which results in a high sub-score,</t>
  </si>
  <si>
    <t>The diver's starting position was correct with proper alignment and stance, contributing to a high sub-score,</t>
  </si>
  <si>
    <t>The diver walked steadily towards the edge of the platform, maintaining a straight posture, which resulted in a high sub-score,</t>
  </si>
  <si>
    <t>The diver executed a clean take-off with a straight body and extended arms, leading to a high sub-score,</t>
  </si>
  <si>
    <t>The diver performed a series of flips in the air with a straight body, indicating a high sub-score,</t>
  </si>
  <si>
    <t>The diver entered the water cleanly with minimal splash, resulting in a high sub-score,</t>
  </si>
  <si>
    <t>The diver's starting position was excellent, with a straight and aligned body, earning a sub-score of 9,0,</t>
  </si>
  <si>
    <t>The diver's take-off was clean and straight, with no defects observed, earning a sub-score of 9,0,</t>
  </si>
  <si>
    <t>The diver performed a series of flips in the air with a straight and aligned body, resulting in a sub-score of 9,0,</t>
  </si>
  <si>
    <t>The diver entered the water cleanly with minimal splash and a straight body, earning a sub-score of 9,0,</t>
  </si>
  <si>
    <t>The diver's starting position was excellent, with a tuck and proper alignment, earning a sub-score of 9,0,</t>
  </si>
  <si>
    <t>The diver approached the diving board with a straight body and steady control, receiving a sub-score of 9,0,</t>
  </si>
  <si>
    <t>The diver took off with a clean and powerful movement, achieving a sub-score of 9,0,</t>
  </si>
  <si>
    <t>The diver performed a well-executed somersault with a streamlined body position, earning a sub-score of 9,0,</t>
  </si>
  <si>
    <t>The diver entered the water with a clean and smooth splash, receiving a sub-score of 9,0,</t>
  </si>
  <si>
    <t>The diver performed a series of flips with a high degree of rotation, earning a sub-score of 9,0,</t>
  </si>
  <si>
    <t>The diver's entry was clean and controlled, creating minimal splash, resulting in a sub-score of 9,0,</t>
  </si>
  <si>
    <t>The diver approached the diving board with a straight body, indicating a well-executed approach,</t>
  </si>
  <si>
    <t>The diver took off from the diving board with a clean and powerful movement, resulting in a high sub-score,</t>
  </si>
  <si>
    <t>The diver performed a series of flips in the air with a tucked position, demonstrating excellent control and execution,</t>
  </si>
  <si>
    <t>The diver entered the water with a clean splash and a streamlined entry, indicating a flawless entry,</t>
  </si>
  <si>
    <t>The diver performs a series of flips in the air with a clean and streamlined body, earning a sub-score of 9,0,</t>
  </si>
  <si>
    <t>The diver enters the water with a clean splash, with minimal splash and full submersion, resulting in a sub-score of 9,0,</t>
  </si>
  <si>
    <t>The diver is in a tuck position at the start and has a good alignment with the diving board, resulting in a high sub-score,</t>
  </si>
  <si>
    <t>The diver approaches the diving board with a straight body and a smooth approach, leading to a high sub-score,</t>
  </si>
  <si>
    <t>The diver takes off with a clean jump and a powerful take-off, contributing to a high sub-score,</t>
  </si>
  <si>
    <t>The diver performs a clean and controlled flight with a streamlined body, resulting in a high sub-score,</t>
  </si>
  <si>
    <t>The diver enters the water with a clean splash and a vertical entry, leading to a high sub-score,</t>
  </si>
  <si>
    <t>The diver's starting position was upright and balanced, contributing to a high sub-score of 9,0,</t>
  </si>
  <si>
    <t>The diver walked steadily towards the edge of the diving board, receiving a sub-score of 9,0,</t>
  </si>
  <si>
    <t>The diver's take-off was clean and his body remained straight, earning a sub-score of 9,0,</t>
  </si>
  <si>
    <t>The diver performed a series of flips in the air with a straight body, resulting in a sub-score of 9,0,</t>
  </si>
  <si>
    <t>The diver's entry was clean but created a large splash, leading to a sub-score of 7,0,</t>
  </si>
  <si>
    <t>The diver's pike position and arm extension indicate good preparation, earning a high score,</t>
  </si>
  <si>
    <t>The smooth and consistent approach suggests excellent technique, contributing to a high score,</t>
  </si>
  <si>
    <t>The clean and powerful take-off demonstrates strong execution, resulting in a high score,</t>
  </si>
  <si>
    <t>The forward somersault with a tucked position shows precise timing and control, leading to a high score,</t>
  </si>
  <si>
    <t>The clean and symmetric entry with minimal splash indicates a well-executed dive, earning a high score,</t>
  </si>
  <si>
    <t>The diver's pike position at the start is well-executed, contributing to a high sub-score of 9,8,</t>
  </si>
  <si>
    <t>The diver's smooth and consistent approach receives a sub-score of 9,7,</t>
  </si>
  <si>
    <t>The clean and powerful take-off is scored as 9,6 due to its precision,</t>
  </si>
  <si>
    <t>The back 2Â½ somersault with 1Â½ twists during the flight is executed flawlessly, earning a sub-score of 9,5,</t>
  </si>
  <si>
    <t>The diver's clean and smooth entry into the water results in a sub-score of 9,4,</t>
  </si>
  <si>
    <t>The diver performs a series of flips in the air with a straight body (sub-score: 9,0),</t>
  </si>
  <si>
    <t>The diver's balanced and controlled posture on the diving board contributes to a high-quality execution,</t>
  </si>
  <si>
    <t>The diver's smooth and controlled approach adds to the overall quality of the dive,</t>
  </si>
  <si>
    <t>The strong and precise take-off demonstrates excellent technique and control,</t>
  </si>
  <si>
    <t>The clean and graceful flight through the air showcases the diver's skill and precision,</t>
  </si>
  <si>
    <t>The clean and precise entry into the water indicates a well-executed dive,</t>
  </si>
  <si>
    <t>The diver's starting position is correct, with proper foot placement and body alignment, earning a sub-score of 9,0,</t>
  </si>
  <si>
    <t>The diver approaches the diving board with a steady walk, maintaining balance and control, receiving a sub-score of 9,0,</t>
  </si>
  <si>
    <t>The diver takes off the diving board with a clean jump, extending his arms forward, which results in a sub-score of 9,0,</t>
  </si>
  <si>
    <t>The diver performs a backward somersault with a tight tuck, showcasing excellent technique, and earns a sub-score of 9,0,</t>
  </si>
  <si>
    <t>The diver enters the water with a controlled splash and lands upright, indicating a successful entry, thus receiving a sub-score of 9,0,</t>
  </si>
  <si>
    <t>The diver's balanced and controlled posture on the diving board contributes to a high-quality execution,,A steady approach towards the edge of the board indicates good technique and confidence,,A strong and clean take-off suggests effective use of the diving board and proper timing,</t>
  </si>
  <si>
    <t>The diver's series of flips and streamlined body position during the flight demonstrate excellent control and skill,,A clean and minimal splash upon entry into the water signifies a successful and well-executed dive,</t>
  </si>
  <si>
    <t>The diver's hands are positioned correctly above the head with palms facing forward, contributing to a high sub-score,</t>
  </si>
  <si>
    <t>The diver maintains a steady and straight posture during the approach, resulting in a high sub-score,</t>
  </si>
  <si>
    <t>The take-off is clean and powerful, with minimal deviation from the intended trajectory, leading to a high sub-score,</t>
  </si>
  <si>
    <t>The diver enters the water cleanly and symmetrically, with a controlled splash, resulting in a high sub-score,</t>
  </si>
  <si>
    <t>The diver jumped off the diving board with both feet and extended his arms upwards, which resulted in a well-executed takeoff, earning a sub-score of 9,0,</t>
  </si>
  <si>
    <t>The diver entered the water with a splash but landed on his back, which resulted in a large splash, earning a sub-score of 7,0,</t>
  </si>
  <si>
    <t>The diver performs a series of flips in the air with a clean and straight body (sub-score: 9,0),</t>
  </si>
  <si>
    <t>The diver performs a series of flips in the air with a clean and streamlined body position (sub-score: 9,0),</t>
  </si>
  <si>
    <t>The diver's approach is smooth and straight, indicating good technique and control, resulting in a sub-score of 9,0,</t>
  </si>
  <si>
    <t>The diver's take-off is clean and powerful, demonstrating strong execution and synchronization with the board, leading to a sub-score of 9,0,</t>
  </si>
  <si>
    <t>The diver's flight is controlled and streamlined, showcasing excellent form and technique, which results in a sub-score of 9,0,</t>
  </si>
  <si>
    <t>The diver's entry is clean and symmetric, with a well-controlled splash, indicating a high level of skill and precision, earning a sub-score of 9,0,</t>
  </si>
  <si>
    <t>The diver's approach is smooth and steady, maintaining a straight body line, resulting in a sub-score of 9,0,</t>
  </si>
  <si>
    <t>The take-off is executed with a clean and powerful movement, with minimal wobble, earning a sub-score of 9,0,</t>
  </si>
  <si>
    <t>The diver performs a series of flips with controlled rotation and a streamlined body position, achieving a sub-score of 9,0,</t>
  </si>
  <si>
    <t>The diver enters the water with a clean and symmetric splash, but there is a small splash upon entry, which slightly reduces the score to 8,0,</t>
  </si>
  <si>
    <t>The diver maintains an upright and balanced posture, resulting in a high sub-score,</t>
  </si>
  <si>
    <t>The diver's approach is steady and controlled, contributing to a high sub-score,</t>
  </si>
  <si>
    <t>The diver's take-off is strong and clean, leading to a high sub-score,</t>
  </si>
  <si>
    <t>The diver performs a series of flips in the air with a smooth and controlled flight path, resulting in a high sub-score,</t>
  </si>
  <si>
    <t>The diver enters the water with a clean and straight entry, creating a small splash, which results in a high sub-score,</t>
  </si>
  <si>
    <t>The diver took off from the diving board with a clean and powerful movement, resulting in a sub-score of 9,0,</t>
  </si>
  <si>
    <t>The diver performed a series of flips in the air with a tucked position and maintained a straight line, earning a sub-score of 9,0,</t>
  </si>
  <si>
    <t>The diver entered the water with a clean splash and a smooth entry, achieving a sub-score of 9,0,</t>
  </si>
  <si>
    <t>The take-off is clean and powerful, with synchronization with the board's edge, earning a sub-score of 9,0,</t>
  </si>
  <si>
    <t>The diver performs a well-executed somersault with a streamlined body position, earning a sub-score of 9,0,</t>
  </si>
  <si>
    <t>The diver's entry is clean and symmetric, with a controlled splash, earning a sub-score of 9,0,</t>
  </si>
  <si>
    <t>The diver took off with a strong and explosive push, resulting in a sub-score of 9,0,</t>
  </si>
  <si>
    <t>The diver performed a series of flips with high rotation and remained streamlined, earning a sub-score of 9,0,</t>
  </si>
  <si>
    <t>The diver entered the water cleanly and with minimal splash, achieving a sub-score of 9,0,</t>
  </si>
  <si>
    <t>The diver's starting position was excellent, with a clean and balanced stance on the diving board,</t>
  </si>
  <si>
    <t>The diver took off from the diving board with a clean jump, showing good take-off technique,</t>
  </si>
  <si>
    <t>The diver performed a clean and controlled flight with a tucked position, demonstrating good form and technique,</t>
  </si>
  <si>
    <t>The diver entered the water with a clean splash and a tucked position, indicating a successful entry,</t>
  </si>
  <si>
    <t>The diver walks steadily towards the edge of the diving board, showing control; sub-score: 9,0</t>
  </si>
  <si>
    <t>The diver performs a backward somersault with a straight body, demonstrating excellent technique; sub-score: 9,0</t>
  </si>
  <si>
    <t>The diver enters the water cleanly with minimal splash, indicating a successful entry; sub-score: 9,0</t>
  </si>
  <si>
    <t>The diver walked steadily towards the end of the diving board, maintaining a good posture, earning a sub-score of 9,0,</t>
  </si>
  <si>
    <t>The diver took off with both feet and extended his arms forward, maintaining a streamlined position, earning a sub-score of 9,0,</t>
  </si>
  <si>
    <t>The diver performed a series of flips in the air and maintained a streamlined position, earning a sub-score of 9,0,</t>
  </si>
  <si>
    <t>The diver created a circular entry pattern, which is not ideal for a clean entry, earning a sub-score of 7,0,</t>
  </si>
  <si>
    <t>The diver's approach was smooth and consistent, receiving a sub-score of 9,0,</t>
  </si>
  <si>
    <t>The diver's take-off was strong and explosive, resulting in a sub-score of 9,0,</t>
  </si>
  <si>
    <t>The diver's flight was clean and graceful, with a streamlined position, earning a sub-score of 9,0,</t>
  </si>
  <si>
    <t>The diver's entry was clean and controlled, with minimal splash, receiving a sub-score of 9,0,</t>
  </si>
  <si>
    <t>The diver's take-off was clean and powerful, contributing to a sub-score of 9,0,</t>
  </si>
  <si>
    <t>The diver entered the water with a clean and precise entry, earning a sub-score of 9,0,</t>
  </si>
  <si>
    <t>The diver's balanced and controlled posture at the starting position contributes to a high sub-score,</t>
  </si>
  <si>
    <t>The smooth and steady approach to the diving board results in a high sub-score,</t>
  </si>
  <si>
    <t>The strong and explosive take-off from the diving board is executed with precision, leading to a high sub-score,</t>
  </si>
  <si>
    <t>The series of flips performed by the diver in the air with a high degree of rotation and a straight body position result in a high sub-score,</t>
  </si>
  <si>
    <t>The clean and controlled entry into the water with a small splash upon impact leads to a high sub-score,</t>
  </si>
  <si>
    <t>The diver's flight was clean and graceful, with a streamlined body position, earning a high sub-score,</t>
  </si>
  <si>
    <t>The diver's entry was clean and controlled, with minimal splash, contributing to a high sub-score,</t>
  </si>
  <si>
    <t>The diver's balanced and controlled posture during the starting position contributes to a high score,</t>
  </si>
  <si>
    <t>The diver's steady approach towards the diving board results in a high score,</t>
  </si>
  <si>
    <t>The diver's strong and clean take-off from the diving board receives a high score,</t>
  </si>
  <si>
    <t>The diver's series of flips in the air and streamlined body movement during the flight phase earn a high score,</t>
  </si>
  <si>
    <t>The diver's clean entry into the water is commendable, but the large splash detracts slightly from the overall score,</t>
  </si>
  <si>
    <t>The diver walks steadily towards the diving board, receiving a sub-score of 9,0,</t>
  </si>
  <si>
    <t>The diver jumps off the diving board with both feet, achieving a sub-score of 9,0,</t>
  </si>
  <si>
    <t>The diver performs a forward somersault in the air with a streamlined body, earning a sub-score of 9,0,</t>
  </si>
  <si>
    <t>The diver enters the water with a pike position, resulting in a sub-score of 9,0,</t>
  </si>
  <si>
    <t>The diver's starting position is upright and balanced, contributing to a high sub-score of 9,0,</t>
  </si>
  <si>
    <t>The diver's approach is straight and consistent, resulting in a sub-score of 9,0,</t>
  </si>
  <si>
    <t>The diver's take-off is powerful and controlled, leading to a sub-score of 9,0,</t>
  </si>
  <si>
    <t>The diver performs a series of flips in the air with a streamlined body position, earning a sub-score of 9,0,</t>
  </si>
  <si>
    <t>The diver's entry is smooth and controlled, but the large splash reduces the score to 7,0,</t>
  </si>
  <si>
    <t>The diver took off with a strong and explosive movement, achieving a sub-score of 9,0,</t>
  </si>
  <si>
    <t>The diver entered the water cleanly and controlled, creating a small splash, resulting in a sub-score of 9,0,</t>
  </si>
  <si>
    <t>The diver's starting position was excellent, with a tuck position and arms extended above the head, contributing to a high sub-score of 9,0,</t>
  </si>
  <si>
    <t>The diver approached the diving board with a steady pace and maintained a straight line, resulting in a sub-score of 9,0,</t>
  </si>
  <si>
    <t>The diver performed a well-executed somersault in the air with a tucked position, earning a sub-score of 9,0,</t>
  </si>
  <si>
    <t>The diver entered the water with a clean splash and symmetric entry, leading to a sub-score of 9,0,</t>
  </si>
  <si>
    <t>The take-off is clean and powerful, contributing to a sub-score of 9,0,</t>
  </si>
  <si>
    <t>The diver's entry is clean and well-timed, contributing to a high sub-score,</t>
  </si>
  <si>
    <t>The diver's approach is steady and straight, contributing to a sub-score of 9,0,</t>
  </si>
  <si>
    <t>The diver's take-off is clean and powerful, resulting in a sub-score of 9,0,</t>
  </si>
  <si>
    <t>The diver's entry is smooth and controlled, but a small splash reduces the score slightly, leading to a sub-score of 8,0,</t>
  </si>
  <si>
    <t>The diver took off with a strong and explosive push, maintaining a tucked position, which earned a sub-score of 9,0,</t>
  </si>
  <si>
    <t>The diver performed a clean and graceful flight through the air, maintaining a tucked position, resulting in a sub-score of 9,0,</t>
  </si>
  <si>
    <t>The diver entered the water with a clean and controlled entry, creating a small splash, which earned a sub-score of 9,0,</t>
  </si>
  <si>
    <t>The diver maintains a straight and aligned body throughout the starting position, earning a high sub-score,</t>
  </si>
  <si>
    <t>The diver approaches the edge with a steady pace, maintaining alignment, resulting in a high sub-score,</t>
  </si>
  <si>
    <t>The diver takes off with a strong push, keeping the body straight and aligned, leading to a high sub-score,</t>
  </si>
  <si>
    <t>The diver performs a clean and controlled flight, maintaining a straight and aligned body, which results in a high sub-score,</t>
  </si>
  <si>
    <t>The diver enters the water with a clean splash, maintaining a straight and aligned body, contributing to a high sub-score,</t>
  </si>
  <si>
    <t>The diver performs a series of flips with a straight body position, earning a high sub-score,</t>
  </si>
  <si>
    <t>The diver executed a series of flips with a streamlined body position, indicating good technique, earning a sub-score of 9,0,</t>
  </si>
  <si>
    <t>The diver's approach was smooth and steady, contributing to a sub-score of 9,0,</t>
  </si>
  <si>
    <t>The take-off was clean and powerful, resulting in a sub-score of 9,0,</t>
  </si>
  <si>
    <t>The diver performed a well-executed flight with a tucked position and maintained a streamlined body shape, earning a sub-score of 9,0,</t>
  </si>
  <si>
    <t>The diver entered the water with a clean and smooth splash, achieving a sub-score of 9,0,</t>
  </si>
  <si>
    <t>The take-off is clean and powerful, with synchronization at the board's edge, resulting in a sub-score of 9,0,</t>
  </si>
  <si>
    <t>The diver executes a series of flips with a streamlined body position, achieving a sub-score of 9,0,</t>
  </si>
  <si>
    <t>The diver maintains a straight and aligned position at the start, earning a high score,</t>
  </si>
  <si>
    <t>The diver takes off with a strong and clean push, resulting in a high score,</t>
  </si>
  <si>
    <t>The diver enters the water cleanly but creates a large splash, which slightly lowers the score,</t>
  </si>
  <si>
    <t>The diver's starting position is excellent, with a tuck and extended arms, earning a sub-score of 9,0,</t>
  </si>
  <si>
    <t>The diver's approach is balanced and controlled, receiving a sub-score of 9,0,</t>
  </si>
  <si>
    <t>The diver performs a well-executed somersault with a tucked position, receiving a sub-score of 9,0,</t>
  </si>
  <si>
    <t>The diver's entry is clean and smooth, earning a sub-score of 9,0,</t>
  </si>
  <si>
    <t>The diver's entry is clean and smooth, contributing to a high sub-score,</t>
  </si>
  <si>
    <t>The diver is in a tuck position at the start, which is a good starting position,</t>
  </si>
  <si>
    <t>The diver takes off with a clean take-off, which is a good take-off,</t>
  </si>
  <si>
    <t>The diver performs a clean flight with a tucked position, indicating a good flight,</t>
  </si>
  <si>
    <t>The diver enters the water cleanly with a tucked position, indicating a good entry,</t>
  </si>
  <si>
    <t>The diver maintained a steady and controlled approach, contributing to a high score,</t>
  </si>
  <si>
    <t>The take-off was executed with both feet and an extended arm position, resulting in a high score,</t>
  </si>
  <si>
    <t>The diver performed multiple flips with good body control, leading to a high score,</t>
  </si>
  <si>
    <t>The diver's entry created a large splash, which slightly lowered the score, but overall it was still a strong performance,</t>
  </si>
  <si>
    <t>The diver's approach was steady and controlled, contributing to a sub-score of 9,0,</t>
  </si>
  <si>
    <t>The diver's take-off was clean and powerful, resulting in a sub-score of 9,0,</t>
  </si>
  <si>
    <t>The diver performed a series of flips in the air with a straight body position, earning a sub-score of 9,0,</t>
  </si>
  <si>
    <t>The diver entered the water with a tucked position but created a larger splash than ideal, leading to a sub-score of 8,0,</t>
  </si>
  <si>
    <t>The diver's starting position is excellent, with a straight body and arms raised above head, earning a sub-score of 9,0,</t>
  </si>
  <si>
    <t>The diver's approach is smooth and controlled, with even steps, earning a sub-score of 9,0,</t>
  </si>
  <si>
    <t>The take-off is smooth and controlled, with a slight bend in the knees, earning a sub-score of 9,0,</t>
  </si>
  <si>
    <t>The diver performs a backward somersault with a tucked position, earning a sub-score of 9,0,</t>
  </si>
  <si>
    <t>The diver's entry is not perfectly vertical and results in a splash, earning a sub-score of 7,0,</t>
  </si>
  <si>
    <t>The diver's balanced and controlled posture at the starting position contributes to a high sub-score,,A steady approach with a straight line towards the edge results in a high sub-score,,A clean and powerful take-off with good timing leads to a high sub-score,</t>
  </si>
  <si>
    <t>The diver's precise flips and streamlined body during the flight earn a high sub-score,,A clean entry with minimal water disturbance indicates a high sub-score,</t>
  </si>
  <si>
    <t>The diver approaches the edge with a straight body, indicating a good approach,</t>
  </si>
  <si>
    <t>The diver takes off with a strong push, which is a good take-off,</t>
  </si>
  <si>
    <t>The diver performs a clean flight with minimal wobbling, indicating a good flight,</t>
  </si>
  <si>
    <t>The diver enters the water cleanly with a small splash, indicating a good entry,</t>
  </si>
  <si>
    <t>The diver performed a series of flips in the air with a tucked position, maintaining a streamlined body shape, which resulted in a high sub-score,</t>
  </si>
  <si>
    <t>The diver took off from the diving board with a clean jump and a powerful, controlled take-off, earning a sub-score of 9,0,</t>
  </si>
  <si>
    <t>The diver performed a well-executed somersault in the air and maintained a straight body during the flight, leading to a sub-score of 9,0,</t>
  </si>
  <si>
    <t>The diver entered the water with a clean splash and a smooth, controlled entry, achieving a sub-score of 9,0,</t>
  </si>
  <si>
    <t>The diver's approach is smooth and consistent, maintaining a straight body and steady pace (sub-score: 9,0),</t>
  </si>
  <si>
    <t>The take-off is clean and powerful, indicating good control and execution (sub-score: 9,0),</t>
  </si>
  <si>
    <t>The diver performs multiple flips with a streamlined body position, showcasing excellent technique (sub-score: 9,0),</t>
  </si>
  <si>
    <t>The entry is executed with a tuck position and minimal splash, demonstrating good form and precision (sub-score: 8,0),</t>
  </si>
  <si>
    <t>The diver performs a series of flips in the air with a straight body position, receiving a sub-score of 9,0,</t>
  </si>
  <si>
    <t>The diver performs a series of flips in the air with a smooth and controlled flight path (sub-score: 9,0),</t>
  </si>
  <si>
    <t>The diver maintains a straight and balanced posture, indicating good control and technique, hence a high sub-score,</t>
  </si>
  <si>
    <t>The diver's flight is graceful and controlled, leading to a high sub-score,</t>
  </si>
  <si>
    <t>The diver's entry is clean and powerful, creating a small splash, which results in a high sub-score,</t>
  </si>
  <si>
    <t>The diver walked towards the end of the diving board with a steady pace and maintained a straight posture, receiving a sub-score of 9,0,</t>
  </si>
  <si>
    <t>The diver's take-off was clean and straight, with no defects observed, resulting in a sub-score of 9,0,</t>
  </si>
  <si>
    <t>The diver performed a series of flips in the air with a straight body position, indicating a well-executed flight, and received a sub-score of 9,0,</t>
  </si>
  <si>
    <t>The diver entered the water with a clean entry and minimal splash, earning a sub-score of 9,0,</t>
  </si>
  <si>
    <t>The diver maintains a proper tuck position and alignment throughout the starting phase, earning a high score,</t>
  </si>
  <si>
    <t>The diver performs a well-executed somersault with good control and symmetry, leading to a high score,</t>
  </si>
  <si>
    <t>The diver enters the water cleanly and symmetrically, indicating a high score,</t>
  </si>
  <si>
    <t>The diver performed a series of flips in the air with good form, contributing to a high sub-score,</t>
  </si>
  <si>
    <t>The diver approached the diving board steadily and maintained a straight posture, receiving a sub-score of 9,0,</t>
  </si>
  <si>
    <t>The diver performed a tuck position in the air with good control and completed the reverse 3Â½ somersault with a tucked position, earning a sub-score of 9,0,</t>
  </si>
  <si>
    <t>The diver entered the water with a clean splash and minimal splash, resulting in a sub-score of 9,0,</t>
  </si>
  <si>
    <t>The diver took off from the diving board with a strong push and a clean take-off, earning a sub-score of 9,0,</t>
  </si>
  <si>
    <t>The diver performed a clean and controlled flight through the air, maintaining a straight line, which resulted in a sub-score of 9,0,</t>
  </si>
  <si>
    <t>The diver entered the water with a clean splash and a smooth entry, earning a sub-score of 9,0,</t>
  </si>
  <si>
    <t>The diver approached the diving board with a steady and straight approach (sub-score: 9,0),</t>
  </si>
  <si>
    <t>The diver took off from the diving board with a clean and powerful movement (sub-score: 9,0),</t>
  </si>
  <si>
    <t>The diver performed a series of flips in the air with consistent rotation and a streamlined body position (sub-score: 9,0),</t>
  </si>
  <si>
    <t>The diver entered the water with a clean splash, but there was a small splash upon entry (sub-score: 8,0),</t>
  </si>
  <si>
    <t>The diver jumped off the diving board with both feet and extended his arms, which resulted in a well-executed takeoff, earning a sub-score of 9,0,</t>
  </si>
  <si>
    <t>The diver performed a series of flips in the air with a tucked position, indicating good technique, which earned a sub-score of 9,0,</t>
  </si>
  <si>
    <t>The diver is in a tuck position at the start, which is a good starting position, hence the high score,</t>
  </si>
  <si>
    <t>The diver approaches the edge with a straight body, indicating a good approach, hence the score of 8,0,</t>
  </si>
  <si>
    <t>The diver takes off with a strong push, which is a good take-off, hence the score of 9,0,</t>
  </si>
  <si>
    <t>The diver performs a clean and controlled flight with a tucked position, which is a good flight, hence the score of 9,0,</t>
  </si>
  <si>
    <t>The diver enters the water with a small splash, which is a minor defect but still acceptable, hence the score of 7,0,</t>
  </si>
  <si>
    <t>The diver performed a series of flips in the air with a high degree of rotation and maintained a streamlined body position, earning a sub-score of 9,0,</t>
  </si>
  <si>
    <t>The diver entered the water with a clean splash and a slight bend at the knees, resulting in a sub-score of 9,0,</t>
  </si>
  <si>
    <t>The diver maintains a balanced and controlled posture with arms raised above his head, earning a sub-score of 9,0,</t>
  </si>
  <si>
    <t>The diver approaches the edge of the diving board smoothly and steadily, receiving a sub-score of 9,0,</t>
  </si>
  <si>
    <t>The diver performs a series of flips in the air with high rotation and symmetry, earning a sub-score of 9,0,</t>
  </si>
  <si>
    <t>The diver enters the water with a clean splash, creating a small splash, and receives a sub-score of 9,0,</t>
  </si>
  <si>
    <t>The diver is in a ready position with arms extended forward and the body aligned with the diving board, resulting in a high sub-score,</t>
  </si>
  <si>
    <t>The diver approaches the diving board with a smooth motion and maintains balance, contributing to a high sub-score,</t>
  </si>
  <si>
    <t>The diver takes off from the diving board with a strong push and a clean take-off, leading to a high sub-score,</t>
  </si>
  <si>
    <t>The diver performs a well-executed somersault in the air and maintains a streamlined body position, resulting in a high sub-score,</t>
  </si>
  <si>
    <t>The diver enters the water with a clean splash and an symmetric entry, contributing to a high sub-score,</t>
  </si>
  <si>
    <t>The swimmer is in a ready position with arms raised above his head, indicating good starting position (sub-score: 9,0)</t>
  </si>
  <si>
    <t>The swimmer is running towards the diving board at a steady pace, showing a good approach (sub-score: 8,0)</t>
  </si>
  <si>
    <t>The swimmer takes off from the diving board with a strong push and is in a tuck position during take-off, indicating a good take-off (sub-score: 9,0)</t>
  </si>
  <si>
    <t>The swimmer performs a backward somersault in the air and is in a tucked position during flight, demonstrating a good flight phase (sub-score: 9,0)</t>
  </si>
  <si>
    <t>The swimmer enters the water with a straight body and creates a small splash upon entry, indicating a good entry (sub-score: 8,0)</t>
  </si>
  <si>
    <t>The diver's balanced and controlled posture at the starting position contributes to a high-quality execution,</t>
  </si>
  <si>
    <t>The smooth and controlled approach adds to the overall quality of the dive,</t>
  </si>
  <si>
    <t>The clean and powerful take-off demonstrates excellent technique and control,</t>
  </si>
  <si>
    <t>The well-executed somersault and streamlined body position during the flight indicate a high level of skill and precision,</t>
  </si>
  <si>
    <t>The clean and precise entry into the water showcases the diver's mastery of the sport,</t>
  </si>
  <si>
    <t>The diver performed a series of flips in the air with a tucked position and maintained a straight body, earning a sub-score of 9,0,</t>
  </si>
  <si>
    <t>The diver maintains a good starting position with a tuck and balanced feet, earning a sub-score of 9,0,</t>
  </si>
  <si>
    <t>The diver's approach is straight and balanced, contributing to a sub-score of 9,0,</t>
  </si>
  <si>
    <t>The take-off is strong and precise, resulting in a sub-score of 9,0,</t>
  </si>
  <si>
    <t>The diver performs a series of flips in the air with a smooth and controlled flight, earning a sub-score of 9,0,</t>
  </si>
  <si>
    <t>The diver enters the water with a clean tuck, achieving a sub-score of 9,0,</t>
  </si>
  <si>
    <t>The diver's flight path is straight and controlled, resulting in a high sub-score,</t>
  </si>
  <si>
    <t>The diver's entry is smooth and well-timed, contributing to a high sub-score,</t>
  </si>
  <si>
    <t>The diver maintains a proper starting position with a tuck and extended arms, contributing to a high sub-score,</t>
  </si>
  <si>
    <t>The diver's approach is straight and steady, indicating good control and technique, resulting in a high sub-score,</t>
  </si>
  <si>
    <t>The take-off is clean and powerful, showing excellent form and execution, leading to a high sub-score,</t>
  </si>
  <si>
    <t>The diver performs a well-executed somersault with a smooth and controlled flight path, earning a high sub-score,</t>
  </si>
  <si>
    <t>The entry is clean and precise, with a controlled splash, contributing to a high sub-score,</t>
  </si>
  <si>
    <t>The diver maintains a good starting position with a tuck and proper alignment, earning a high score,</t>
  </si>
  <si>
    <t>The take-off is strong and clean, resulting in a high score,</t>
  </si>
  <si>
    <t>The diver performs a series of flips with a smooth flight path, leading to a high score,</t>
  </si>
  <si>
    <t>The diver's feet are positioned correctly and the body is aligned with the diving board, resulting in a high sub-score of 9,0,</t>
  </si>
  <si>
    <t>The diver approaches the diving board smoothly and consistently, earning a sub-score of 9,0,</t>
  </si>
  <si>
    <t>The diver maintains a straight body position during the flight and has a smooth and controlled flight path, resulting in a sub-score of 9,0,</t>
  </si>
  <si>
    <t>The diver enters the water with a clean splash and precise control, earning a sub-score of 9,0,</t>
  </si>
  <si>
    <t>The approach was smooth and steady, contributing to a sub-score of 9,0,</t>
  </si>
  <si>
    <t>The diver performed a series of controlled flips with a streamlined body position, achieving a sub-score of 9,0,</t>
  </si>
  <si>
    <t>The entry was clean and symmetric, causing minimal disturbance to the water surface, earning a sub-score of 9,0,</t>
  </si>
  <si>
    <t>The diver performs a series of flips in the air with a streamlined position, achieving a sub-score of 9,0,</t>
  </si>
  <si>
    <t>The diver's entry is clean and controlled, but the large splash reduces the score to 7,0,</t>
  </si>
  <si>
    <t>The diver's approach is smooth and steady, maintaining a straight posture, which results in a sub-score of 9,0,</t>
  </si>
  <si>
    <t>The diver takes off with a clean and powerful motion, ensuring a smooth and controlled take-off, leading to a sub-score of 9,0,</t>
  </si>
  <si>
    <t>The diver performs a series of flips in the air with a streamlined body position, resulting in a sub-score of 9,0,</t>
  </si>
  <si>
    <t>The diver enters the water with a clean and vertical splash, indicating a well-executed entry, which earns a sub-score of 9,0,</t>
  </si>
  <si>
    <t>The diver approached the diving board steadily and maintained a straight line, resulting in a high sub-score,</t>
  </si>
  <si>
    <t>The diver took off from the diving board with a clean and powerful jump, leading to a high sub-score,</t>
  </si>
  <si>
    <t>The diver performed a well-executed somersault in the air with a tucked position, earning a high sub-score,</t>
  </si>
  <si>
    <t>The diver entered the water cleanly and maintained a streamlined entry, contributing to a high sub-score,</t>
  </si>
  <si>
    <t>The diver's balanced and stable posture on the edge of the diving board contributes to a high-quality execution,</t>
  </si>
  <si>
    <t>The diver's smooth and controlled approach to the diving board enhances the overall quality of the dive,</t>
  </si>
  <si>
    <t>The diver's strong and explosive take-off from the diving board adds to the quality of the dive,</t>
  </si>
  <si>
    <t>The diver's clean and graceful flight through the air demonstrates excellent technique and control,</t>
  </si>
  <si>
    <t>The diver's smooth and controlled entry into the water indicates a high level of skill and precision,</t>
  </si>
  <si>
    <t>The diver approaches the diving board steadily and maintains a straight posture, receiving a sub-score of 9,0,</t>
  </si>
  <si>
    <t>The diver performs a well-executed somersault in the air with a tucked position, receiving a sub-score of 9,0,</t>
  </si>
  <si>
    <t>The diver's starting position is excellent, with a well-aligned tuck and extended arms, contributing to a high sub-score of 9,0,</t>
  </si>
  <si>
    <t>The take-off is clean and powerful, with synchronization with the diving board, leading to a sub-score of 9,0,</t>
  </si>
  <si>
    <t>The diver performs multiple flips with a streamlined body position, showcasing excellent technique and control, which results in a sub-score of 9,0,</t>
  </si>
  <si>
    <t>The diver's entry is clean and vertical, with a symmetric splash, indicating a high level of skill and precision, leading to a sub-score of 9,0,</t>
  </si>
  <si>
    <t>The diver's starting position was characterized by a straight and balanced posture on the block, contributing to a high sub-score of 9,0,</t>
  </si>
  <si>
    <t>The take-off was executed with a clean and powerful movement, leading to a sub-score of 9,0,</t>
  </si>
  <si>
    <t>The diver entered the water with a clean and vertical entry, creating a small splash, which resulted in a sub-score of 9,0,</t>
  </si>
  <si>
    <t>The diver walked steadily towards the end of the diving board, maintaining control, which earned a sub-score of 9,0,</t>
  </si>
  <si>
    <t>The diver jumped off the diving board with both feet, performing a clean and powerful take-off, earning a sub-score of 9,0,</t>
  </si>
  <si>
    <t>The diver executed a backward somersault in the air, maintaining a tucked position, which earned a sub-score of 9,0,</t>
  </si>
  <si>
    <t>The diver entered the water with a clean and controlled entry, but created a large splash, resulting in a sub-score of 7,0,</t>
  </si>
  <si>
    <t>The diver approached the diving board steadily and maintained a straight line, receiving a sub-score of 9,0,</t>
  </si>
  <si>
    <t>The diver took off with a strong push and kept their body straight, resulting in a sub-score of 9,0,</t>
  </si>
  <si>
    <t>The diver performed a clean and controlled flight with a straight body, earning a sub-score of 9,0,</t>
  </si>
  <si>
    <t>The diver entered the water cleanly and straight, achieving a sub-score of 9,0,</t>
  </si>
  <si>
    <t>The diver's approach is smooth and steady, resulting in a high score,</t>
  </si>
  <si>
    <t>The diver's take-off is strong and clean, leading to a high score,</t>
  </si>
  <si>
    <t>The diver performs a series of flips with a straight body position, earning a high score,</t>
  </si>
  <si>
    <t>The diver performs a series of flips in the air with a smooth and controlled flight, earning a high score,</t>
  </si>
  <si>
    <t>The take-off is clean and powerful, with good synchronization with the board, earning a sub-score of 9,0,</t>
  </si>
  <si>
    <t>The diver's entry is smooth and symmetric, resulting in a sub-score of 9,0,</t>
  </si>
  <si>
    <t>The diver's balanced and stable posture at the starting position contributes to a high sub-score,</t>
  </si>
  <si>
    <t>The steady and controlled approach towards the end of the diving board results in a high sub-score,</t>
  </si>
  <si>
    <t>The strong and clean take-off with a straight body position leads to a high sub-score,</t>
  </si>
  <si>
    <t>The series of flips performed in the air with a straight body position results in a high sub-score,</t>
  </si>
  <si>
    <t>The clean and vertical entry into the water with a symmetric splash indicates a high sub-score,</t>
  </si>
  <si>
    <t>The diver's starting position was excellent, with a balanced and straight posture on the diving board, earning a sub-score of 9,0,</t>
  </si>
  <si>
    <t>The diver took off with a strong and powerful push, achieving a sub-score of 9,0,</t>
  </si>
  <si>
    <t>The diver performed a well-executed somersault with a straight body position, earning a sub-score of 9,0,</t>
  </si>
  <si>
    <t>The diver entered the water cleanly and efficiently, creating a small splash, which resulted in a sub-score of 9,0,</t>
  </si>
  <si>
    <t>The diver is in a standing position at the edge of the diving board, which is a good starting position, The sub-score is 9,0,</t>
  </si>
  <si>
    <t>The diver approaches the diving board with a straight body, indicating a good approach, The sub-score is 9,0,</t>
  </si>
  <si>
    <t>The diver takes off from the diving board with a clean jump, showing a good take-off, The sub-score is 9,0,</t>
  </si>
  <si>
    <t>The diver performs a backward somersault with a tucked position, which is a good flight, The sub-score is 8,0,</t>
  </si>
  <si>
    <t>The diver enters the water with a splash, which is a minor defect, The sub-score is 7,0,</t>
  </si>
  <si>
    <t>The take-off is strong and clean, indicating a high score,</t>
  </si>
  <si>
    <t>The flight is well-executed with a clear reverse 3Â½ somersault, resulting in a high score,</t>
  </si>
  <si>
    <t>The entry is forceful but not perfectly controlled, leading to a slightly lower score,</t>
  </si>
  <si>
    <t>The diver maintains a good starting position with a pike, earning a high score,</t>
  </si>
  <si>
    <t>The take-off was strong and clean, resulting in a high score,</t>
  </si>
  <si>
    <t>The diver executed a triple somersault with a clear rotation, receiving a high score,</t>
  </si>
  <si>
    <t>The entry was forceful but not perfectly clean due to a splash, leading to a lower score,</t>
  </si>
  <si>
    <t>The diver performed a reverse 3Â½ somersault in the air with a tucked position, earning a sub-score of 9,0,</t>
  </si>
  <si>
    <t>The diver entered the water with a clean splash and maintained a streamlined entry, resulting in a sub-score of 9,0,</t>
  </si>
  <si>
    <t>The diver entered the water cleanly and with minimal splash, receiving a sub-score of 9,0,</t>
  </si>
  <si>
    <t>The diver takes off with a clean and powerful movement, achieving a sub-score of 9,0,</t>
  </si>
  <si>
    <t>The diver performs a series of flips with high rotation and a streamlined body position, earning a sub-score of 9,0,</t>
  </si>
  <si>
    <t>The diver's entry is precise and controlled, but there is a small splash, which slightly reduces the score to 8,0,</t>
  </si>
  <si>
    <t>The diver maintains a balanced and controlled starting position with arms outstretched, earning a sub-score of 9,0,</t>
  </si>
  <si>
    <t>The diver approaches the edge of the diving board smoothly and with a straight body, earning a sub-score of 9,0,</t>
  </si>
  <si>
    <t>The diver takes off with a clean jump and a powerful take-off, earning a sub-score of 9,0,</t>
  </si>
  <si>
    <t>The diver performs a clean flip in the air with a straight flight path, earning a sub-score of 9,0,</t>
  </si>
  <si>
    <t>The diver enters the water with a clean splash and a controlled entry, earning a sub-score of 9,0,</t>
  </si>
  <si>
    <t>The diver's starting position is correct, with a straight and parallel body to the diving board, earning a sub-score of 9,0,</t>
  </si>
  <si>
    <t>The diver's approach is steady and well-paced, earning a sub-score of 8,0,</t>
  </si>
  <si>
    <t>The diver's take-off is strong and powerful, earning a sub-score of 9,0,</t>
  </si>
  <si>
    <t>The diver's entry into the water is clean, but the large splash detracts from the score, earning a sub-score of 7,0,</t>
  </si>
  <si>
    <t>The diver's balanced and controlled posture on the diving board contributes to a high-quality execution,,A steady approach to the diving board indicates a smooth transition into the dive,</t>
  </si>
  <si>
    <t>The diver's powerful take-off from the diving board is executed with precision,</t>
  </si>
  <si>
    <t>The series of flips performed by the diver demonstrate a high level of skill and control,</t>
  </si>
  <si>
    <t>The clean and controlled entry into the water suggests a successful completion of the dive,</t>
  </si>
  <si>
    <t>The diver approaches the diving board smoothly and with control, contributing to a high score,</t>
  </si>
  <si>
    <t>The diver performed a well-executed somersault with a tucked position, earning a sub-score of 9,0,</t>
  </si>
  <si>
    <t>The diver entered the water cleanly and controlled, with minimal splash, achieving a sub-score of 9,0,</t>
  </si>
  <si>
    <t>The diver is in a ready position with arms raised above his head and the body is straight and aligned with the diving board, The sub-score is 9,0,</t>
  </si>
  <si>
    <t>The diver approaches the diving board with a smooth and controlled motion and maintains a consistent speed throughout the approach, The sub-score is 9,0,</t>
  </si>
  <si>
    <t>The diver takes off from the diving board with a strong and explosive movement and the take-off is clean and precise, The sub-score is 9,0,</t>
  </si>
  <si>
    <t>The diver performs a series of flips in the air with a high degree of rotation and the flight path is smooth and controlled, The sub-score is 9,0,</t>
  </si>
  <si>
    <t>The diver enters the water with a clean and controlled entry and the entry creates a small splash upon impact, The sub-score is 9,0,</t>
  </si>
  <si>
    <t>The diver took off from the diving board with a strong and controlled push (sub-score: 9,0),</t>
  </si>
  <si>
    <t>The diver performed a series of flips in the air with a streamlined body position (sub-score: 9,0),</t>
  </si>
  <si>
    <t>The diver's entry was clean but created a large splash due to the force of impact (sub-score: 7,0),</t>
  </si>
  <si>
    <t>The diver's starting position is excellent, with a well-executed handstand and straight alignment, earning a sub-score of 9,0,</t>
  </si>
  <si>
    <t>The diver's take-off is strong and controlled, earning a sub-score of 9,0,</t>
  </si>
  <si>
    <t>The diver performs a series of flips with a streamlined body position, earning a sub-score of 9,0,</t>
  </si>
  <si>
    <t>The diver approached the diving board with a steady and controlled pace, receiving a sub-score of 9,0,</t>
  </si>
  <si>
    <t>The diver performed a series of flips with a high degree of rotation and remained streamlined, earning a sub-score of 9,0,</t>
  </si>
  <si>
    <t>The diver entered the water with a clean splash and was fully submerged, resulting in a sub-score of 9,0,</t>
  </si>
  <si>
    <t>The diver's balanced and controlled posture at the starting position contributes to a high sub-score,,A steady approach towards the edge of the diving board results in a high sub-score,</t>
  </si>
  <si>
    <t>The diver's body control during the flight phase is excellent, contributing to a high sub-score,</t>
  </si>
  <si>
    <t>The diver's clean entry into the water with minimal splash indicates a high sub-score,</t>
  </si>
  <si>
    <t>The diver's approach is smooth and consistent, contributing to a sub-score of 9,0,</t>
  </si>
  <si>
    <t>The diver performs a series of flips in the air, with a smooth and controlled flight path, leading to a high score,</t>
  </si>
  <si>
    <t>The diver's entry is precise and controlled, but a small splash detracts slightly from the score,</t>
  </si>
  <si>
    <t>The diver approaches the diving board with a smooth motion and maintains a straight posture, leading to a sub-score of 9,0,</t>
  </si>
  <si>
    <t>The diver takes off from the diving board with a clean and powerful movement and maintains a straight trajectory, earning a sub-score of 9,0,</t>
  </si>
  <si>
    <t>The diver performs a well-executed flight with a tucked position and a streamlined body shape, resulting in a sub-score of 9,0,</t>
  </si>
  <si>
    <t>The diver enters the water with a clean splash and a symmetric, controlled entry, leading to a sub-score of 9,0,</t>
  </si>
  <si>
    <t>The clean and powerful take-off demonstrates strong athletic ability and timing,</t>
  </si>
  <si>
    <t>The diver's precise flips in the air showcase excellent control and skill,,A clean splash and minimal water disturbance upon entry highlight the diver's technical proficiency,</t>
  </si>
  <si>
    <t>The diver maintains a balanced and controlled posture, earning a sub-score of 9,0,</t>
  </si>
  <si>
    <t>The diver's smooth and steady approach contributes to a sub-score of 9,0,</t>
  </si>
  <si>
    <t>The clean and powerful take-off results in a sub-score of 9,0,</t>
  </si>
  <si>
    <t>The diver's series of flips with high rotation and symmetry receives a sub-score of 9,0,</t>
  </si>
  <si>
    <t>The diver's clean and efficient entry into the water earns a sub-score of 9,0,</t>
  </si>
  <si>
    <t>The diver executes a strong and precise take-off, resulting in a sub-score of 9,0,</t>
  </si>
  <si>
    <t>The diver performs a series of smooth and controlled flips during the flight phase, earning a sub-score of 9,0,</t>
  </si>
  <si>
    <t>The diver enters the water with a clean and precise splash, achieving a sub-score of 9,0,</t>
  </si>
  <si>
    <t>The diver enters the water with a clean splash and a tucked position, indicating a high sub-score,</t>
  </si>
  <si>
    <t>The diver performed a series of flips in the air with a high degree of rotation and maintained a streamlined body position, resulting in a high sub-score,</t>
  </si>
  <si>
    <t>The diver entered the water with a clean and controlled entry, creating a small splash, leading to a high sub-score,</t>
  </si>
  <si>
    <t>The diver's approach was smooth and controlled, with a steady pace, earning a sub-score of 9,0,</t>
  </si>
  <si>
    <t>The diver took off with a strong and explosive push, maintaining a clean and precise take-off, earning a sub-score of 9,0,</t>
  </si>
  <si>
    <t>The diver performed a series of flips with a high degree of rotation and remained streamlined throughout the flight, earning a sub-score of 9,0,</t>
  </si>
  <si>
    <t>The diver entered the water with a clean and controlled entry, causing minimal splash, earning a sub-score of 9,0,</t>
  </si>
  <si>
    <t>The diver's entry is precise and controlled, earning a high score,</t>
  </si>
  <si>
    <t>The diver maintains a straight and aligned posture on the edge of the diving board, contributing to a high-quality starting position score of 9,0,</t>
  </si>
  <si>
    <t>The diver's approach was smooth and controlled, resulting in a high-quality approach score of 9,0,</t>
  </si>
  <si>
    <t>The diver took off from the diving board with a strong and well-timed jump, leading to a high-quality take-off score of 9,0,</t>
  </si>
  <si>
    <t>The diver performed a clean and controlled flight through the air, contributing to a high-quality flight score of 9,0,</t>
  </si>
  <si>
    <t>The diver entered the water with a clean and controlled entry, resulting in a high-quality entry score of 9,0,</t>
  </si>
  <si>
    <t>The diver performed a series of flips with good control and symmetry, earning a high sub-score,</t>
  </si>
  <si>
    <t>The diver's entry was clean and controlled, creating minimal splash, which resulted in a high sub-score,</t>
  </si>
  <si>
    <t>The diver took off from the diving board with a clean and powerful jump, earning a sub-score of 9,0,</t>
  </si>
  <si>
    <t>The diver performed a series of flips in the air with a streamlined body, achieving a sub-score of 9,0,</t>
  </si>
  <si>
    <t>The diver entered the water cleanly with minimal splash, earning a sub-score of 9,0,</t>
  </si>
  <si>
    <t>The diver's flight is characterized by a series of flips with good body control, earning a high sub-score,</t>
  </si>
  <si>
    <t>The diver's entry into the water is clean and precise, contributing to a high sub-score,</t>
  </si>
  <si>
    <t>The take-off was clean and powerful, with no wobble or hesitation, earning a sub-score of 9,0,</t>
  </si>
  <si>
    <t>The diver is in a tuck position with arms raised above the head, indicating proper starting position, The sub-score is 9,0,</t>
  </si>
  <si>
    <t>The diver approaches the diving board with a straight body and smooth approach, resulting in a sub-score of 9,0,</t>
  </si>
  <si>
    <t>The diver performs a clean and controlled flight with a tucked position, earning a sub-score of 9,0,</t>
  </si>
  <si>
    <t>The diver performs a series of flips in the air with a high degree of rotation and a streamlined body, earning a sub-score of 9,0,</t>
  </si>
  <si>
    <t>The diver performed a series of flips with a tucked position and maintained good body alignment, earning a high sub-score,</t>
  </si>
  <si>
    <t>The diver's starting position was good, with proper alignment and readiness, earning a sub-score of 9,0,</t>
  </si>
  <si>
    <t>The take-off was clean and powerful, with minimal delay, earning a sub-score of 9,0,</t>
  </si>
  <si>
    <t>The diver performed multiple flips in the air with a straight body position, earning a sub-score of 9,0,</t>
  </si>
  <si>
    <t>The diver entered the water with a splash, but the entry was not perfectly aligned with the pool surface, resulting in a sub-score of 7,0,</t>
  </si>
  <si>
    <t>The diver maintains a balanced and controlled posture with arms outstretched, earning a sub-score of 9,0,</t>
  </si>
  <si>
    <t>The diver takes off with a strong push, resulting in a sub-score of 9,0,</t>
  </si>
  <si>
    <t>The diver's flight is clean and graceful, with a straight and well-controlled path, earning a sub-score of 9,0,</t>
  </si>
  <si>
    <t>The diver enters the water with a clean splash, indicating a precise and controlled entry, with a sub-score of 9,0,</t>
  </si>
  <si>
    <t>The diver entered the water with a clean splash and maintained a streamlined entry, receiving a sub-score of 9,0,</t>
  </si>
  <si>
    <t>The diver performed a series of flips in the air with a tucked position and maintained a straight line during the flight (sub-score: 9,0),</t>
  </si>
  <si>
    <t>The diver entered the water with a clean splash and a smooth entry (sub-score: 9,0),</t>
  </si>
  <si>
    <t>The diver's starting position is balanced and controlled, earning a high score,</t>
  </si>
  <si>
    <t>The diver performs a series of flips with a straight body position, leading to a high score,</t>
  </si>
  <si>
    <t>The diver's flight is graceful and streamlined, earning a high sub-score,</t>
  </si>
  <si>
    <t>The diver's entry is clean and controlled, with minimal splash, indicating a high sub-score,</t>
  </si>
  <si>
    <t>The diver's starting position is excellent, with a close proximity to the diving board and a tuck position, earning a sub-score of 9,0,</t>
  </si>
  <si>
    <t>The diver maintains a straight and aligned position on the diving board, earning a high score,</t>
  </si>
  <si>
    <t>The diver performs multiple flips with a streamlined body position, leading to a high score,</t>
  </si>
  <si>
    <t>The diver's entry is forceful but not perfectly controlled, resulting in a lower score,</t>
  </si>
  <si>
    <t>The diver's starting position was balanced and controlled, contributing to a high sub-score of 9,0,</t>
  </si>
  <si>
    <t>The diver maintained a steady and straight approach, resulting in a sub-score of 9,0,</t>
  </si>
  <si>
    <t>The diver performed a clean and graceful flight with a tucked position, earning a sub-score of 9,0,</t>
  </si>
  <si>
    <t>The diver entered the water with a clean and controlled entry, achieving a sub-score of 9,0,</t>
  </si>
  <si>
    <t>The diver took off with a strong push, leading to a high sub-score,</t>
  </si>
  <si>
    <t>The diver performed a series of flips with a straight body position, earning a high sub-score,</t>
  </si>
  <si>
    <t>The diver entered the water with a clean splash, but the entry could have been more streamlined, resulting in a slightly lower sub-score,</t>
  </si>
  <si>
    <t>The diver's starting position is upright and balanced, contributing to a high score of 9,0,</t>
  </si>
  <si>
    <t>The diver's take-off is clean and powerful, earning a sub-score of 9,0,</t>
  </si>
  <si>
    <t>The diver performs a series of flips in the air with a straight body position, achieving a sub-score of 9,0,</t>
  </si>
  <si>
    <t>The diver enters the water with a tucked position and creates a small splash, resulting in a sub-score of 8,5,</t>
  </si>
  <si>
    <t>The diver approaches the diving board with a smooth motion and maintains a straight posture, earning a sub-score of 9,0,</t>
  </si>
  <si>
    <t>The diver takes off from the diving board with a clean and powerful movement, maintaining synchronization with the board, resulting in a sub-score of 9,0,</t>
  </si>
  <si>
    <t>The diver performs a well-executed flight with a tucked position and a streamlined body shape, achieving a sub-score of 9,0,</t>
  </si>
  <si>
    <t>The diver enters the water with a clean splash and a symmetric, controlled entry, but creates a small splash upon entry, leading to a sub-score of 8,0,</t>
  </si>
  <si>
    <t>The diver performed a series of flips in the air with a tucked position and maintained a straight body, earning a high sub-score,</t>
  </si>
  <si>
    <t>The diver entered the water with a clean splash and precise control, contributing to a high sub-score,</t>
  </si>
  <si>
    <t>The diver's balanced and controlled posture on the diving board contributes to a high-quality execution,,A smooth approach towards the edge of the board indicates good technique and confidence,,A strong and clean take-off suggests effective use of the diving board and proper timing,,A well-executed somersault with a straight body position demonstrates excellent control and skill,,A clean splash and minimal disturbance in the water upon impact indicate a successful entry,</t>
  </si>
  <si>
    <t>The diver approached the diving board smoothly and maintained a straight line, resulting in a sub-score of 9,0,</t>
  </si>
  <si>
    <t>The diver performed a clean and controlled flight with a tucked position and maintained a straight line, earning a sub-score of 9,0,</t>
  </si>
  <si>
    <t>The diver entered the water with a clean splash and symmetric entry, resulting in a sub-score of 9,0,</t>
  </si>
  <si>
    <t>The diver's approach is smooth and consistent, leading to a high score,</t>
  </si>
  <si>
    <t>The diver performs multiple flips with a straight body position, indicating a high score,</t>
  </si>
  <si>
    <t>The diver's entry is forceful but slightly off-center, leading to a lower score,</t>
  </si>
  <si>
    <t>The diver maintains an upright posture with arms raised, indicating good preparation, Score: 9,0</t>
  </si>
  <si>
    <t>The diver walks steadily towards the edge of the diving board, showing control and confidence, Score: 9,0</t>
  </si>
  <si>
    <t>The diver jumps off the diving board cleanly, demonstrating proper technique, Score: 9,0</t>
  </si>
  <si>
    <t>The diver performs a backward somersault in the air with a smooth and controlled flight, Score: 9,0</t>
  </si>
  <si>
    <t>The diver enters the water with a clean and precise splash, indicating a successful landing, Score: 9,0</t>
  </si>
  <si>
    <t>The diver's take-off is powerful and clean, resulting in a high score,</t>
  </si>
  <si>
    <t>The diver's flight is graceful and controlled, leading to a high score,</t>
  </si>
  <si>
    <t>The diver maintains a balanced and controlled posture while standing on the edge of the diving board, earning a sub-score of 9,0,</t>
  </si>
  <si>
    <t>The diver approaches the diving board with a steady and smooth pace, receiving a sub-score of 9,0,</t>
  </si>
  <si>
    <t>The diver takes off from the diving board with a strong and controlled movement, achieving a sub-score of 9,0,</t>
  </si>
  <si>
    <t>The diver performs a series of flips in the air with a high degree of rotation and a straight flight path, earning a sub-score of 9,0,</t>
  </si>
  <si>
    <t>The diver enters the water with a clean and controlled entry, creating a small splash upon impact, resulting in a sub-score of 9,0,</t>
  </si>
  <si>
    <t>The diver entered the water with a clean splash and a tucked position, indicating a high sub-score,</t>
  </si>
  <si>
    <t>The diver's balanced posture and readiness for takeoff contribute to a high score,</t>
  </si>
  <si>
    <t>The strong and clean takeoff is a key factor in the high score,</t>
  </si>
  <si>
    <t>The series of flips and straight body position during the flight are executed well,</t>
  </si>
  <si>
    <t>The clean entry is offset by the large splash, resulting in a lower score,</t>
  </si>
  <si>
    <t>qwen_3b_prompt_6_v</t>
  </si>
  <si>
    <t>qwen_3b_prompt_6</t>
  </si>
  <si>
    <t>qwen_3b_prompt_8</t>
  </si>
  <si>
    <t>qwen_3b_prompt_8_v</t>
  </si>
  <si>
    <t>llava_no_cond</t>
  </si>
  <si>
    <t>llava_no_cond_v</t>
  </si>
  <si>
    <t>minicpm_no_cond_v</t>
  </si>
  <si>
    <t>minicpm_no_cond</t>
  </si>
  <si>
    <t>inter_vl3_p6</t>
  </si>
  <si>
    <t>inter_vl3_p6_v</t>
  </si>
  <si>
    <t>inter_vl3_p8_v</t>
  </si>
  <si>
    <t>inter_vl3_p8</t>
  </si>
  <si>
    <t>inter_vl3_no_cond_v</t>
  </si>
  <si>
    <t>inter_vl3_no_cond</t>
  </si>
  <si>
    <t>qwen_32B_p6_v</t>
  </si>
  <si>
    <t>qwen_32B_p6</t>
  </si>
  <si>
    <t>qwen_32B_p8_v</t>
  </si>
  <si>
    <t>qwen_32B_p8</t>
  </si>
  <si>
    <t>qwen_32B_no_cond_v</t>
  </si>
  <si>
    <t>qwen_32B_no_cond</t>
  </si>
  <si>
    <t>llava_p6_weighted</t>
  </si>
  <si>
    <t>minicpm_p6_weighted</t>
  </si>
  <si>
    <t>best_cal</t>
  </si>
  <si>
    <t>split</t>
  </si>
  <si>
    <t>test</t>
  </si>
  <si>
    <t>train</t>
  </si>
  <si>
    <t>qwen_7b_no_cond_inference_time_s</t>
  </si>
  <si>
    <t>qwen_3b_prompt_no_cond_v</t>
  </si>
  <si>
    <t>qwen_7b_p6_inference_time_s</t>
  </si>
  <si>
    <t>qwen_7b_p8</t>
  </si>
  <si>
    <t>qwen_7b_p8_v</t>
  </si>
  <si>
    <t>qwen_7b_p6_v</t>
  </si>
  <si>
    <t>qwen_7b_p6</t>
  </si>
  <si>
    <t>qwen_7b_no_cond_v</t>
  </si>
  <si>
    <t>qwen_7b_no_cond</t>
  </si>
  <si>
    <t>qwen_7b_cond_v</t>
  </si>
  <si>
    <t>qwen_7b_cond</t>
  </si>
  <si>
    <t>qwen_3b_prompt_no_cond</t>
  </si>
  <si>
    <t>qwen_7b_p8_inference_time_s</t>
  </si>
  <si>
    <t>qwen_3b_prompt_no_cond_inference_time_s</t>
  </si>
  <si>
    <t>inter_vl3_p6_inference_time_s</t>
  </si>
  <si>
    <t>inter_vl3_p8_inference_time_s</t>
  </si>
  <si>
    <t>inter_vl3_no_cond_inference_time_s</t>
  </si>
  <si>
    <t>qwen_32B_no_cond_inference_time_s</t>
  </si>
  <si>
    <t>qwen_32B_p6_inference_time_s</t>
  </si>
  <si>
    <t>qwen_32B_p8_inference_time_s</t>
  </si>
  <si>
    <t>llava_no_cond_inference_time_s</t>
  </si>
  <si>
    <t>83.23</t>
  </si>
  <si>
    <t>103.66</t>
  </si>
  <si>
    <t>100.64</t>
  </si>
  <si>
    <t>81.97</t>
  </si>
  <si>
    <t>78.5</t>
  </si>
  <si>
    <t>49.46</t>
  </si>
  <si>
    <t>67.49</t>
  </si>
  <si>
    <t>72.65</t>
  </si>
  <si>
    <t>73.54</t>
  </si>
  <si>
    <t>68.54</t>
  </si>
  <si>
    <t>72.53</t>
  </si>
  <si>
    <t>104.4</t>
  </si>
  <si>
    <t>78.95</t>
  </si>
  <si>
    <t>123.54</t>
  </si>
  <si>
    <t>108.25</t>
  </si>
  <si>
    <t>108.95</t>
  </si>
  <si>
    <t>105.35</t>
  </si>
  <si>
    <t>111.29</t>
  </si>
  <si>
    <t>107.37</t>
  </si>
  <si>
    <t>96.39</t>
  </si>
  <si>
    <t>89.62</t>
  </si>
  <si>
    <t>101.51</t>
  </si>
  <si>
    <t>93.88</t>
  </si>
  <si>
    <t>95.73</t>
  </si>
  <si>
    <t>102.9</t>
  </si>
  <si>
    <t>73.84</t>
  </si>
  <si>
    <t>64.09</t>
  </si>
  <si>
    <t>71.14</t>
  </si>
  <si>
    <t>64.76</t>
  </si>
  <si>
    <t>55.46</t>
  </si>
  <si>
    <t>64.32</t>
  </si>
  <si>
    <t>65.5</t>
  </si>
  <si>
    <t>68.09</t>
  </si>
  <si>
    <t>61.36</t>
  </si>
  <si>
    <t>74.11</t>
  </si>
  <si>
    <t>61.87</t>
  </si>
  <si>
    <t>70.22</t>
  </si>
  <si>
    <t>67.1</t>
  </si>
  <si>
    <t>72.0</t>
  </si>
  <si>
    <t>69.04</t>
  </si>
  <si>
    <t>70.13</t>
  </si>
  <si>
    <t>74.08</t>
  </si>
  <si>
    <t>70.52</t>
  </si>
  <si>
    <t>67.56</t>
  </si>
  <si>
    <t>57.81</t>
  </si>
  <si>
    <t>77.49</t>
  </si>
  <si>
    <t>61.55</t>
  </si>
  <si>
    <t>82.2</t>
  </si>
  <si>
    <t>124.59</t>
  </si>
  <si>
    <t>113.53</t>
  </si>
  <si>
    <t>123.01</t>
  </si>
  <si>
    <t>105.95</t>
  </si>
  <si>
    <t>94.21</t>
  </si>
  <si>
    <t>78.2</t>
  </si>
  <si>
    <t>76.98</t>
  </si>
  <si>
    <t>81.75</t>
  </si>
  <si>
    <t>72.93</t>
  </si>
  <si>
    <t>76.31</t>
  </si>
  <si>
    <t>85.95</t>
  </si>
  <si>
    <t>78.16</t>
  </si>
  <si>
    <t>80.25</t>
  </si>
  <si>
    <t>74.46</t>
  </si>
  <si>
    <t>73.5</t>
  </si>
  <si>
    <t>63.5</t>
  </si>
  <si>
    <t>77.22</t>
  </si>
  <si>
    <t>63.96</t>
  </si>
  <si>
    <t>74.76</t>
  </si>
  <si>
    <t>58.84</t>
  </si>
  <si>
    <t>59.47</t>
  </si>
  <si>
    <t>61.22</t>
  </si>
  <si>
    <t>61.24</t>
  </si>
  <si>
    <t>63.56</t>
  </si>
  <si>
    <t>67.15</t>
  </si>
  <si>
    <t>61.18</t>
  </si>
  <si>
    <t>57.14</t>
  </si>
  <si>
    <t>70.23</t>
  </si>
  <si>
    <t>68.03</t>
  </si>
  <si>
    <t>68.1</t>
  </si>
  <si>
    <t>61.47</t>
  </si>
  <si>
    <t>70.54</t>
  </si>
  <si>
    <t>71.6</t>
  </si>
  <si>
    <t>62.85</t>
  </si>
  <si>
    <t>74.69</t>
  </si>
  <si>
    <t>71.42</t>
  </si>
  <si>
    <t>81.55</t>
  </si>
  <si>
    <t>66.03</t>
  </si>
  <si>
    <t>56.18</t>
  </si>
  <si>
    <t>58.22</t>
  </si>
  <si>
    <t>65.0</t>
  </si>
  <si>
    <t>77.68</t>
  </si>
  <si>
    <t>70.71</t>
  </si>
  <si>
    <t>66.88</t>
  </si>
  <si>
    <t>68.18</t>
  </si>
  <si>
    <t>70.11</t>
  </si>
  <si>
    <t>69.67</t>
  </si>
  <si>
    <t>102.74</t>
  </si>
  <si>
    <t>112.79</t>
  </si>
  <si>
    <t>131.28</t>
  </si>
  <si>
    <t>126.43</t>
  </si>
  <si>
    <t>125.21</t>
  </si>
  <si>
    <t>81.66</t>
  </si>
  <si>
    <t>71.94</t>
  </si>
  <si>
    <t>64.25</t>
  </si>
  <si>
    <t>66.76</t>
  </si>
  <si>
    <t>73.2</t>
  </si>
  <si>
    <t>58.83</t>
  </si>
  <si>
    <t>93.11</t>
  </si>
  <si>
    <t>85.02</t>
  </si>
  <si>
    <t>88.09</t>
  </si>
  <si>
    <t>92.29</t>
  </si>
  <si>
    <t>72.97</t>
  </si>
  <si>
    <t>92.28</t>
  </si>
  <si>
    <t>73.37</t>
  </si>
  <si>
    <t>66.37</t>
  </si>
  <si>
    <t>66.87</t>
  </si>
  <si>
    <t>68.04</t>
  </si>
  <si>
    <t>65.81</t>
  </si>
  <si>
    <t>67.83</t>
  </si>
  <si>
    <t>61.49</t>
  </si>
  <si>
    <t>66.17</t>
  </si>
  <si>
    <t>70.36</t>
  </si>
  <si>
    <t>78.77</t>
  </si>
  <si>
    <t>84.04</t>
  </si>
  <si>
    <t>74.89</t>
  </si>
  <si>
    <t>66.36</t>
  </si>
  <si>
    <t>74.3</t>
  </si>
  <si>
    <t>74.63</t>
  </si>
  <si>
    <t>70.14</t>
  </si>
  <si>
    <t>83.95</t>
  </si>
  <si>
    <t>101.16</t>
  </si>
  <si>
    <t>115.27</t>
  </si>
  <si>
    <t>96.08</t>
  </si>
  <si>
    <t>98.5</t>
  </si>
  <si>
    <t>79.13</t>
  </si>
  <si>
    <t>82.63</t>
  </si>
  <si>
    <t>89.49</t>
  </si>
  <si>
    <t>73.41</t>
  </si>
  <si>
    <t>77.18</t>
  </si>
  <si>
    <t>66.4</t>
  </si>
  <si>
    <t>68.86</t>
  </si>
  <si>
    <t>74.82</t>
  </si>
  <si>
    <t>84.15</t>
  </si>
  <si>
    <t>78.18</t>
  </si>
  <si>
    <t>84.56</t>
  </si>
  <si>
    <t>69.28</t>
  </si>
  <si>
    <t>90.42</t>
  </si>
  <si>
    <t>105.38</t>
  </si>
  <si>
    <t>85.55</t>
  </si>
  <si>
    <t>95.34</t>
  </si>
  <si>
    <t>95.96</t>
  </si>
  <si>
    <t>76.57</t>
  </si>
  <si>
    <t>66.73</t>
  </si>
  <si>
    <t>69.17</t>
  </si>
  <si>
    <t>67.68</t>
  </si>
  <si>
    <t>76.54</t>
  </si>
  <si>
    <t>66.33</t>
  </si>
  <si>
    <t>74.01</t>
  </si>
  <si>
    <t>64.11</t>
  </si>
  <si>
    <t>65.75</t>
  </si>
  <si>
    <t>68.06</t>
  </si>
  <si>
    <t>61.73</t>
  </si>
  <si>
    <t>69.92</t>
  </si>
  <si>
    <t>71.89</t>
  </si>
  <si>
    <t>76.06</t>
  </si>
  <si>
    <t>67.64</t>
  </si>
  <si>
    <t>67.88</t>
  </si>
  <si>
    <t>54.91</t>
  </si>
  <si>
    <t>62.72</t>
  </si>
  <si>
    <t>76.18</t>
  </si>
  <si>
    <t>54.9</t>
  </si>
  <si>
    <t>64.31</t>
  </si>
  <si>
    <t>52.97</t>
  </si>
  <si>
    <t>66.08</t>
  </si>
  <si>
    <t>61.17</t>
  </si>
  <si>
    <t>62.91</t>
  </si>
  <si>
    <t>65.28</t>
  </si>
  <si>
    <t>63.72</t>
  </si>
  <si>
    <t>75.19</t>
  </si>
  <si>
    <t>65.05</t>
  </si>
  <si>
    <t>63.16</t>
  </si>
  <si>
    <t>68.41</t>
  </si>
  <si>
    <t>65.36</t>
  </si>
  <si>
    <t>68.27</t>
  </si>
  <si>
    <t>59.64</t>
  </si>
  <si>
    <t>61.25</t>
  </si>
  <si>
    <t>63.51</t>
  </si>
  <si>
    <t>59.83</t>
  </si>
  <si>
    <t>65.06</t>
  </si>
  <si>
    <t>72.48</t>
  </si>
  <si>
    <t>58.16</t>
  </si>
  <si>
    <t>65.63</t>
  </si>
  <si>
    <t>57.69</t>
  </si>
  <si>
    <t>74.93</t>
  </si>
  <si>
    <t>123.16</t>
  </si>
  <si>
    <t>116.41</t>
  </si>
  <si>
    <t>99.46</t>
  </si>
  <si>
    <t>127.56</t>
  </si>
  <si>
    <t>103.95</t>
  </si>
  <si>
    <t>82.03</t>
  </si>
  <si>
    <t>73.76</t>
  </si>
  <si>
    <t>70.59</t>
  </si>
  <si>
    <t>77.1</t>
  </si>
  <si>
    <t>70.87</t>
  </si>
  <si>
    <t>66.29</t>
  </si>
  <si>
    <t>73.0</t>
  </si>
  <si>
    <t>64.8</t>
  </si>
  <si>
    <t>64.06</t>
  </si>
  <si>
    <t>68.76</t>
  </si>
  <si>
    <t>64.22</t>
  </si>
  <si>
    <t>65.2</t>
  </si>
  <si>
    <t>59.65</t>
  </si>
  <si>
    <t>52.47</t>
  </si>
  <si>
    <t>63.97</t>
  </si>
  <si>
    <t>71.35</t>
  </si>
  <si>
    <t>70.05</t>
  </si>
  <si>
    <t>73.72</t>
  </si>
  <si>
    <t>64.89</t>
  </si>
  <si>
    <t>65.17</t>
  </si>
  <si>
    <t>59.25</t>
  </si>
  <si>
    <t>53.49</t>
  </si>
  <si>
    <t>64.98</t>
  </si>
  <si>
    <t>71.71</t>
  </si>
  <si>
    <t>64.55</t>
  </si>
  <si>
    <t>69.22</t>
  </si>
  <si>
    <t>62.14</t>
  </si>
  <si>
    <t>73.04</t>
  </si>
  <si>
    <t>55.05</t>
  </si>
  <si>
    <t>56.09</t>
  </si>
  <si>
    <t>62.53</t>
  </si>
  <si>
    <t>58.94</t>
  </si>
  <si>
    <t>61.89</t>
  </si>
  <si>
    <t>66.28</t>
  </si>
  <si>
    <t>68.57</t>
  </si>
  <si>
    <t>61.13</t>
  </si>
  <si>
    <t>68.4</t>
  </si>
  <si>
    <t>67.72</t>
  </si>
  <si>
    <t>68.37</t>
  </si>
  <si>
    <t>68.16</t>
  </si>
  <si>
    <t>65.57</t>
  </si>
  <si>
    <t>71.12</t>
  </si>
  <si>
    <t>72.94</t>
  </si>
  <si>
    <t>61.07</t>
  </si>
  <si>
    <t>69.72</t>
  </si>
  <si>
    <t>77.44</t>
  </si>
  <si>
    <t>75.59</t>
  </si>
  <si>
    <t>68.96</t>
  </si>
  <si>
    <t>57.78</t>
  </si>
  <si>
    <t>73.68</t>
  </si>
  <si>
    <t>74.26</t>
  </si>
  <si>
    <t>67.41</t>
  </si>
  <si>
    <t>69.8</t>
  </si>
  <si>
    <t>69.74</t>
  </si>
  <si>
    <t>75.4</t>
  </si>
  <si>
    <t>77.46</t>
  </si>
  <si>
    <t>67.09</t>
  </si>
  <si>
    <t>86.12</t>
  </si>
  <si>
    <t>134.68</t>
  </si>
  <si>
    <t>110.44</t>
  </si>
  <si>
    <t>132.38</t>
  </si>
  <si>
    <t>127.83</t>
  </si>
  <si>
    <t>96.93</t>
  </si>
  <si>
    <t>74.32</t>
  </si>
  <si>
    <t>76.0</t>
  </si>
  <si>
    <t>59.63</t>
  </si>
  <si>
    <t>71.25</t>
  </si>
  <si>
    <t>79.23</t>
  </si>
  <si>
    <t>70.68</t>
  </si>
  <si>
    <t>75.13</t>
  </si>
  <si>
    <t>73.79</t>
  </si>
  <si>
    <t>72.86</t>
  </si>
  <si>
    <t>73.52</t>
  </si>
  <si>
    <t>69.63</t>
  </si>
  <si>
    <t>64.82</t>
  </si>
  <si>
    <t>65.94</t>
  </si>
  <si>
    <t>71.81</t>
  </si>
  <si>
    <t>68.8</t>
  </si>
  <si>
    <t>54.38</t>
  </si>
  <si>
    <t>60.24</t>
  </si>
  <si>
    <t>60.67</t>
  </si>
  <si>
    <t>56.63</t>
  </si>
  <si>
    <t>67.07</t>
  </si>
  <si>
    <t>55.86</t>
  </si>
  <si>
    <t>63.11</t>
  </si>
  <si>
    <t>57.49</t>
  </si>
  <si>
    <t>65.86</t>
  </si>
  <si>
    <t>66.65</t>
  </si>
  <si>
    <t>65.78</t>
  </si>
  <si>
    <t>66.21</t>
  </si>
  <si>
    <t>72.52</t>
  </si>
  <si>
    <t>65.88</t>
  </si>
  <si>
    <t>71.58</t>
  </si>
  <si>
    <t>60.48</t>
  </si>
  <si>
    <t>60.93</t>
  </si>
  <si>
    <t>65.64</t>
  </si>
  <si>
    <t>93.72</t>
  </si>
  <si>
    <t>75.04</t>
  </si>
  <si>
    <t>66.18</t>
  </si>
  <si>
    <t>70.2</t>
  </si>
  <si>
    <t>64.84</t>
  </si>
  <si>
    <t>62.92</t>
  </si>
  <si>
    <t>56.59</t>
  </si>
  <si>
    <t>71.77</t>
  </si>
  <si>
    <t>65.39</t>
  </si>
  <si>
    <t>77.75</t>
  </si>
  <si>
    <t>74.66</t>
  </si>
  <si>
    <t>87.43</t>
  </si>
  <si>
    <t>65.72</t>
  </si>
  <si>
    <t>71.87</t>
  </si>
  <si>
    <t>77.8</t>
  </si>
  <si>
    <t>65.85</t>
  </si>
  <si>
    <t>67.9</t>
  </si>
  <si>
    <t>87.2</t>
  </si>
  <si>
    <t>90.16</t>
  </si>
  <si>
    <t>90.0</t>
  </si>
  <si>
    <t>72.24</t>
  </si>
  <si>
    <t>86.03</t>
  </si>
  <si>
    <t>88.6</t>
  </si>
  <si>
    <t>129.35</t>
  </si>
  <si>
    <t>113.37</t>
  </si>
  <si>
    <t>129.4</t>
  </si>
  <si>
    <t>129.58</t>
  </si>
  <si>
    <t>139.69</t>
  </si>
  <si>
    <t>121.22</t>
  </si>
  <si>
    <t>102.92</t>
  </si>
  <si>
    <t>127.68</t>
  </si>
  <si>
    <t>139.84</t>
  </si>
  <si>
    <t>73.19</t>
  </si>
  <si>
    <t>62.07</t>
  </si>
  <si>
    <t>74.33</t>
  </si>
  <si>
    <t>76.09</t>
  </si>
  <si>
    <t>75.82</t>
  </si>
  <si>
    <t>61.4</t>
  </si>
  <si>
    <t>57.24</t>
  </si>
  <si>
    <t>53.81</t>
  </si>
  <si>
    <t>64.97</t>
  </si>
  <si>
    <t>65.41</t>
  </si>
  <si>
    <t>74.72</t>
  </si>
  <si>
    <t>66.52</t>
  </si>
  <si>
    <t>66.43</t>
  </si>
  <si>
    <t>64.65</t>
  </si>
  <si>
    <t>79.89</t>
  </si>
  <si>
    <t>82.95</t>
  </si>
  <si>
    <t>71.05</t>
  </si>
  <si>
    <t>61.14</t>
  </si>
  <si>
    <t>69.09</t>
  </si>
  <si>
    <t>75.92</t>
  </si>
  <si>
    <t>80.99</t>
  </si>
  <si>
    <t>73.16</t>
  </si>
  <si>
    <t>72.07</t>
  </si>
  <si>
    <t>61.52</t>
  </si>
  <si>
    <t>69.56</t>
  </si>
  <si>
    <t>qwen_3b_prompt_6_inference_time_s</t>
  </si>
  <si>
    <t>qwen_3b_prompt_8_inference_time_s</t>
  </si>
  <si>
    <t>pred_GBR_txt_score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</si>
</sst>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43" fontId="0" fillId="0" borderId="0" xfId="1" applyFont="1"/>
    <xf numFmtId="10" fontId="0" fillId="0" borderId="0" xfId="2" applyNumberFormat="1" applyFont="1"/>
    <xf numFmtId="43" fontId="0" fillId="34" borderId="0" xfId="1" applyFont="1" applyFill="1"/>
    <xf numFmtId="0" fontId="0" fillId="34" borderId="0" xfId="0" applyFill="1"/>
    <xf numFmtId="0" fontId="0" fillId="35" borderId="0" xfId="0" applyFill="1"/>
    <xf numFmtId="43" fontId="0" fillId="35" borderId="0" xfId="1" applyFont="1" applyFill="1"/>
    <xf numFmtId="43" fontId="0" fillId="0" borderId="0" xfId="1" applyFont="1" applyFill="1"/>
    <xf numFmtId="0" fontId="0" fillId="0" borderId="0" xfId="0" applyFill="1"/>
    <xf numFmtId="43" fontId="0" fillId="36" borderId="0" xfId="1" applyFont="1" applyFill="1"/>
    <xf numFmtId="0" fontId="0" fillId="36" borderId="0" xfId="0" applyFill="1"/>
    <xf numFmtId="0" fontId="0" fillId="33" borderId="0" xfId="0" applyFill="1"/>
    <xf numFmtId="43" fontId="0" fillId="37" borderId="0" xfId="1" applyFont="1" applyFill="1"/>
    <xf numFmtId="0" fontId="0" fillId="38" borderId="0" xfId="0" applyFill="1"/>
    <xf numFmtId="43" fontId="0" fillId="38" borderId="0" xfId="1" applyFont="1" applyFill="1"/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L371"/>
  <sheetViews>
    <sheetView tabSelected="1" topLeftCell="A94" zoomScaleNormal="100" workbookViewId="0">
      <selection activeCell="A180" sqref="A180"/>
    </sheetView>
  </sheetViews>
  <sheetFormatPr baseColWidth="10" defaultRowHeight="15" x14ac:dyDescent="0.25"/>
  <cols>
    <col min="2" max="2" width="13.5703125" bestFit="1" customWidth="1"/>
    <col min="3" max="3" width="17.140625" style="4" bestFit="1" customWidth="1"/>
    <col min="4" max="4" width="17.85546875" bestFit="1" customWidth="1"/>
    <col min="5" max="5" width="12.140625" style="1" customWidth="1"/>
    <col min="6" max="6" width="6.85546875" style="1" customWidth="1"/>
    <col min="7" max="9" width="31.5703125" bestFit="1" customWidth="1"/>
    <col min="10" max="10" width="19" bestFit="1" customWidth="1"/>
    <col min="11" max="11" width="24.85546875" bestFit="1" customWidth="1"/>
    <col min="12" max="12" width="37.85546875" style="2" bestFit="1" customWidth="1"/>
    <col min="13" max="13" width="37.140625" bestFit="1" customWidth="1"/>
    <col min="14" max="14" width="27.7109375" bestFit="1" customWidth="1"/>
    <col min="15" max="15" width="25.5703125" bestFit="1" customWidth="1"/>
    <col min="16" max="16" width="24.28515625" style="5" bestFit="1" customWidth="1"/>
    <col min="17" max="17" width="22.28515625" style="5" customWidth="1"/>
    <col min="18" max="18" width="7.140625" style="13" customWidth="1"/>
    <col min="19" max="19" width="11.7109375" customWidth="1"/>
    <col min="21" max="21" width="22.5703125" style="7" customWidth="1"/>
    <col min="22" max="22" width="38.140625" bestFit="1" customWidth="1"/>
    <col min="23" max="23" width="23.140625" bestFit="1" customWidth="1"/>
    <col min="24" max="24" width="22.5703125" style="6" customWidth="1"/>
    <col min="25" max="25" width="15" customWidth="1"/>
    <col min="26" max="26" width="17.140625" customWidth="1"/>
    <col min="27" max="27" width="15.42578125" customWidth="1"/>
    <col min="28" max="28" width="7.42578125" style="13" customWidth="1"/>
    <col min="29" max="29" width="24.28515625" bestFit="1" customWidth="1"/>
    <col min="30" max="30" width="13.5703125" customWidth="1"/>
    <col min="31" max="31" width="24.140625" style="2" customWidth="1"/>
    <col min="32" max="32" width="17.7109375" customWidth="1"/>
    <col min="33" max="33" width="18" style="5" bestFit="1" customWidth="1"/>
    <col min="34" max="34" width="22.5703125" style="6" customWidth="1"/>
    <col min="35" max="35" width="6.42578125" style="14" customWidth="1"/>
    <col min="36" max="36" width="22.42578125" customWidth="1"/>
    <col min="37" max="37" width="22.5703125" style="7" customWidth="1"/>
    <col min="38" max="38" width="7.7109375" style="14" customWidth="1"/>
    <col min="39" max="39" width="14.28515625" customWidth="1"/>
    <col min="40" max="40" width="12.42578125" customWidth="1"/>
    <col min="41" max="41" width="16.42578125" style="7" customWidth="1"/>
    <col min="42" max="42" width="15" customWidth="1"/>
    <col min="43" max="43" width="16.28515625" bestFit="1" customWidth="1"/>
    <col min="44" max="44" width="14" customWidth="1"/>
    <col min="45" max="45" width="15.28515625" customWidth="1"/>
    <col min="46" max="46" width="19.5703125" bestFit="1" customWidth="1"/>
    <col min="47" max="47" width="19.5703125" customWidth="1"/>
    <col min="48" max="48" width="8.42578125" style="13" customWidth="1"/>
    <col min="49" max="49" width="32.5703125" bestFit="1" customWidth="1"/>
    <col min="50" max="50" width="17.5703125" bestFit="1" customWidth="1"/>
    <col min="51" max="51" width="19.5703125" customWidth="1"/>
    <col min="52" max="52" width="32.5703125" bestFit="1" customWidth="1"/>
    <col min="53" max="53" width="17.5703125" bestFit="1" customWidth="1"/>
    <col min="54" max="55" width="19.5703125" customWidth="1"/>
    <col min="56" max="56" width="20.85546875" bestFit="1" customWidth="1"/>
    <col min="57" max="57" width="20.85546875" customWidth="1"/>
    <col min="58" max="58" width="7.140625" style="13" customWidth="1"/>
    <col min="59" max="59" width="9" style="9" customWidth="1"/>
    <col min="60" max="60" width="22.5703125" style="1" bestFit="1" customWidth="1"/>
    <col min="61" max="61" width="11.5703125" customWidth="1"/>
    <col min="62" max="62" width="22.5703125" style="1" bestFit="1" customWidth="1"/>
    <col min="63" max="63" width="19" bestFit="1" customWidth="1"/>
    <col min="65" max="66" width="22.5703125" style="1" customWidth="1"/>
    <col min="67" max="67" width="14.5703125" style="2" customWidth="1"/>
    <col min="68" max="68" width="16" style="2" customWidth="1"/>
    <col min="69" max="69" width="13.7109375" style="2" customWidth="1"/>
    <col min="70" max="70" width="16.5703125" style="2" customWidth="1"/>
    <col min="72" max="72" width="22.85546875" bestFit="1" customWidth="1"/>
    <col min="100" max="100" width="17.7109375" bestFit="1" customWidth="1"/>
    <col min="101" max="101" width="19.140625" bestFit="1" customWidth="1"/>
    <col min="102" max="102" width="18.42578125" bestFit="1" customWidth="1"/>
    <col min="103" max="104" width="15.5703125" bestFit="1" customWidth="1"/>
    <col min="105" max="105" width="14.85546875" bestFit="1" customWidth="1"/>
    <col min="115" max="115" width="20.28515625" bestFit="1" customWidth="1"/>
    <col min="116" max="116" width="17.28515625" bestFit="1" customWidth="1"/>
    <col min="117" max="117" width="15.42578125" bestFit="1" customWidth="1"/>
    <col min="118" max="118" width="13.7109375" bestFit="1" customWidth="1"/>
    <col min="119" max="119" width="15.42578125" customWidth="1"/>
    <col min="122" max="122" width="16.5703125" customWidth="1"/>
    <col min="164" max="164" width="14.5703125" bestFit="1" customWidth="1"/>
    <col min="165" max="165" width="12.85546875" bestFit="1" customWidth="1"/>
    <col min="190" max="190" width="23.140625" bestFit="1" customWidth="1"/>
    <col min="191" max="191" width="20" bestFit="1" customWidth="1"/>
    <col min="192" max="192" width="18.28515625" bestFit="1" customWidth="1"/>
    <col min="193" max="194" width="16.5703125" bestFit="1" customWidth="1"/>
  </cols>
  <sheetData>
    <row r="1" spans="1:194" x14ac:dyDescent="0.25">
      <c r="A1" t="s">
        <v>0</v>
      </c>
      <c r="B1" t="s">
        <v>1</v>
      </c>
      <c r="C1" s="4" t="s">
        <v>2360</v>
      </c>
      <c r="D1" t="s">
        <v>2361</v>
      </c>
      <c r="E1" s="1" t="s">
        <v>2386</v>
      </c>
      <c r="G1" t="s">
        <v>6120</v>
      </c>
      <c r="H1" t="s">
        <v>6123</v>
      </c>
      <c r="I1" t="s">
        <v>6124</v>
      </c>
      <c r="J1" t="s">
        <v>6130</v>
      </c>
      <c r="K1" s="11" t="s">
        <v>6122</v>
      </c>
      <c r="L1" s="12" t="s">
        <v>6121</v>
      </c>
      <c r="M1" t="s">
        <v>6118</v>
      </c>
      <c r="N1" s="11" t="s">
        <v>6125</v>
      </c>
      <c r="O1" t="s">
        <v>6126</v>
      </c>
      <c r="P1" s="5" t="s">
        <v>6127</v>
      </c>
      <c r="Q1" s="5" t="s">
        <v>6128</v>
      </c>
      <c r="S1" t="s">
        <v>6490</v>
      </c>
      <c r="T1" t="s">
        <v>6092</v>
      </c>
      <c r="U1" t="s">
        <v>6093</v>
      </c>
      <c r="V1" t="s">
        <v>6491</v>
      </c>
      <c r="W1" t="s">
        <v>6095</v>
      </c>
      <c r="X1" s="5" t="s">
        <v>6094</v>
      </c>
      <c r="Y1" t="s">
        <v>6131</v>
      </c>
      <c r="Z1" s="8" t="s">
        <v>6119</v>
      </c>
      <c r="AA1" s="8" t="s">
        <v>6129</v>
      </c>
      <c r="AC1" t="s">
        <v>578</v>
      </c>
      <c r="AD1" t="s">
        <v>2392</v>
      </c>
      <c r="AE1" s="12" t="s">
        <v>6112</v>
      </c>
      <c r="AF1" t="s">
        <v>6138</v>
      </c>
      <c r="AG1" s="5" t="s">
        <v>6097</v>
      </c>
      <c r="AH1" t="s">
        <v>6096</v>
      </c>
      <c r="AI1" s="13"/>
      <c r="AJ1" t="s">
        <v>6098</v>
      </c>
      <c r="AK1" t="s">
        <v>6099</v>
      </c>
      <c r="AL1" s="13"/>
      <c r="AM1" t="s">
        <v>6132</v>
      </c>
      <c r="AN1" s="8" t="s">
        <v>6101</v>
      </c>
      <c r="AO1" t="s">
        <v>6100</v>
      </c>
      <c r="AP1" t="s">
        <v>6133</v>
      </c>
      <c r="AQ1" s="11" t="s">
        <v>6102</v>
      </c>
      <c r="AR1" t="s">
        <v>6103</v>
      </c>
      <c r="AS1" t="s">
        <v>6134</v>
      </c>
      <c r="AT1" s="11" t="s">
        <v>6104</v>
      </c>
      <c r="AU1" t="s">
        <v>6105</v>
      </c>
      <c r="AW1" t="s">
        <v>6136</v>
      </c>
      <c r="AX1" s="11" t="s">
        <v>6106</v>
      </c>
      <c r="AY1" t="s">
        <v>6107</v>
      </c>
      <c r="AZ1" t="s">
        <v>6137</v>
      </c>
      <c r="BA1" t="s">
        <v>6108</v>
      </c>
      <c r="BB1" t="s">
        <v>6109</v>
      </c>
      <c r="BC1" t="s">
        <v>6135</v>
      </c>
      <c r="BD1" s="11" t="s">
        <v>6110</v>
      </c>
      <c r="BE1" t="s">
        <v>6111</v>
      </c>
      <c r="BH1" s="1" t="s">
        <v>2399</v>
      </c>
      <c r="BJ1" s="1" t="s">
        <v>2395</v>
      </c>
      <c r="BK1" t="s">
        <v>6492</v>
      </c>
      <c r="BL1" t="s">
        <v>6115</v>
      </c>
      <c r="BM1" s="1" t="s">
        <v>6114</v>
      </c>
      <c r="BO1" s="12" t="s">
        <v>6113</v>
      </c>
      <c r="BP1" s="1" t="s">
        <v>2396</v>
      </c>
      <c r="BQ1" s="1" t="s">
        <v>2397</v>
      </c>
      <c r="BR1" s="1" t="s">
        <v>2398</v>
      </c>
      <c r="BT1" t="s">
        <v>3</v>
      </c>
      <c r="BU1" t="s">
        <v>4</v>
      </c>
      <c r="BV1" t="s">
        <v>5</v>
      </c>
      <c r="BW1" t="s">
        <v>6</v>
      </c>
      <c r="BX1" t="s">
        <v>7</v>
      </c>
      <c r="BY1" t="s">
        <v>8</v>
      </c>
      <c r="BZ1" t="s">
        <v>9</v>
      </c>
      <c r="CA1" t="s">
        <v>2400</v>
      </c>
      <c r="CB1" t="s">
        <v>2401</v>
      </c>
      <c r="CC1" t="s">
        <v>2402</v>
      </c>
      <c r="CD1" t="s">
        <v>2403</v>
      </c>
      <c r="CE1" t="s">
        <v>2404</v>
      </c>
      <c r="CF1" t="s">
        <v>2405</v>
      </c>
      <c r="CG1" t="s">
        <v>2406</v>
      </c>
      <c r="CH1" t="s">
        <v>2407</v>
      </c>
      <c r="CI1" t="s">
        <v>2408</v>
      </c>
      <c r="CJ1" t="s">
        <v>2409</v>
      </c>
      <c r="CK1" t="s">
        <v>2410</v>
      </c>
      <c r="CL1" t="s">
        <v>2411</v>
      </c>
      <c r="CM1" t="s">
        <v>2412</v>
      </c>
      <c r="CN1" t="s">
        <v>2413</v>
      </c>
      <c r="CO1" t="s">
        <v>2414</v>
      </c>
      <c r="CP1" t="s">
        <v>2415</v>
      </c>
      <c r="CQ1" t="s">
        <v>2416</v>
      </c>
      <c r="CR1" t="s">
        <v>2417</v>
      </c>
      <c r="CS1" t="s">
        <v>2418</v>
      </c>
      <c r="CT1" t="s">
        <v>2419</v>
      </c>
      <c r="CV1" t="s">
        <v>10</v>
      </c>
      <c r="CW1" t="s">
        <v>11</v>
      </c>
      <c r="CX1" t="s">
        <v>12</v>
      </c>
      <c r="CY1" t="s">
        <v>13</v>
      </c>
      <c r="CZ1" t="s">
        <v>14</v>
      </c>
      <c r="DA1" t="s">
        <v>15</v>
      </c>
      <c r="DB1" t="s">
        <v>16</v>
      </c>
      <c r="DC1" t="s">
        <v>17</v>
      </c>
      <c r="DD1" t="s">
        <v>18</v>
      </c>
      <c r="DE1" t="s">
        <v>19</v>
      </c>
      <c r="DF1" t="s">
        <v>26</v>
      </c>
      <c r="DG1" t="s">
        <v>25</v>
      </c>
      <c r="DH1" t="s">
        <v>24</v>
      </c>
      <c r="DI1" t="s">
        <v>23</v>
      </c>
      <c r="DJ1" t="s">
        <v>22</v>
      </c>
      <c r="DK1" t="s">
        <v>21</v>
      </c>
      <c r="DL1" t="s">
        <v>20</v>
      </c>
      <c r="DM1" t="s">
        <v>2387</v>
      </c>
      <c r="DN1" t="s">
        <v>2388</v>
      </c>
      <c r="DO1" t="s">
        <v>2389</v>
      </c>
      <c r="DQ1" t="s">
        <v>579</v>
      </c>
      <c r="DR1" t="s">
        <v>580</v>
      </c>
      <c r="DS1" t="s">
        <v>581</v>
      </c>
      <c r="DT1" t="s">
        <v>582</v>
      </c>
      <c r="DU1" t="s">
        <v>583</v>
      </c>
      <c r="DV1" t="s">
        <v>584</v>
      </c>
      <c r="DW1" t="s">
        <v>3749</v>
      </c>
      <c r="DX1" t="s">
        <v>3750</v>
      </c>
      <c r="DY1" t="s">
        <v>3751</v>
      </c>
      <c r="DZ1" t="s">
        <v>3752</v>
      </c>
      <c r="EA1" t="s">
        <v>3753</v>
      </c>
      <c r="EB1" t="s">
        <v>3754</v>
      </c>
      <c r="EC1" t="s">
        <v>3755</v>
      </c>
      <c r="ED1" t="s">
        <v>3756</v>
      </c>
      <c r="EE1" t="s">
        <v>3757</v>
      </c>
      <c r="EF1" t="s">
        <v>3758</v>
      </c>
      <c r="EG1" t="s">
        <v>3759</v>
      </c>
      <c r="EH1" t="s">
        <v>3760</v>
      </c>
      <c r="EI1" t="s">
        <v>3761</v>
      </c>
      <c r="EJ1" t="s">
        <v>3762</v>
      </c>
      <c r="EK1" t="s">
        <v>3763</v>
      </c>
      <c r="EL1" t="s">
        <v>3764</v>
      </c>
      <c r="EM1" t="s">
        <v>3765</v>
      </c>
      <c r="EN1" t="s">
        <v>3766</v>
      </c>
      <c r="EO1" t="s">
        <v>3767</v>
      </c>
      <c r="EP1" t="s">
        <v>3768</v>
      </c>
      <c r="EQ1" t="s">
        <v>585</v>
      </c>
      <c r="ER1" t="s">
        <v>586</v>
      </c>
      <c r="ES1" t="s">
        <v>587</v>
      </c>
      <c r="ET1" t="s">
        <v>588</v>
      </c>
      <c r="EU1" t="s">
        <v>589</v>
      </c>
      <c r="EV1" t="s">
        <v>590</v>
      </c>
      <c r="EW1" t="s">
        <v>591</v>
      </c>
      <c r="EX1" t="s">
        <v>592</v>
      </c>
      <c r="EY1" t="s">
        <v>601</v>
      </c>
      <c r="EZ1" t="s">
        <v>600</v>
      </c>
      <c r="FA1" t="s">
        <v>599</v>
      </c>
      <c r="FB1" t="s">
        <v>598</v>
      </c>
      <c r="FC1" t="s">
        <v>597</v>
      </c>
      <c r="FD1" t="s">
        <v>596</v>
      </c>
      <c r="FE1" t="s">
        <v>595</v>
      </c>
      <c r="FF1" t="s">
        <v>594</v>
      </c>
      <c r="FG1" t="s">
        <v>593</v>
      </c>
      <c r="FH1" t="s">
        <v>2390</v>
      </c>
      <c r="FI1" s="11" t="s">
        <v>2392</v>
      </c>
      <c r="FJ1" t="s">
        <v>2391</v>
      </c>
      <c r="FL1" t="s">
        <v>2380</v>
      </c>
      <c r="FM1" t="s">
        <v>2381</v>
      </c>
      <c r="FN1" t="s">
        <v>2382</v>
      </c>
      <c r="FO1" t="s">
        <v>2383</v>
      </c>
      <c r="FP1" t="s">
        <v>2384</v>
      </c>
      <c r="FQ1" t="s">
        <v>2385</v>
      </c>
      <c r="FR1" t="s">
        <v>2379</v>
      </c>
      <c r="FS1" t="s">
        <v>2378</v>
      </c>
      <c r="FT1" t="s">
        <v>2377</v>
      </c>
      <c r="FU1" t="s">
        <v>2376</v>
      </c>
      <c r="FV1" t="s">
        <v>2375</v>
      </c>
      <c r="FW1" t="s">
        <v>2374</v>
      </c>
      <c r="FX1" t="s">
        <v>2373</v>
      </c>
      <c r="FY1" t="s">
        <v>2372</v>
      </c>
      <c r="FZ1" t="s">
        <v>2371</v>
      </c>
      <c r="GA1" t="s">
        <v>2370</v>
      </c>
      <c r="GB1" t="s">
        <v>2369</v>
      </c>
      <c r="GC1" t="s">
        <v>2368</v>
      </c>
      <c r="GD1" t="s">
        <v>2367</v>
      </c>
      <c r="GE1" t="s">
        <v>2366</v>
      </c>
      <c r="GF1" t="s">
        <v>2365</v>
      </c>
      <c r="GG1" t="s">
        <v>2364</v>
      </c>
      <c r="GH1" t="s">
        <v>2363</v>
      </c>
      <c r="GI1" t="s">
        <v>2362</v>
      </c>
      <c r="GJ1" t="s">
        <v>2393</v>
      </c>
      <c r="GK1" t="s">
        <v>2394</v>
      </c>
      <c r="GL1" t="s">
        <v>2394</v>
      </c>
    </row>
    <row r="2" spans="1:194" x14ac:dyDescent="0.25">
      <c r="A2">
        <v>238</v>
      </c>
      <c r="B2" t="s">
        <v>2</v>
      </c>
      <c r="C2" s="4">
        <v>99.75</v>
      </c>
      <c r="D2">
        <v>3.5</v>
      </c>
      <c r="E2" s="1">
        <f>C2/3/D2</f>
        <v>9.5</v>
      </c>
      <c r="G2">
        <v>40.25</v>
      </c>
      <c r="H2">
        <v>8.1999999999999993</v>
      </c>
      <c r="I2">
        <f>H2*D2*3</f>
        <v>86.1</v>
      </c>
      <c r="J2">
        <v>18.57</v>
      </c>
      <c r="K2">
        <v>9</v>
      </c>
      <c r="L2" s="3">
        <f>K2*3*D2</f>
        <v>94.5</v>
      </c>
      <c r="M2">
        <v>6.47</v>
      </c>
      <c r="N2">
        <v>5</v>
      </c>
      <c r="O2">
        <f>N2*D2*3</f>
        <v>52.5</v>
      </c>
      <c r="P2" s="5">
        <v>6.8</v>
      </c>
      <c r="Q2" s="5">
        <f>P2*D2*3</f>
        <v>71.400000000000006</v>
      </c>
      <c r="S2" t="s">
        <v>6369</v>
      </c>
      <c r="T2">
        <v>4.7</v>
      </c>
      <c r="U2" s="8">
        <f>T2*D2*3</f>
        <v>49.349999999999994</v>
      </c>
      <c r="V2">
        <v>33.64</v>
      </c>
      <c r="W2">
        <v>9</v>
      </c>
      <c r="X2" s="5">
        <f>W2*D2*3</f>
        <v>94.5</v>
      </c>
      <c r="Y2">
        <v>10.199999999999999</v>
      </c>
      <c r="Z2">
        <v>7.5</v>
      </c>
      <c r="AA2">
        <f>Z2*D2*3</f>
        <v>78.75</v>
      </c>
      <c r="AC2">
        <v>47.69</v>
      </c>
      <c r="AD2">
        <v>8</v>
      </c>
      <c r="AE2" s="1">
        <f>AD2*3*D2</f>
        <v>84</v>
      </c>
      <c r="AF2">
        <v>12</v>
      </c>
      <c r="AG2" s="5">
        <v>7</v>
      </c>
      <c r="AH2" s="5">
        <f>AG2*D2*3</f>
        <v>73.5</v>
      </c>
      <c r="AI2" s="13"/>
      <c r="AJ2">
        <v>23</v>
      </c>
      <c r="AK2" s="8">
        <f>AJ2*D2*3</f>
        <v>241.5</v>
      </c>
      <c r="AL2" s="13"/>
      <c r="AM2">
        <v>30.75</v>
      </c>
      <c r="AN2">
        <v>7.5</v>
      </c>
      <c r="AO2" s="8">
        <f>AN2*D2*3</f>
        <v>78.75</v>
      </c>
      <c r="AP2">
        <v>13.29</v>
      </c>
      <c r="AQ2">
        <v>8.6</v>
      </c>
      <c r="AR2">
        <f>AQ2*D2*3</f>
        <v>90.3</v>
      </c>
      <c r="AT2">
        <v>9.1</v>
      </c>
      <c r="AU2">
        <f>AT2*D2*3</f>
        <v>95.55</v>
      </c>
      <c r="AW2">
        <v>25.73</v>
      </c>
      <c r="AX2">
        <v>9.6</v>
      </c>
      <c r="AY2">
        <f>AX2*D2*3</f>
        <v>100.80000000000001</v>
      </c>
      <c r="AZ2">
        <v>25.73</v>
      </c>
      <c r="BA2">
        <v>8.6</v>
      </c>
      <c r="BB2">
        <f>BA2*D2*3</f>
        <v>90.3</v>
      </c>
      <c r="BD2">
        <v>8.1</v>
      </c>
      <c r="BE2">
        <f>BD2*D2*3</f>
        <v>85.05</v>
      </c>
      <c r="BG2" s="10"/>
      <c r="BH2" s="1">
        <f>CHOOSE(MATCH(MIN(ABS(BP2-C2),ABS(BQ2-C2),ABS(BR2-C2)),CHOOSE({1;2;3},ABS(BP2-C2),ABS(BQ2-C2),ABS(BR2-C2)),0),BP2,BQ2,BR2)</f>
        <v>94.5</v>
      </c>
      <c r="BJ2" s="1" cm="1">
        <f t="array" ref="BJ2">(INDEX(_xlfn._xlws.SORT(CHOOSE({1;2;3;4;5;6},BQ2,BR2,L2,AE2,BO2,BP2)),3) + INDEX(_xlfn._xlws.SORT(CHOOSE({1;2;3;4;5;6},BQ2,BR2,L2,AE2,BO2,BP2)),4))/2</f>
        <v>94.5</v>
      </c>
      <c r="BK2">
        <v>7.6652903872203701</v>
      </c>
      <c r="BL2" s="11" t="s">
        <v>6116</v>
      </c>
      <c r="BM2" s="1">
        <f>BK2*3*D2</f>
        <v>80.485549065813885</v>
      </c>
      <c r="BN2" s="1">
        <f>BM2-C2</f>
        <v>-19.264450934186115</v>
      </c>
      <c r="BO2" s="1">
        <f>GK2*3*D2</f>
        <v>100.27500000000001</v>
      </c>
      <c r="BP2" s="1">
        <f>DO2*3*D2</f>
        <v>94.5</v>
      </c>
      <c r="BQ2" s="1">
        <f>FJ2*3*D2</f>
        <v>84</v>
      </c>
      <c r="BR2" s="1">
        <f>GL2*3*D2</f>
        <v>105</v>
      </c>
      <c r="BT2">
        <v>40.25</v>
      </c>
      <c r="BU2">
        <v>8.1999999999999993</v>
      </c>
      <c r="BV2" t="s">
        <v>5412</v>
      </c>
      <c r="BW2" t="s">
        <v>5094</v>
      </c>
      <c r="BX2" t="s">
        <v>5704</v>
      </c>
      <c r="BY2" t="s">
        <v>5705</v>
      </c>
      <c r="BZ2" t="s">
        <v>5706</v>
      </c>
      <c r="CA2" t="s">
        <v>2437</v>
      </c>
      <c r="CC2" t="s">
        <v>2438</v>
      </c>
      <c r="CD2" t="s">
        <v>2439</v>
      </c>
      <c r="CE2" t="s">
        <v>2440</v>
      </c>
      <c r="CG2" t="s">
        <v>2647</v>
      </c>
      <c r="CH2" t="s">
        <v>2648</v>
      </c>
      <c r="CI2" t="s">
        <v>2535</v>
      </c>
      <c r="CK2" t="s">
        <v>2649</v>
      </c>
      <c r="CL2" t="s">
        <v>2650</v>
      </c>
      <c r="CM2" t="s">
        <v>2446</v>
      </c>
      <c r="CO2" t="s">
        <v>2651</v>
      </c>
      <c r="CP2" t="s">
        <v>2652</v>
      </c>
      <c r="CQ2" t="s">
        <v>2538</v>
      </c>
      <c r="CS2" t="s">
        <v>2653</v>
      </c>
      <c r="CT2" t="s">
        <v>2654</v>
      </c>
      <c r="CV2">
        <v>9</v>
      </c>
      <c r="CW2">
        <v>9</v>
      </c>
      <c r="CX2">
        <v>9</v>
      </c>
      <c r="CY2">
        <v>9</v>
      </c>
      <c r="CZ2">
        <v>9</v>
      </c>
      <c r="DA2">
        <v>0.1</v>
      </c>
      <c r="DB2">
        <v>0.1</v>
      </c>
      <c r="DC2">
        <v>0.2</v>
      </c>
      <c r="DD2">
        <v>0.3</v>
      </c>
      <c r="DE2">
        <v>0.3</v>
      </c>
      <c r="DF2">
        <v>0.9</v>
      </c>
      <c r="DG2">
        <v>0.9</v>
      </c>
      <c r="DH2">
        <v>1.8</v>
      </c>
      <c r="DI2">
        <v>2.7</v>
      </c>
      <c r="DJ2">
        <v>2.7</v>
      </c>
      <c r="DK2">
        <v>8.1999999999999993</v>
      </c>
      <c r="DL2">
        <v>0</v>
      </c>
      <c r="DM2">
        <v>8.1999999999999993</v>
      </c>
      <c r="DN2">
        <v>9</v>
      </c>
      <c r="DO2">
        <f>AVERAGE(CV2:CZ2)</f>
        <v>9</v>
      </c>
      <c r="DQ2">
        <v>8</v>
      </c>
      <c r="DR2" t="s">
        <v>33</v>
      </c>
      <c r="DS2" t="s">
        <v>187</v>
      </c>
      <c r="DT2" t="s">
        <v>338</v>
      </c>
      <c r="DU2" t="s">
        <v>339</v>
      </c>
      <c r="DV2" t="s">
        <v>433</v>
      </c>
      <c r="DW2" t="s">
        <v>3788</v>
      </c>
      <c r="DX2" t="s">
        <v>3789</v>
      </c>
      <c r="DY2" t="s">
        <v>3790</v>
      </c>
      <c r="DZ2" t="s">
        <v>3791</v>
      </c>
      <c r="EA2" t="s">
        <v>3792</v>
      </c>
      <c r="EB2" t="s">
        <v>3793</v>
      </c>
      <c r="EC2" t="s">
        <v>4189</v>
      </c>
      <c r="ED2" t="s">
        <v>4189</v>
      </c>
      <c r="EE2" t="s">
        <v>3796</v>
      </c>
      <c r="EF2" t="s">
        <v>3797</v>
      </c>
      <c r="EG2" t="s">
        <v>4524</v>
      </c>
      <c r="EH2" t="s">
        <v>4524</v>
      </c>
      <c r="EI2" t="s">
        <v>3799</v>
      </c>
      <c r="EJ2" t="s">
        <v>3800</v>
      </c>
      <c r="EK2" t="s">
        <v>4525</v>
      </c>
      <c r="EL2" t="s">
        <v>4525</v>
      </c>
      <c r="EM2" t="s">
        <v>3802</v>
      </c>
      <c r="EN2" t="s">
        <v>3803</v>
      </c>
      <c r="EO2" t="s">
        <v>4716</v>
      </c>
      <c r="EP2" t="s">
        <v>4716</v>
      </c>
      <c r="EQ2">
        <v>8</v>
      </c>
      <c r="ER2">
        <v>8</v>
      </c>
      <c r="ES2">
        <v>8</v>
      </c>
      <c r="ET2">
        <v>8</v>
      </c>
      <c r="EU2">
        <v>8</v>
      </c>
      <c r="EV2">
        <v>0.1</v>
      </c>
      <c r="EW2">
        <v>0.1</v>
      </c>
      <c r="EX2">
        <v>0.2</v>
      </c>
      <c r="EY2">
        <v>0.3</v>
      </c>
      <c r="EZ2">
        <v>0.3</v>
      </c>
      <c r="FA2">
        <f>EV2*EQ2</f>
        <v>0.8</v>
      </c>
      <c r="FB2">
        <f>EW2*ER2</f>
        <v>0.8</v>
      </c>
      <c r="FC2">
        <f>EX2*ES2</f>
        <v>1.6</v>
      </c>
      <c r="FD2">
        <f>EY2*ET2</f>
        <v>2.4</v>
      </c>
      <c r="FE2">
        <f>EZ2*EU2</f>
        <v>2.4</v>
      </c>
      <c r="FF2">
        <v>16</v>
      </c>
      <c r="FG2">
        <v>0</v>
      </c>
      <c r="FH2">
        <v>8</v>
      </c>
      <c r="FI2">
        <f>FA2+FB2+FC2+FD2+FE2</f>
        <v>8</v>
      </c>
      <c r="FJ2">
        <f>MEDIAN(EQ2:EU2)</f>
        <v>8</v>
      </c>
      <c r="FL2">
        <v>60.27</v>
      </c>
      <c r="FM2">
        <v>11</v>
      </c>
      <c r="FN2" t="s">
        <v>1731</v>
      </c>
      <c r="FO2" t="s">
        <v>1732</v>
      </c>
      <c r="FP2" t="s">
        <v>1733</v>
      </c>
      <c r="FQ2" t="s">
        <v>1734</v>
      </c>
      <c r="FR2" t="s">
        <v>1735</v>
      </c>
      <c r="FS2">
        <v>10</v>
      </c>
      <c r="FT2">
        <v>10</v>
      </c>
      <c r="FU2">
        <v>10</v>
      </c>
      <c r="FV2">
        <v>10</v>
      </c>
      <c r="FW2">
        <v>8.5</v>
      </c>
      <c r="FX2">
        <v>0.1</v>
      </c>
      <c r="FY2">
        <v>0.1</v>
      </c>
      <c r="FZ2">
        <v>0.2</v>
      </c>
      <c r="GA2">
        <v>0.3</v>
      </c>
      <c r="GB2">
        <v>0.3</v>
      </c>
      <c r="GC2">
        <f>FS2*FX2</f>
        <v>1</v>
      </c>
      <c r="GD2">
        <f>FT2*FY2</f>
        <v>1</v>
      </c>
      <c r="GE2">
        <f>FU2*FZ2</f>
        <v>2</v>
      </c>
      <c r="GF2">
        <f>FV2*GA2</f>
        <v>3</v>
      </c>
      <c r="GG2">
        <f>FW2*GB2</f>
        <v>2.5499999999999998</v>
      </c>
      <c r="GH2">
        <v>11</v>
      </c>
      <c r="GI2">
        <v>0</v>
      </c>
      <c r="GJ2">
        <v>11</v>
      </c>
      <c r="GK2">
        <f>GC2+GD2+GE2+GF2+GG2</f>
        <v>9.5500000000000007</v>
      </c>
      <c r="GL2">
        <f>MEDIAN(FS2:FW2)</f>
        <v>10</v>
      </c>
    </row>
    <row r="3" spans="1:194" hidden="1" x14ac:dyDescent="0.25">
      <c r="A3">
        <v>2</v>
      </c>
      <c r="B3" t="s">
        <v>2</v>
      </c>
      <c r="C3" s="4">
        <v>72</v>
      </c>
      <c r="D3">
        <v>3.2</v>
      </c>
      <c r="E3" s="1">
        <f>C3/3/D3</f>
        <v>7.5</v>
      </c>
      <c r="G3">
        <v>37.21</v>
      </c>
      <c r="H3">
        <v>8</v>
      </c>
      <c r="I3">
        <f>H3*D3*3</f>
        <v>76.800000000000011</v>
      </c>
      <c r="J3">
        <v>16.82</v>
      </c>
      <c r="K3">
        <v>8.4</v>
      </c>
      <c r="L3" s="3">
        <f>K3*3*D3</f>
        <v>80.640000000000015</v>
      </c>
      <c r="M3">
        <v>4.8600000000000003</v>
      </c>
      <c r="N3">
        <v>7</v>
      </c>
      <c r="O3">
        <f>N3*D3*3</f>
        <v>67.2</v>
      </c>
      <c r="P3" s="5">
        <v>7</v>
      </c>
      <c r="Q3" s="5">
        <f>P3*D3*3</f>
        <v>67.2</v>
      </c>
      <c r="S3" t="s">
        <v>6140</v>
      </c>
      <c r="T3">
        <v>5.3</v>
      </c>
      <c r="U3" s="8">
        <f>T3*D3*3</f>
        <v>50.88</v>
      </c>
      <c r="V3">
        <v>31.97</v>
      </c>
      <c r="W3">
        <v>9</v>
      </c>
      <c r="X3" s="5">
        <f>W3*D3*3</f>
        <v>86.4</v>
      </c>
      <c r="Y3">
        <v>11.35</v>
      </c>
      <c r="Z3">
        <v>7.5</v>
      </c>
      <c r="AA3">
        <f>Z3*D3*3</f>
        <v>72</v>
      </c>
      <c r="AC3">
        <v>47.78</v>
      </c>
      <c r="AD3">
        <v>8</v>
      </c>
      <c r="AE3" s="1">
        <f>AD3*3*D3</f>
        <v>76.800000000000011</v>
      </c>
      <c r="AF3">
        <v>13.7</v>
      </c>
      <c r="AH3" s="5">
        <f>AG3*D3*3</f>
        <v>0</v>
      </c>
      <c r="AI3" s="13"/>
      <c r="AJ3">
        <v>27</v>
      </c>
      <c r="AK3" s="8">
        <f>AJ3*D3*3</f>
        <v>259.20000000000005</v>
      </c>
      <c r="AL3" s="13"/>
      <c r="AM3">
        <v>31.07</v>
      </c>
      <c r="AN3">
        <v>7</v>
      </c>
      <c r="AO3" s="8">
        <f>AN3*D3*3</f>
        <v>67.2</v>
      </c>
      <c r="AP3">
        <v>13.13</v>
      </c>
      <c r="AQ3">
        <v>9.5</v>
      </c>
      <c r="AR3">
        <f>AQ3*D3*3</f>
        <v>91.2</v>
      </c>
      <c r="AS3">
        <v>10.76</v>
      </c>
      <c r="AT3">
        <v>8.3000000000000007</v>
      </c>
      <c r="AU3">
        <f>AT3*D3*3</f>
        <v>79.680000000000007</v>
      </c>
      <c r="AW3">
        <v>22.87</v>
      </c>
      <c r="AX3">
        <v>9.1</v>
      </c>
      <c r="AY3">
        <f>AX3*D3*3</f>
        <v>87.36</v>
      </c>
      <c r="AZ3">
        <v>22.87</v>
      </c>
      <c r="BA3">
        <v>7.9</v>
      </c>
      <c r="BB3">
        <f>BA3*D3*3</f>
        <v>75.84</v>
      </c>
      <c r="BD3">
        <v>9</v>
      </c>
      <c r="BE3">
        <f>BD3*D3*3</f>
        <v>86.4</v>
      </c>
      <c r="BG3" s="10"/>
      <c r="BH3" s="1">
        <f>CHOOSE(MATCH(MIN(ABS(BP3-C3),ABS(BQ3-C3),ABS(BR3-C3)),CHOOSE({1;2;3},ABS(BP3-C3),ABS(BQ3-C3),ABS(BR3-C3)),0),BP3,BQ3,BR3)</f>
        <v>76.800000000000011</v>
      </c>
      <c r="BJ3" s="1" cm="1">
        <f t="array" ref="BJ3">(INDEX(_xlfn._xlws.SORT(CHOOSE({1;2;3;4;5;6},BQ3,BR3,L3,AE3,BO3,BP3)),3) + INDEX(_xlfn._xlws.SORT(CHOOSE({1;2;3;4;5;6},BQ3,BR3,L3,AE3,BO3,BP3)),4))/2</f>
        <v>76.800000000000011</v>
      </c>
      <c r="BK3">
        <v>7.5128349220472801</v>
      </c>
      <c r="BL3" t="s">
        <v>6117</v>
      </c>
      <c r="BM3" s="1">
        <f>BK3*3*D3</f>
        <v>72.123215251653889</v>
      </c>
      <c r="BN3" s="1">
        <f>BM3-C3</f>
        <v>0.12321525165388891</v>
      </c>
      <c r="BO3" s="1">
        <f>GK3*3*D3</f>
        <v>51.840000000000011</v>
      </c>
      <c r="BP3" s="1">
        <f>DO3*3*D3</f>
        <v>86.4</v>
      </c>
      <c r="BQ3" s="1">
        <f>FJ3*3*D3</f>
        <v>76.800000000000011</v>
      </c>
      <c r="BR3" s="1">
        <f>GL3*3*D3</f>
        <v>57.6</v>
      </c>
      <c r="BT3">
        <v>37.21</v>
      </c>
      <c r="BU3">
        <v>8</v>
      </c>
      <c r="BV3" t="s">
        <v>4981</v>
      </c>
      <c r="BW3" t="s">
        <v>4982</v>
      </c>
      <c r="BX3" t="s">
        <v>4983</v>
      </c>
      <c r="BY3" t="s">
        <v>4984</v>
      </c>
      <c r="BZ3" t="s">
        <v>4985</v>
      </c>
      <c r="CA3" t="s">
        <v>2437</v>
      </c>
      <c r="CC3" t="s">
        <v>2438</v>
      </c>
      <c r="CD3" t="s">
        <v>2439</v>
      </c>
      <c r="CE3" t="s">
        <v>2440</v>
      </c>
      <c r="CG3" t="s">
        <v>2441</v>
      </c>
      <c r="CH3" t="s">
        <v>2442</v>
      </c>
      <c r="CI3" t="s">
        <v>2443</v>
      </c>
      <c r="CK3" t="s">
        <v>2444</v>
      </c>
      <c r="CL3" t="s">
        <v>2445</v>
      </c>
      <c r="CM3" t="s">
        <v>2446</v>
      </c>
      <c r="CO3" t="s">
        <v>2447</v>
      </c>
      <c r="CP3" t="s">
        <v>2448</v>
      </c>
      <c r="CQ3" t="s">
        <v>2449</v>
      </c>
      <c r="CS3" t="s">
        <v>2450</v>
      </c>
      <c r="CT3" t="s">
        <v>2451</v>
      </c>
      <c r="CV3">
        <v>9</v>
      </c>
      <c r="CW3">
        <v>9</v>
      </c>
      <c r="CX3">
        <v>9</v>
      </c>
      <c r="CY3">
        <v>9</v>
      </c>
      <c r="CZ3">
        <v>9</v>
      </c>
      <c r="DA3">
        <v>0.1</v>
      </c>
      <c r="DB3">
        <v>0.1</v>
      </c>
      <c r="DC3">
        <v>0.2</v>
      </c>
      <c r="DD3">
        <v>0.3</v>
      </c>
      <c r="DE3">
        <v>0.3</v>
      </c>
      <c r="DF3">
        <v>0.9</v>
      </c>
      <c r="DG3">
        <v>0.9</v>
      </c>
      <c r="DH3">
        <v>1.8</v>
      </c>
      <c r="DI3">
        <v>2.7</v>
      </c>
      <c r="DJ3">
        <v>2.7</v>
      </c>
      <c r="DK3">
        <v>8</v>
      </c>
      <c r="DL3">
        <v>0</v>
      </c>
      <c r="DM3">
        <v>8</v>
      </c>
      <c r="DN3">
        <v>8.4</v>
      </c>
      <c r="DO3">
        <f>AVERAGE(CV3:CZ3)</f>
        <v>9</v>
      </c>
      <c r="DQ3">
        <v>8</v>
      </c>
      <c r="DR3" t="s">
        <v>33</v>
      </c>
      <c r="DS3" t="s">
        <v>34</v>
      </c>
      <c r="DT3" t="s">
        <v>35</v>
      </c>
      <c r="DU3" t="s">
        <v>36</v>
      </c>
      <c r="DV3" t="s">
        <v>37</v>
      </c>
      <c r="DW3" t="s">
        <v>3788</v>
      </c>
      <c r="DX3" t="s">
        <v>3789</v>
      </c>
      <c r="DY3" t="s">
        <v>3790</v>
      </c>
      <c r="DZ3" t="s">
        <v>3791</v>
      </c>
      <c r="EA3" t="s">
        <v>3792</v>
      </c>
      <c r="EB3" t="s">
        <v>3793</v>
      </c>
      <c r="EC3" t="s">
        <v>3794</v>
      </c>
      <c r="ED3" t="s">
        <v>3795</v>
      </c>
      <c r="EE3" t="s">
        <v>3796</v>
      </c>
      <c r="EF3" t="s">
        <v>3797</v>
      </c>
      <c r="EG3" t="s">
        <v>3798</v>
      </c>
      <c r="EH3" t="s">
        <v>3798</v>
      </c>
      <c r="EI3" t="s">
        <v>3799</v>
      </c>
      <c r="EJ3" t="s">
        <v>3800</v>
      </c>
      <c r="EK3" t="s">
        <v>3801</v>
      </c>
      <c r="EL3" t="s">
        <v>3801</v>
      </c>
      <c r="EM3" t="s">
        <v>3802</v>
      </c>
      <c r="EN3" t="s">
        <v>3803</v>
      </c>
      <c r="EO3" t="s">
        <v>3804</v>
      </c>
      <c r="EP3" t="s">
        <v>3804</v>
      </c>
      <c r="EQ3">
        <v>8</v>
      </c>
      <c r="ER3">
        <v>8</v>
      </c>
      <c r="ES3">
        <v>8</v>
      </c>
      <c r="ET3">
        <v>8</v>
      </c>
      <c r="EU3">
        <v>8</v>
      </c>
      <c r="EV3">
        <v>0.1</v>
      </c>
      <c r="EW3">
        <v>0.1</v>
      </c>
      <c r="EX3">
        <v>0.2</v>
      </c>
      <c r="EY3">
        <v>0.3</v>
      </c>
      <c r="EZ3">
        <v>0.3</v>
      </c>
      <c r="FA3">
        <f>EV3*EQ3</f>
        <v>0.8</v>
      </c>
      <c r="FB3">
        <f>EW3*ER3</f>
        <v>0.8</v>
      </c>
      <c r="FC3">
        <f>EX3*ES3</f>
        <v>1.6</v>
      </c>
      <c r="FD3">
        <f>EY3*ET3</f>
        <v>2.4</v>
      </c>
      <c r="FE3">
        <f>EZ3*EU3</f>
        <v>2.4</v>
      </c>
      <c r="FF3">
        <v>17</v>
      </c>
      <c r="FG3">
        <v>0</v>
      </c>
      <c r="FH3">
        <v>8</v>
      </c>
      <c r="FI3">
        <f>FA3+FB3+FC3+FD3+FE3</f>
        <v>8</v>
      </c>
      <c r="FJ3">
        <f>MEDIAN(EQ3:EU3)</f>
        <v>8</v>
      </c>
      <c r="FL3">
        <v>39.65</v>
      </c>
      <c r="FM3">
        <v>4.8</v>
      </c>
      <c r="FN3" t="s">
        <v>607</v>
      </c>
      <c r="FO3" t="s">
        <v>608</v>
      </c>
      <c r="FP3" t="s">
        <v>609</v>
      </c>
      <c r="FQ3" t="s">
        <v>610</v>
      </c>
      <c r="FR3" t="s">
        <v>611</v>
      </c>
      <c r="FS3">
        <v>8</v>
      </c>
      <c r="FT3">
        <v>7</v>
      </c>
      <c r="FU3">
        <v>6</v>
      </c>
      <c r="FV3">
        <v>5</v>
      </c>
      <c r="FW3">
        <v>4</v>
      </c>
      <c r="FX3">
        <v>0.1</v>
      </c>
      <c r="FY3">
        <v>0.1</v>
      </c>
      <c r="FZ3">
        <v>0.2</v>
      </c>
      <c r="GA3">
        <v>0.3</v>
      </c>
      <c r="GB3">
        <v>0.3</v>
      </c>
      <c r="GC3">
        <f>FS3*FX3</f>
        <v>0.8</v>
      </c>
      <c r="GD3">
        <f>FT3*FY3</f>
        <v>0.70000000000000007</v>
      </c>
      <c r="GE3">
        <f>FU3*FZ3</f>
        <v>1.2000000000000002</v>
      </c>
      <c r="GF3">
        <f>FV3*GA3</f>
        <v>1.5</v>
      </c>
      <c r="GG3">
        <f>FW3*GB3</f>
        <v>1.2</v>
      </c>
      <c r="GH3">
        <v>4.9000000000000004</v>
      </c>
      <c r="GI3">
        <v>-0.1</v>
      </c>
      <c r="GJ3">
        <v>4.8</v>
      </c>
      <c r="GK3">
        <f>GC3+GD3+GE3+GF3+GG3</f>
        <v>5.4</v>
      </c>
      <c r="GL3">
        <f>MEDIAN(FS3:FW3)</f>
        <v>6</v>
      </c>
    </row>
    <row r="4" spans="1:194" hidden="1" x14ac:dyDescent="0.25">
      <c r="A4">
        <v>3</v>
      </c>
      <c r="B4" t="s">
        <v>2</v>
      </c>
      <c r="C4" s="4">
        <v>83.25</v>
      </c>
      <c r="D4">
        <v>3.7</v>
      </c>
      <c r="E4" s="1">
        <f>C4/3/D4</f>
        <v>7.5</v>
      </c>
      <c r="G4">
        <v>76.959999999999994</v>
      </c>
      <c r="H4">
        <v>7.6</v>
      </c>
      <c r="I4">
        <f>H4*D4*3</f>
        <v>84.36</v>
      </c>
      <c r="J4">
        <v>18.72</v>
      </c>
      <c r="K4">
        <v>8.4</v>
      </c>
      <c r="L4" s="3">
        <f>K4*3*D4</f>
        <v>93.240000000000009</v>
      </c>
      <c r="M4">
        <v>4.03</v>
      </c>
      <c r="N4">
        <v>7.9</v>
      </c>
      <c r="O4">
        <f>N4*D4*3</f>
        <v>87.690000000000012</v>
      </c>
      <c r="P4" s="5">
        <v>7.6</v>
      </c>
      <c r="Q4" s="5">
        <f>P4*D4*3</f>
        <v>84.36</v>
      </c>
      <c r="S4" t="s">
        <v>6141</v>
      </c>
      <c r="T4">
        <v>6.5</v>
      </c>
      <c r="U4" s="8">
        <f>T4*D4*3</f>
        <v>72.150000000000006</v>
      </c>
      <c r="V4">
        <v>34.58</v>
      </c>
      <c r="W4">
        <v>8</v>
      </c>
      <c r="X4" s="5">
        <f>W4*D4*3</f>
        <v>88.800000000000011</v>
      </c>
      <c r="Y4">
        <v>10.16</v>
      </c>
      <c r="Z4">
        <v>7.5</v>
      </c>
      <c r="AA4">
        <f>Z4*D4*3</f>
        <v>83.25</v>
      </c>
      <c r="AC4">
        <v>48.95</v>
      </c>
      <c r="AD4">
        <v>7.9</v>
      </c>
      <c r="AE4" s="1">
        <f>AD4*3*D4</f>
        <v>87.690000000000012</v>
      </c>
      <c r="AF4">
        <v>12.07</v>
      </c>
      <c r="AG4" s="5">
        <v>7</v>
      </c>
      <c r="AH4" s="5">
        <f>AG4*D4*3</f>
        <v>77.7</v>
      </c>
      <c r="AI4" s="13"/>
      <c r="AJ4">
        <v>25.5</v>
      </c>
      <c r="AK4" s="8">
        <f>AJ4*D4*3</f>
        <v>283.05</v>
      </c>
      <c r="AL4" s="13"/>
      <c r="AM4">
        <v>30.78</v>
      </c>
      <c r="AN4">
        <v>7.6</v>
      </c>
      <c r="AO4" s="8">
        <f>AN4*D4*3</f>
        <v>84.36</v>
      </c>
      <c r="AP4">
        <v>14.91</v>
      </c>
      <c r="AQ4">
        <v>9.5</v>
      </c>
      <c r="AR4">
        <f>AQ4*D4*3</f>
        <v>105.44999999999999</v>
      </c>
      <c r="AS4">
        <v>10.97</v>
      </c>
      <c r="AT4">
        <v>8.5</v>
      </c>
      <c r="AU4">
        <f>AT4*D4*3</f>
        <v>94.350000000000009</v>
      </c>
      <c r="AW4">
        <v>25.81</v>
      </c>
      <c r="AX4">
        <v>8.6</v>
      </c>
      <c r="AY4">
        <f>AX4*D4*3</f>
        <v>95.460000000000008</v>
      </c>
      <c r="AZ4">
        <v>25.81</v>
      </c>
      <c r="BA4">
        <v>8.9</v>
      </c>
      <c r="BB4">
        <f>BA4*D4*3</f>
        <v>98.789999999999992</v>
      </c>
      <c r="BD4">
        <v>8.9</v>
      </c>
      <c r="BE4">
        <f>BD4*D4*3</f>
        <v>98.789999999999992</v>
      </c>
      <c r="BG4" s="10"/>
      <c r="BH4" s="1">
        <f>CHOOSE(MATCH(MIN(ABS(BP4-C4),ABS(BQ4-C4),ABS(BR4-C4)),CHOOSE({1;2;3},ABS(BP4-C4),ABS(BQ4-C4),ABS(BR4-C4)),0),BP4,BQ4,BR4)</f>
        <v>86.58</v>
      </c>
      <c r="BJ4" s="1" cm="1">
        <f t="array" ref="BJ4">(INDEX(_xlfn._xlws.SORT(CHOOSE({1;2;3;4;5;6},BQ4,BR4,L4,AE4,BO4,BP4)),3) + INDEX(_xlfn._xlws.SORT(CHOOSE({1;2;3;4;5;6},BQ4,BR4,L4,AE4,BO4,BP4)),4))/2</f>
        <v>91.02000000000001</v>
      </c>
      <c r="BK4">
        <v>7.5008623754100796</v>
      </c>
      <c r="BL4" t="s">
        <v>6117</v>
      </c>
      <c r="BM4" s="1">
        <f>BK4*3*D4</f>
        <v>83.259572367051888</v>
      </c>
      <c r="BN4" s="1">
        <f>BM4-C4</f>
        <v>9.5723670518879089E-3</v>
      </c>
      <c r="BO4" s="1">
        <f>GK4*3*D4</f>
        <v>93.240000000000009</v>
      </c>
      <c r="BP4" s="1">
        <f>DO4*3*D4</f>
        <v>86.58</v>
      </c>
      <c r="BQ4" s="1">
        <f>FJ4*3*D4</f>
        <v>88.800000000000011</v>
      </c>
      <c r="BR4" s="1">
        <f>GL4*3*D4</f>
        <v>94.350000000000009</v>
      </c>
      <c r="BT4">
        <v>76.959999999999994</v>
      </c>
      <c r="BU4">
        <v>7.6</v>
      </c>
      <c r="BV4" t="s">
        <v>4986</v>
      </c>
      <c r="BW4" t="s">
        <v>4987</v>
      </c>
      <c r="BX4" t="s">
        <v>4988</v>
      </c>
      <c r="BY4" t="s">
        <v>4989</v>
      </c>
      <c r="BZ4" t="s">
        <v>4990</v>
      </c>
      <c r="CA4" t="s">
        <v>2452</v>
      </c>
      <c r="CC4" t="s">
        <v>2438</v>
      </c>
      <c r="CD4" t="s">
        <v>2453</v>
      </c>
      <c r="CE4" t="s">
        <v>2454</v>
      </c>
      <c r="CG4" t="s">
        <v>2455</v>
      </c>
      <c r="CH4" t="s">
        <v>2456</v>
      </c>
      <c r="CI4" t="s">
        <v>2457</v>
      </c>
      <c r="CJ4" t="s">
        <v>2458</v>
      </c>
      <c r="CK4" t="s">
        <v>2459</v>
      </c>
      <c r="CL4" t="s">
        <v>2460</v>
      </c>
      <c r="CM4" t="s">
        <v>2461</v>
      </c>
      <c r="CN4" t="s">
        <v>2462</v>
      </c>
      <c r="CO4" t="s">
        <v>2463</v>
      </c>
      <c r="CP4" t="s">
        <v>2464</v>
      </c>
      <c r="CQ4" t="s">
        <v>2465</v>
      </c>
      <c r="CR4" t="s">
        <v>2466</v>
      </c>
      <c r="CS4" t="s">
        <v>2467</v>
      </c>
      <c r="CT4" t="s">
        <v>2468</v>
      </c>
      <c r="CV4">
        <v>9</v>
      </c>
      <c r="CW4">
        <v>9</v>
      </c>
      <c r="CX4">
        <v>7</v>
      </c>
      <c r="CY4">
        <v>6</v>
      </c>
      <c r="CZ4">
        <v>8</v>
      </c>
      <c r="DA4">
        <v>0.1</v>
      </c>
      <c r="DB4">
        <v>0.1</v>
      </c>
      <c r="DC4">
        <v>0.2</v>
      </c>
      <c r="DD4">
        <v>0.3</v>
      </c>
      <c r="DE4">
        <v>0.3</v>
      </c>
      <c r="DF4">
        <v>0.9</v>
      </c>
      <c r="DG4">
        <v>0.9</v>
      </c>
      <c r="DH4">
        <v>1.4</v>
      </c>
      <c r="DI4">
        <v>1.8</v>
      </c>
      <c r="DJ4">
        <v>2.4</v>
      </c>
      <c r="DK4">
        <v>7.6</v>
      </c>
      <c r="DL4">
        <v>0</v>
      </c>
      <c r="DM4">
        <v>7.6</v>
      </c>
      <c r="DN4">
        <v>8.4</v>
      </c>
      <c r="DO4">
        <f>AVERAGE(CV4:CZ4)</f>
        <v>7.8</v>
      </c>
      <c r="DQ4">
        <v>15</v>
      </c>
      <c r="DR4" t="s">
        <v>38</v>
      </c>
      <c r="DS4" t="s">
        <v>39</v>
      </c>
      <c r="DT4" t="s">
        <v>40</v>
      </c>
      <c r="DU4" t="s">
        <v>41</v>
      </c>
      <c r="DV4" t="s">
        <v>42</v>
      </c>
      <c r="DW4" t="s">
        <v>3805</v>
      </c>
      <c r="DX4" t="s">
        <v>3770</v>
      </c>
      <c r="DY4" t="s">
        <v>3771</v>
      </c>
      <c r="DZ4" t="s">
        <v>3772</v>
      </c>
      <c r="EA4" t="s">
        <v>3806</v>
      </c>
      <c r="EB4" t="s">
        <v>3807</v>
      </c>
      <c r="EC4" t="s">
        <v>3775</v>
      </c>
      <c r="ED4" t="s">
        <v>3776</v>
      </c>
      <c r="EE4" t="s">
        <v>3808</v>
      </c>
      <c r="EF4" t="s">
        <v>3809</v>
      </c>
      <c r="EG4" t="s">
        <v>3810</v>
      </c>
      <c r="EH4" t="s">
        <v>3811</v>
      </c>
      <c r="EI4" t="s">
        <v>3812</v>
      </c>
      <c r="EJ4" t="s">
        <v>3813</v>
      </c>
      <c r="EK4" t="s">
        <v>3814</v>
      </c>
      <c r="EL4" t="s">
        <v>3815</v>
      </c>
      <c r="EM4" t="s">
        <v>3816</v>
      </c>
      <c r="EN4" t="s">
        <v>3809</v>
      </c>
      <c r="EO4" t="s">
        <v>3817</v>
      </c>
      <c r="EP4" t="s">
        <v>3818</v>
      </c>
      <c r="EQ4">
        <v>7</v>
      </c>
      <c r="ER4">
        <v>8</v>
      </c>
      <c r="ES4">
        <v>8</v>
      </c>
      <c r="ET4">
        <v>8</v>
      </c>
      <c r="EU4">
        <v>8</v>
      </c>
      <c r="EV4">
        <v>0.1</v>
      </c>
      <c r="EW4">
        <v>0.1</v>
      </c>
      <c r="EX4">
        <v>0.2</v>
      </c>
      <c r="EY4">
        <v>0.3</v>
      </c>
      <c r="EZ4">
        <v>0.3</v>
      </c>
      <c r="FA4">
        <f>EV4*EQ4</f>
        <v>0.70000000000000007</v>
      </c>
      <c r="FB4">
        <f>EW4*ER4</f>
        <v>0.8</v>
      </c>
      <c r="FC4">
        <f>EX4*ES4</f>
        <v>1.6</v>
      </c>
      <c r="FD4">
        <f>EY4*ET4</f>
        <v>2.4</v>
      </c>
      <c r="FE4">
        <f>EZ4*EU4</f>
        <v>2.4</v>
      </c>
      <c r="FF4">
        <v>15</v>
      </c>
      <c r="FG4">
        <v>0</v>
      </c>
      <c r="FH4">
        <v>15</v>
      </c>
      <c r="FI4">
        <f>FA4+FB4+FC4+FD4+FE4</f>
        <v>7.9</v>
      </c>
      <c r="FJ4">
        <f>MEDIAN(EQ4:EU4)</f>
        <v>8</v>
      </c>
      <c r="FL4">
        <v>70.930000000000007</v>
      </c>
      <c r="FM4">
        <v>6.4</v>
      </c>
      <c r="FN4" t="s">
        <v>612</v>
      </c>
      <c r="FO4" t="s">
        <v>613</v>
      </c>
      <c r="FP4" t="s">
        <v>614</v>
      </c>
      <c r="FQ4" t="s">
        <v>615</v>
      </c>
      <c r="FR4" t="s">
        <v>616</v>
      </c>
      <c r="FS4">
        <v>8</v>
      </c>
      <c r="FT4">
        <v>9</v>
      </c>
      <c r="FU4">
        <v>9.5</v>
      </c>
      <c r="FV4">
        <v>8.5</v>
      </c>
      <c r="FW4">
        <v>7.5</v>
      </c>
      <c r="FX4">
        <v>0.1</v>
      </c>
      <c r="FY4">
        <v>0.1</v>
      </c>
      <c r="FZ4">
        <v>0.2</v>
      </c>
      <c r="GA4">
        <v>0.3</v>
      </c>
      <c r="GB4">
        <v>0.3</v>
      </c>
      <c r="GC4">
        <f>FS4*FX4</f>
        <v>0.8</v>
      </c>
      <c r="GD4">
        <f>FT4*FY4</f>
        <v>0.9</v>
      </c>
      <c r="GE4">
        <f>FU4*FZ4</f>
        <v>1.9000000000000001</v>
      </c>
      <c r="GF4">
        <f>FV4*GA4</f>
        <v>2.5499999999999998</v>
      </c>
      <c r="GG4">
        <f>FW4*GB4</f>
        <v>2.25</v>
      </c>
      <c r="GH4">
        <v>6.4</v>
      </c>
      <c r="GI4">
        <v>0</v>
      </c>
      <c r="GJ4">
        <v>6.4</v>
      </c>
      <c r="GK4">
        <f>GC4+GD4+GE4+GF4+GG4</f>
        <v>8.4</v>
      </c>
      <c r="GL4">
        <f>MEDIAN(FS4:FW4)</f>
        <v>8.5</v>
      </c>
    </row>
    <row r="5" spans="1:194" x14ac:dyDescent="0.25">
      <c r="A5" s="11">
        <v>133</v>
      </c>
      <c r="B5" t="s">
        <v>2</v>
      </c>
      <c r="C5" s="4">
        <v>84.15</v>
      </c>
      <c r="D5">
        <v>3</v>
      </c>
      <c r="E5" s="1">
        <f>C5/3/D5</f>
        <v>9.35</v>
      </c>
      <c r="G5">
        <v>37</v>
      </c>
      <c r="H5">
        <v>8.1999999999999993</v>
      </c>
      <c r="I5">
        <f>H5*D5*3</f>
        <v>73.8</v>
      </c>
      <c r="J5">
        <v>16.66</v>
      </c>
      <c r="K5">
        <v>8.4</v>
      </c>
      <c r="L5" s="3">
        <f>K5*3*D5</f>
        <v>75.600000000000009</v>
      </c>
      <c r="M5">
        <v>4.9800000000000004</v>
      </c>
      <c r="N5">
        <v>5.5</v>
      </c>
      <c r="O5">
        <f>N5*D5*3</f>
        <v>49.5</v>
      </c>
      <c r="P5" s="5">
        <v>7.2</v>
      </c>
      <c r="Q5" s="5">
        <f>P5*D5*3</f>
        <v>64.800000000000011</v>
      </c>
      <c r="S5" t="s">
        <v>6267</v>
      </c>
      <c r="T5">
        <v>4.5</v>
      </c>
      <c r="U5" s="8">
        <f>T5*D5*3</f>
        <v>40.5</v>
      </c>
      <c r="V5">
        <v>32.479999999999997</v>
      </c>
      <c r="W5">
        <v>8</v>
      </c>
      <c r="X5" s="5">
        <f>W5*D5*3</f>
        <v>72</v>
      </c>
      <c r="Y5">
        <v>12.75</v>
      </c>
      <c r="Z5">
        <v>7.2</v>
      </c>
      <c r="AA5">
        <f>Z5*D5*3</f>
        <v>64.800000000000011</v>
      </c>
      <c r="AC5">
        <v>47.23</v>
      </c>
      <c r="AD5">
        <v>7.9</v>
      </c>
      <c r="AE5" s="1">
        <f>AD5*3*D5</f>
        <v>71.100000000000009</v>
      </c>
      <c r="AF5">
        <v>11.57</v>
      </c>
      <c r="AG5" s="5">
        <v>7</v>
      </c>
      <c r="AH5" s="5">
        <f>AG5*D5*3</f>
        <v>63</v>
      </c>
      <c r="AI5" s="13"/>
      <c r="AJ5">
        <v>7</v>
      </c>
      <c r="AK5" s="8">
        <f>AJ5*D5*3</f>
        <v>63</v>
      </c>
      <c r="AL5" s="13"/>
      <c r="AM5">
        <v>32</v>
      </c>
      <c r="AN5">
        <v>7.1</v>
      </c>
      <c r="AO5" s="8">
        <f>AN5*D5*3</f>
        <v>63.899999999999991</v>
      </c>
      <c r="AP5">
        <v>13.11</v>
      </c>
      <c r="AQ5">
        <v>8.6999999999999993</v>
      </c>
      <c r="AR5">
        <f>AQ5*D5*3</f>
        <v>78.3</v>
      </c>
      <c r="AT5">
        <v>8.5</v>
      </c>
      <c r="AU5">
        <f>AT5*D5*3</f>
        <v>76.5</v>
      </c>
      <c r="AW5">
        <v>23.87</v>
      </c>
      <c r="AX5">
        <v>9.3000000000000007</v>
      </c>
      <c r="AY5">
        <f>AX5*D5*3</f>
        <v>83.7</v>
      </c>
      <c r="AZ5">
        <v>23.87</v>
      </c>
      <c r="BA5">
        <v>9.1999999999999993</v>
      </c>
      <c r="BB5">
        <f>BA5*D5*3</f>
        <v>82.8</v>
      </c>
      <c r="BD5">
        <v>8.9</v>
      </c>
      <c r="BE5">
        <f>BD5*D5*3</f>
        <v>80.100000000000009</v>
      </c>
      <c r="BG5" s="10"/>
      <c r="BH5" s="1">
        <f>CHOOSE(MATCH(MIN(ABS(BP5-C5),ABS(BQ5-C5),ABS(BR5-C5)),CHOOSE({1;2;3},ABS(BP5-C5),ABS(BQ5-C5),ABS(BR5-C5)),0),BP5,BQ5,BR5)</f>
        <v>81</v>
      </c>
      <c r="BJ5" s="1" cm="1">
        <f t="array" ref="BJ5">(INDEX(_xlfn._xlws.SORT(CHOOSE({1;2;3;4;5;6},BQ5,BR5,L5,AE5,BO5,BP5)),3) + INDEX(_xlfn._xlws.SORT(CHOOSE({1;2;3;4;5;6},BQ5,BR5,L5,AE5,BO5,BP5)),4))/2</f>
        <v>71.550000000000011</v>
      </c>
      <c r="BK5">
        <v>7.2882521651010999</v>
      </c>
      <c r="BL5" s="11" t="s">
        <v>6116</v>
      </c>
      <c r="BM5" s="1">
        <f>BK5*3*D5</f>
        <v>65.594269485909905</v>
      </c>
      <c r="BN5" s="1">
        <f>BM5-C5</f>
        <v>-18.555730514090101</v>
      </c>
      <c r="BO5" s="1">
        <f>GK5*3*D5</f>
        <v>36</v>
      </c>
      <c r="BP5" s="1">
        <f>DO5*3*D5</f>
        <v>81</v>
      </c>
      <c r="BQ5" s="1">
        <f>FJ5*3*D5</f>
        <v>72</v>
      </c>
      <c r="BR5" s="1">
        <f>GL5*3*D5</f>
        <v>36</v>
      </c>
      <c r="BT5">
        <v>37</v>
      </c>
      <c r="BU5">
        <v>8.1999999999999993</v>
      </c>
      <c r="BV5" t="s">
        <v>5449</v>
      </c>
      <c r="BW5" t="s">
        <v>5082</v>
      </c>
      <c r="BX5" t="s">
        <v>5450</v>
      </c>
      <c r="BY5" t="s">
        <v>5451</v>
      </c>
      <c r="BZ5" t="s">
        <v>5091</v>
      </c>
      <c r="CA5" t="s">
        <v>2954</v>
      </c>
      <c r="CC5" t="s">
        <v>2470</v>
      </c>
      <c r="CD5" t="s">
        <v>2470</v>
      </c>
      <c r="CE5" t="s">
        <v>2956</v>
      </c>
      <c r="CG5" t="s">
        <v>2472</v>
      </c>
      <c r="CH5" t="s">
        <v>2472</v>
      </c>
      <c r="CI5" t="s">
        <v>3118</v>
      </c>
      <c r="CK5" t="s">
        <v>3119</v>
      </c>
      <c r="CL5" t="s">
        <v>3119</v>
      </c>
      <c r="CM5" t="s">
        <v>3120</v>
      </c>
      <c r="CO5" t="s">
        <v>3121</v>
      </c>
      <c r="CP5" t="s">
        <v>3121</v>
      </c>
      <c r="CQ5" t="s">
        <v>3122</v>
      </c>
      <c r="CS5" t="s">
        <v>3123</v>
      </c>
      <c r="CT5" t="s">
        <v>3123</v>
      </c>
      <c r="CV5">
        <v>9</v>
      </c>
      <c r="CW5">
        <v>9</v>
      </c>
      <c r="CX5">
        <v>9</v>
      </c>
      <c r="CY5">
        <v>9</v>
      </c>
      <c r="CZ5">
        <v>9</v>
      </c>
      <c r="DA5">
        <v>0.1</v>
      </c>
      <c r="DB5">
        <v>0.1</v>
      </c>
      <c r="DC5">
        <v>0.2</v>
      </c>
      <c r="DD5">
        <v>0.3</v>
      </c>
      <c r="DE5">
        <v>0.3</v>
      </c>
      <c r="DF5">
        <v>0.9</v>
      </c>
      <c r="DG5">
        <v>0.9</v>
      </c>
      <c r="DH5">
        <v>1.8</v>
      </c>
      <c r="DI5">
        <v>2.7</v>
      </c>
      <c r="DJ5">
        <v>2.7</v>
      </c>
      <c r="DK5">
        <v>8.1999999999999993</v>
      </c>
      <c r="DL5">
        <v>0</v>
      </c>
      <c r="DM5">
        <v>8.1999999999999993</v>
      </c>
      <c r="DN5">
        <v>8.4</v>
      </c>
      <c r="DO5">
        <f>AVERAGE(CV5:CZ5)</f>
        <v>9</v>
      </c>
      <c r="DQ5">
        <v>8</v>
      </c>
      <c r="DR5" t="s">
        <v>38</v>
      </c>
      <c r="DS5" t="s">
        <v>29</v>
      </c>
      <c r="DT5" t="s">
        <v>214</v>
      </c>
      <c r="DU5" t="s">
        <v>215</v>
      </c>
      <c r="DV5" t="s">
        <v>216</v>
      </c>
      <c r="DW5" t="s">
        <v>3836</v>
      </c>
      <c r="DX5" t="s">
        <v>3770</v>
      </c>
      <c r="DY5" t="s">
        <v>3771</v>
      </c>
      <c r="DZ5" t="s">
        <v>3772</v>
      </c>
      <c r="EA5" t="s">
        <v>3860</v>
      </c>
      <c r="EB5" t="s">
        <v>3807</v>
      </c>
      <c r="EC5" t="s">
        <v>3775</v>
      </c>
      <c r="ED5" t="s">
        <v>3776</v>
      </c>
      <c r="EE5" t="s">
        <v>4240</v>
      </c>
      <c r="EF5" t="s">
        <v>3809</v>
      </c>
      <c r="EG5" t="s">
        <v>3810</v>
      </c>
      <c r="EH5" t="s">
        <v>3811</v>
      </c>
      <c r="EI5" t="s">
        <v>4468</v>
      </c>
      <c r="EJ5" t="s">
        <v>3813</v>
      </c>
      <c r="EK5" t="s">
        <v>4469</v>
      </c>
      <c r="EL5" t="s">
        <v>3815</v>
      </c>
      <c r="EM5" t="s">
        <v>4470</v>
      </c>
      <c r="EN5" t="s">
        <v>3809</v>
      </c>
      <c r="EO5" t="s">
        <v>4471</v>
      </c>
      <c r="EP5" t="s">
        <v>3818</v>
      </c>
      <c r="EQ5">
        <v>7</v>
      </c>
      <c r="ER5">
        <v>8</v>
      </c>
      <c r="ES5">
        <v>8</v>
      </c>
      <c r="ET5">
        <v>8</v>
      </c>
      <c r="EU5">
        <v>8</v>
      </c>
      <c r="EV5">
        <v>0.1</v>
      </c>
      <c r="EW5">
        <v>0.1</v>
      </c>
      <c r="EX5">
        <v>0.2</v>
      </c>
      <c r="EY5">
        <v>0.3</v>
      </c>
      <c r="EZ5">
        <v>0.3</v>
      </c>
      <c r="FA5">
        <f>EV5*EQ5</f>
        <v>0.70000000000000007</v>
      </c>
      <c r="FB5">
        <f>EW5*ER5</f>
        <v>0.8</v>
      </c>
      <c r="FC5">
        <f>EX5*ES5</f>
        <v>1.6</v>
      </c>
      <c r="FD5">
        <f>EY5*ET5</f>
        <v>2.4</v>
      </c>
      <c r="FE5">
        <f>EZ5*EU5</f>
        <v>2.4</v>
      </c>
      <c r="FF5">
        <v>15</v>
      </c>
      <c r="FG5">
        <v>0</v>
      </c>
      <c r="FH5">
        <v>8</v>
      </c>
      <c r="FI5">
        <f>FA5+FB5+FC5+FD5+FE5</f>
        <v>7.9</v>
      </c>
      <c r="FJ5">
        <f>MEDIAN(EQ5:EU5)</f>
        <v>8</v>
      </c>
      <c r="FL5">
        <v>39.229999999999997</v>
      </c>
      <c r="FM5">
        <v>5.5</v>
      </c>
      <c r="FN5" t="s">
        <v>1238</v>
      </c>
      <c r="FO5" t="s">
        <v>1239</v>
      </c>
      <c r="FP5" t="s">
        <v>1240</v>
      </c>
      <c r="FQ5" t="s">
        <v>1241</v>
      </c>
      <c r="FR5" t="s">
        <v>1242</v>
      </c>
      <c r="FS5">
        <v>5</v>
      </c>
      <c r="FT5">
        <v>3</v>
      </c>
      <c r="FU5">
        <v>4</v>
      </c>
      <c r="FV5">
        <v>6</v>
      </c>
      <c r="FW5">
        <v>2</v>
      </c>
      <c r="FX5">
        <v>0.1</v>
      </c>
      <c r="FY5">
        <v>0.1</v>
      </c>
      <c r="FZ5">
        <v>0.2</v>
      </c>
      <c r="GA5">
        <v>0.3</v>
      </c>
      <c r="GB5">
        <v>0.3</v>
      </c>
      <c r="GC5">
        <f>FS5*FX5</f>
        <v>0.5</v>
      </c>
      <c r="GD5">
        <f>FT5*FY5</f>
        <v>0.30000000000000004</v>
      </c>
      <c r="GE5">
        <f>FU5*FZ5</f>
        <v>0.8</v>
      </c>
      <c r="GF5">
        <f>FV5*GA5</f>
        <v>1.7999999999999998</v>
      </c>
      <c r="GG5">
        <f>FW5*GB5</f>
        <v>0.6</v>
      </c>
      <c r="GH5">
        <v>5.7</v>
      </c>
      <c r="GI5">
        <v>-0.2</v>
      </c>
      <c r="GJ5">
        <v>5.5</v>
      </c>
      <c r="GK5">
        <f>GC5+GD5+GE5+GF5+GG5</f>
        <v>4</v>
      </c>
      <c r="GL5">
        <f>MEDIAN(FS5:FW5)</f>
        <v>4</v>
      </c>
    </row>
    <row r="6" spans="1:194" hidden="1" x14ac:dyDescent="0.25">
      <c r="A6">
        <v>5</v>
      </c>
      <c r="B6" t="s">
        <v>2</v>
      </c>
      <c r="C6" s="4">
        <v>80</v>
      </c>
      <c r="D6">
        <v>3.2</v>
      </c>
      <c r="E6" s="1">
        <f>C6/3/D6</f>
        <v>8.3333333333333339</v>
      </c>
      <c r="G6">
        <v>38.85</v>
      </c>
      <c r="H6">
        <v>8.65</v>
      </c>
      <c r="I6">
        <f>H6*D6*3</f>
        <v>83.04</v>
      </c>
      <c r="J6">
        <v>17.21</v>
      </c>
      <c r="K6">
        <v>9</v>
      </c>
      <c r="L6" s="3">
        <f>K6*3*D6</f>
        <v>86.4</v>
      </c>
      <c r="M6">
        <v>4.76</v>
      </c>
      <c r="N6">
        <v>3</v>
      </c>
      <c r="O6">
        <f>N6*D6*3</f>
        <v>28.800000000000004</v>
      </c>
      <c r="P6" s="5">
        <v>6.5</v>
      </c>
      <c r="Q6" s="5">
        <f>P6*D6*3</f>
        <v>62.400000000000006</v>
      </c>
      <c r="S6" t="s">
        <v>6143</v>
      </c>
      <c r="T6">
        <v>7.2</v>
      </c>
      <c r="U6" s="8">
        <f>T6*D6*3</f>
        <v>69.12</v>
      </c>
      <c r="V6">
        <v>34.68</v>
      </c>
      <c r="W6">
        <v>7.4</v>
      </c>
      <c r="X6" s="5">
        <f>W6*D6*3</f>
        <v>71.040000000000006</v>
      </c>
      <c r="Y6">
        <v>11.82</v>
      </c>
      <c r="Z6">
        <v>7.8</v>
      </c>
      <c r="AA6">
        <f>Z6*D6*3</f>
        <v>74.88</v>
      </c>
      <c r="AC6">
        <v>46</v>
      </c>
      <c r="AD6">
        <v>8</v>
      </c>
      <c r="AE6" s="1">
        <f>AD6*3*D6</f>
        <v>76.800000000000011</v>
      </c>
      <c r="AF6">
        <v>11.84</v>
      </c>
      <c r="AG6" s="5">
        <v>7</v>
      </c>
      <c r="AH6" s="5">
        <f>AG6*D6*3</f>
        <v>67.2</v>
      </c>
      <c r="AI6" s="13"/>
      <c r="AK6" s="8">
        <f>AJ6*D6*3</f>
        <v>0</v>
      </c>
      <c r="AL6" s="13"/>
      <c r="AM6">
        <v>30.93</v>
      </c>
      <c r="AN6">
        <v>7.9</v>
      </c>
      <c r="AO6" s="8">
        <f>AN6*D6*3</f>
        <v>75.84</v>
      </c>
      <c r="AP6">
        <v>14.47</v>
      </c>
      <c r="AQ6">
        <v>9.5</v>
      </c>
      <c r="AR6">
        <f>AQ6*D6*3</f>
        <v>91.2</v>
      </c>
      <c r="AS6">
        <v>10.93</v>
      </c>
      <c r="AT6">
        <v>8.8000000000000007</v>
      </c>
      <c r="AU6">
        <f>AT6*D6*3</f>
        <v>84.480000000000018</v>
      </c>
      <c r="AW6">
        <v>23.77</v>
      </c>
      <c r="AX6">
        <v>9.1</v>
      </c>
      <c r="AY6">
        <f>AX6*D6*3</f>
        <v>87.36</v>
      </c>
      <c r="AZ6">
        <v>23.77</v>
      </c>
      <c r="BA6">
        <v>9.1999999999999993</v>
      </c>
      <c r="BB6">
        <f>BA6*D6*3</f>
        <v>88.32</v>
      </c>
      <c r="BD6">
        <v>8.6</v>
      </c>
      <c r="BE6">
        <f>BD6*D6*3</f>
        <v>82.56</v>
      </c>
      <c r="BG6" s="10"/>
      <c r="BH6" s="1">
        <f>CHOOSE(MATCH(MIN(ABS(BP6-C6),ABS(BQ6-C6),ABS(BR6-C6)),CHOOSE({1;2;3},ABS(BP6-C6),ABS(BQ6-C6),ABS(BR6-C6)),0),BP6,BQ6,BR6)</f>
        <v>76.800000000000011</v>
      </c>
      <c r="BJ6" s="1" cm="1">
        <f t="array" ref="BJ6">(INDEX(_xlfn._xlws.SORT(CHOOSE({1;2;3;4;5;6},BQ6,BR6,L6,AE6,BO6,BP6)),3) + INDEX(_xlfn._xlws.SORT(CHOOSE({1;2;3;4;5;6},BQ6,BR6,L6,AE6,BO6,BP6)),4))/2</f>
        <v>76.800000000000011</v>
      </c>
      <c r="BK6">
        <v>8.3599559634872502</v>
      </c>
      <c r="BL6" t="s">
        <v>6117</v>
      </c>
      <c r="BM6" s="1">
        <f>BK6*3*D6</f>
        <v>80.255577249477597</v>
      </c>
      <c r="BN6" s="1">
        <f>BM6-C6</f>
        <v>0.25557724947759652</v>
      </c>
      <c r="BO6" s="1">
        <f>GK6*3*D6</f>
        <v>38.400000000000006</v>
      </c>
      <c r="BP6" s="1">
        <f>DO6*3*D6</f>
        <v>85.440000000000012</v>
      </c>
      <c r="BQ6" s="1">
        <f>FJ6*3*D6</f>
        <v>76.800000000000011</v>
      </c>
      <c r="BR6" s="1">
        <f>GL6*3*D6</f>
        <v>28.8</v>
      </c>
      <c r="BT6">
        <v>38.85</v>
      </c>
      <c r="BU6">
        <v>8.65</v>
      </c>
      <c r="BV6" t="s">
        <v>4995</v>
      </c>
      <c r="BW6" t="s">
        <v>4996</v>
      </c>
      <c r="BX6" t="s">
        <v>4997</v>
      </c>
      <c r="BY6" t="s">
        <v>4998</v>
      </c>
      <c r="CA6" t="s">
        <v>2480</v>
      </c>
      <c r="CC6" t="s">
        <v>2481</v>
      </c>
      <c r="CD6" t="s">
        <v>2481</v>
      </c>
      <c r="CE6" t="s">
        <v>2482</v>
      </c>
      <c r="CG6" t="s">
        <v>2483</v>
      </c>
      <c r="CH6" t="s">
        <v>2483</v>
      </c>
      <c r="CI6" t="s">
        <v>2484</v>
      </c>
      <c r="CK6" t="s">
        <v>2485</v>
      </c>
      <c r="CL6" t="s">
        <v>2485</v>
      </c>
      <c r="CM6" t="s">
        <v>2486</v>
      </c>
      <c r="CO6" t="s">
        <v>2487</v>
      </c>
      <c r="CP6" t="s">
        <v>2487</v>
      </c>
      <c r="CQ6" t="s">
        <v>2488</v>
      </c>
      <c r="CR6" t="s">
        <v>2478</v>
      </c>
      <c r="CS6" t="s">
        <v>2489</v>
      </c>
      <c r="CT6" t="s">
        <v>2489</v>
      </c>
      <c r="CV6">
        <v>9</v>
      </c>
      <c r="CW6">
        <v>9</v>
      </c>
      <c r="CX6">
        <v>9</v>
      </c>
      <c r="CY6">
        <v>9</v>
      </c>
      <c r="CZ6">
        <v>8.5</v>
      </c>
      <c r="DA6">
        <v>0.1</v>
      </c>
      <c r="DB6">
        <v>0.1</v>
      </c>
      <c r="DC6">
        <v>0.2</v>
      </c>
      <c r="DD6">
        <v>0.3</v>
      </c>
      <c r="DE6">
        <v>0.3</v>
      </c>
      <c r="DF6">
        <v>0.9</v>
      </c>
      <c r="DG6">
        <v>0.9</v>
      </c>
      <c r="DH6">
        <v>1.8</v>
      </c>
      <c r="DI6">
        <v>2.7</v>
      </c>
      <c r="DJ6">
        <v>2.5499999999999998</v>
      </c>
      <c r="DK6">
        <v>8.65</v>
      </c>
      <c r="DL6">
        <v>0</v>
      </c>
      <c r="DM6">
        <v>8.65</v>
      </c>
      <c r="DN6">
        <v>9</v>
      </c>
      <c r="DO6">
        <f>AVERAGE(CV6:CZ6)</f>
        <v>8.9</v>
      </c>
      <c r="DQ6">
        <v>8</v>
      </c>
      <c r="DR6" t="s">
        <v>47</v>
      </c>
      <c r="DS6" t="s">
        <v>48</v>
      </c>
      <c r="DT6" t="s">
        <v>49</v>
      </c>
      <c r="DU6" t="s">
        <v>50</v>
      </c>
      <c r="DV6" t="s">
        <v>51</v>
      </c>
      <c r="DW6" t="s">
        <v>3769</v>
      </c>
      <c r="DX6" t="s">
        <v>3789</v>
      </c>
      <c r="DY6" t="s">
        <v>3826</v>
      </c>
      <c r="DZ6" t="s">
        <v>3827</v>
      </c>
      <c r="EA6" t="s">
        <v>3828</v>
      </c>
      <c r="EB6" t="s">
        <v>3793</v>
      </c>
      <c r="EC6" t="s">
        <v>3829</v>
      </c>
      <c r="ED6" t="s">
        <v>3827</v>
      </c>
      <c r="EE6" t="s">
        <v>3830</v>
      </c>
      <c r="EF6" t="s">
        <v>3797</v>
      </c>
      <c r="EG6" t="s">
        <v>3831</v>
      </c>
      <c r="EH6" t="s">
        <v>3827</v>
      </c>
      <c r="EI6" t="s">
        <v>3832</v>
      </c>
      <c r="EJ6" t="s">
        <v>3800</v>
      </c>
      <c r="EK6" t="s">
        <v>3833</v>
      </c>
      <c r="EL6" t="s">
        <v>3827</v>
      </c>
      <c r="EM6" t="s">
        <v>3834</v>
      </c>
      <c r="EN6" t="s">
        <v>3803</v>
      </c>
      <c r="EO6" t="s">
        <v>3835</v>
      </c>
      <c r="EP6" t="s">
        <v>3827</v>
      </c>
      <c r="EQ6">
        <v>8</v>
      </c>
      <c r="ER6">
        <v>8</v>
      </c>
      <c r="ES6">
        <v>8</v>
      </c>
      <c r="ET6">
        <v>8</v>
      </c>
      <c r="EU6">
        <v>8</v>
      </c>
      <c r="EV6">
        <v>0.1</v>
      </c>
      <c r="EW6">
        <v>0.1</v>
      </c>
      <c r="EX6">
        <v>0.2</v>
      </c>
      <c r="EY6">
        <v>0.3</v>
      </c>
      <c r="EZ6">
        <v>0.3</v>
      </c>
      <c r="FA6">
        <f>EV6*EQ6</f>
        <v>0.8</v>
      </c>
      <c r="FB6">
        <f>EW6*ER6</f>
        <v>0.8</v>
      </c>
      <c r="FC6">
        <f>EX6*ES6</f>
        <v>1.6</v>
      </c>
      <c r="FD6">
        <f>EY6*ET6</f>
        <v>2.4</v>
      </c>
      <c r="FE6">
        <f>EZ6*EU6</f>
        <v>2.4</v>
      </c>
      <c r="FF6">
        <v>16</v>
      </c>
      <c r="FG6">
        <v>0</v>
      </c>
      <c r="FH6">
        <v>8</v>
      </c>
      <c r="FI6">
        <f>FA6+FB6+FC6+FD6+FE6</f>
        <v>8</v>
      </c>
      <c r="FJ6">
        <f>MEDIAN(EQ6:EU6)</f>
        <v>8</v>
      </c>
      <c r="FL6">
        <v>44.3</v>
      </c>
      <c r="FM6">
        <v>7.8</v>
      </c>
      <c r="FN6" t="s">
        <v>622</v>
      </c>
      <c r="FO6" t="s">
        <v>623</v>
      </c>
      <c r="FP6" t="s">
        <v>624</v>
      </c>
      <c r="FQ6" t="s">
        <v>625</v>
      </c>
      <c r="FR6" t="s">
        <v>626</v>
      </c>
      <c r="FS6">
        <v>2.5</v>
      </c>
      <c r="FT6">
        <v>1.5</v>
      </c>
      <c r="FU6">
        <v>3</v>
      </c>
      <c r="FV6">
        <v>4</v>
      </c>
      <c r="FW6">
        <v>6</v>
      </c>
      <c r="FX6">
        <v>0.1</v>
      </c>
      <c r="FY6">
        <v>0.1</v>
      </c>
      <c r="FZ6">
        <v>0.2</v>
      </c>
      <c r="GA6">
        <v>0.3</v>
      </c>
      <c r="GB6">
        <v>0.3</v>
      </c>
      <c r="GC6">
        <f>FS6*FX6</f>
        <v>0.25</v>
      </c>
      <c r="GD6">
        <f>FT6*FY6</f>
        <v>0.15000000000000002</v>
      </c>
      <c r="GE6">
        <f>FU6*FZ6</f>
        <v>0.60000000000000009</v>
      </c>
      <c r="GF6">
        <f>FV6*GA6</f>
        <v>1.2</v>
      </c>
      <c r="GG6">
        <f>FW6*GB6</f>
        <v>1.7999999999999998</v>
      </c>
      <c r="GH6">
        <v>5.8</v>
      </c>
      <c r="GJ6">
        <v>7.8</v>
      </c>
      <c r="GK6">
        <f>GC6+GD6+GE6+GF6+GG6</f>
        <v>4</v>
      </c>
      <c r="GL6">
        <f>MEDIAN(FS6:FW6)</f>
        <v>3</v>
      </c>
    </row>
    <row r="7" spans="1:194" x14ac:dyDescent="0.25">
      <c r="A7">
        <v>136</v>
      </c>
      <c r="B7" t="s">
        <v>2</v>
      </c>
      <c r="C7" s="4">
        <v>90.75</v>
      </c>
      <c r="D7">
        <v>3.3</v>
      </c>
      <c r="E7" s="1">
        <f>C7/3/D7</f>
        <v>9.1666666666666679</v>
      </c>
      <c r="G7">
        <v>34.44</v>
      </c>
      <c r="H7">
        <v>7.4</v>
      </c>
      <c r="I7">
        <f>H7*D7*3</f>
        <v>73.259999999999991</v>
      </c>
      <c r="J7">
        <v>18.760000000000002</v>
      </c>
      <c r="K7">
        <v>6.4</v>
      </c>
      <c r="L7" s="3">
        <f>K7*3*D7</f>
        <v>63.360000000000007</v>
      </c>
      <c r="M7">
        <v>5.03</v>
      </c>
      <c r="N7">
        <v>5</v>
      </c>
      <c r="O7">
        <f>N7*D7*3</f>
        <v>49.5</v>
      </c>
      <c r="P7" s="5">
        <v>7</v>
      </c>
      <c r="Q7" s="5">
        <f>P7*D7*3</f>
        <v>69.3</v>
      </c>
      <c r="S7" t="s">
        <v>6270</v>
      </c>
      <c r="T7">
        <v>5.2</v>
      </c>
      <c r="U7" s="8">
        <f>T7*D7*3</f>
        <v>51.480000000000004</v>
      </c>
      <c r="V7">
        <v>35.229999999999997</v>
      </c>
      <c r="W7">
        <v>8.5</v>
      </c>
      <c r="X7" s="5">
        <f>W7*D7*3</f>
        <v>84.149999999999991</v>
      </c>
      <c r="Y7">
        <v>11.34</v>
      </c>
      <c r="Z7">
        <v>7.5</v>
      </c>
      <c r="AA7">
        <f>Z7*D7*3</f>
        <v>74.25</v>
      </c>
      <c r="AC7">
        <v>46.05</v>
      </c>
      <c r="AD7">
        <v>7.9</v>
      </c>
      <c r="AE7" s="1">
        <f>AD7*3*D7</f>
        <v>78.210000000000008</v>
      </c>
      <c r="AF7">
        <v>11.86</v>
      </c>
      <c r="AG7" s="5">
        <v>7</v>
      </c>
      <c r="AH7" s="5">
        <f>AG7*D7*3</f>
        <v>69.3</v>
      </c>
      <c r="AI7" s="13"/>
      <c r="AJ7">
        <v>6.5</v>
      </c>
      <c r="AK7" s="8">
        <f>AJ7*D7*3</f>
        <v>64.349999999999994</v>
      </c>
      <c r="AL7" s="13"/>
      <c r="AM7">
        <v>29.88</v>
      </c>
      <c r="AN7">
        <v>5.3</v>
      </c>
      <c r="AO7" s="8">
        <f>AN7*D7*3</f>
        <v>52.47</v>
      </c>
      <c r="AP7">
        <v>13.07</v>
      </c>
      <c r="AQ7">
        <v>10</v>
      </c>
      <c r="AR7">
        <f>AQ7*D7*3</f>
        <v>99</v>
      </c>
      <c r="AT7">
        <v>8.6999999999999993</v>
      </c>
      <c r="AU7">
        <f>AT7*D7*3</f>
        <v>86.13</v>
      </c>
      <c r="AW7">
        <v>24.73</v>
      </c>
      <c r="AX7">
        <v>9.5</v>
      </c>
      <c r="AY7">
        <f>AX7*D7*3</f>
        <v>94.05</v>
      </c>
      <c r="AZ7">
        <v>24.73</v>
      </c>
      <c r="BA7">
        <v>9</v>
      </c>
      <c r="BB7">
        <f>BA7*D7*3</f>
        <v>89.1</v>
      </c>
      <c r="BD7">
        <v>8.6999999999999993</v>
      </c>
      <c r="BE7">
        <f>BD7*D7*3</f>
        <v>86.13</v>
      </c>
      <c r="BG7" s="10"/>
      <c r="BH7" s="1">
        <f>CHOOSE(MATCH(MIN(ABS(BP7-C7),ABS(BQ7-C7),ABS(BR7-C7)),CHOOSE({1;2;3},ABS(BP7-C7),ABS(BQ7-C7),ABS(BR7-C7)),0),BP7,BQ7,BR7)</f>
        <v>85.139999999999986</v>
      </c>
      <c r="BJ7" s="1" cm="1">
        <f t="array" ref="BJ7">(INDEX(_xlfn._xlws.SORT(CHOOSE({1;2;3;4;5;6},BQ7,BR7,L7,AE7,BO7,BP7)),3) + INDEX(_xlfn._xlws.SORT(CHOOSE({1;2;3;4;5;6},BQ7,BR7,L7,AE7,BO7,BP7)),4))/2</f>
        <v>78.704999999999998</v>
      </c>
      <c r="BK7">
        <v>7.4010050148899298</v>
      </c>
      <c r="BL7" s="11" t="s">
        <v>6116</v>
      </c>
      <c r="BM7" s="1">
        <f>BK7*3*D7</f>
        <v>73.2699496474103</v>
      </c>
      <c r="BN7" s="1">
        <f>BM7-C7</f>
        <v>-17.4800503525897</v>
      </c>
      <c r="BO7" s="1">
        <f>GK7*3*D7</f>
        <v>78.210000000000008</v>
      </c>
      <c r="BP7" s="1">
        <f>DO7*3*D7</f>
        <v>85.139999999999986</v>
      </c>
      <c r="BQ7" s="1">
        <f>FJ7*3*D7</f>
        <v>79.199999999999989</v>
      </c>
      <c r="BR7" s="1">
        <f>GL7*3*D7</f>
        <v>84.149999999999991</v>
      </c>
      <c r="BT7">
        <v>34.44</v>
      </c>
      <c r="BU7">
        <v>7.4</v>
      </c>
      <c r="BV7" t="s">
        <v>5458</v>
      </c>
      <c r="BW7" t="s">
        <v>5459</v>
      </c>
      <c r="BX7" t="s">
        <v>5460</v>
      </c>
      <c r="BY7" t="s">
        <v>5461</v>
      </c>
      <c r="BZ7" t="s">
        <v>5462</v>
      </c>
      <c r="CA7" t="s">
        <v>2550</v>
      </c>
      <c r="CC7" t="s">
        <v>2634</v>
      </c>
      <c r="CD7" t="s">
        <v>2635</v>
      </c>
      <c r="CE7" t="s">
        <v>2553</v>
      </c>
      <c r="CG7" t="s">
        <v>2634</v>
      </c>
      <c r="CH7" t="s">
        <v>2773</v>
      </c>
      <c r="CI7" t="s">
        <v>2774</v>
      </c>
      <c r="CK7" t="s">
        <v>2634</v>
      </c>
      <c r="CL7" t="s">
        <v>2775</v>
      </c>
      <c r="CM7" t="s">
        <v>3136</v>
      </c>
      <c r="CO7" t="s">
        <v>2634</v>
      </c>
      <c r="CP7" t="s">
        <v>2776</v>
      </c>
      <c r="CQ7" t="s">
        <v>2777</v>
      </c>
      <c r="CR7" t="s">
        <v>2778</v>
      </c>
      <c r="CS7" t="s">
        <v>2779</v>
      </c>
      <c r="CT7" t="s">
        <v>3137</v>
      </c>
      <c r="CV7">
        <v>9</v>
      </c>
      <c r="CW7">
        <v>9</v>
      </c>
      <c r="CX7">
        <v>9</v>
      </c>
      <c r="CY7">
        <v>9</v>
      </c>
      <c r="CZ7">
        <v>7</v>
      </c>
      <c r="DA7">
        <v>0.1</v>
      </c>
      <c r="DB7">
        <v>0.1</v>
      </c>
      <c r="DC7">
        <v>0.2</v>
      </c>
      <c r="DD7">
        <v>0.3</v>
      </c>
      <c r="DE7">
        <v>0.3</v>
      </c>
      <c r="DF7">
        <v>0.9</v>
      </c>
      <c r="DG7">
        <v>0.9</v>
      </c>
      <c r="DH7">
        <v>1.8</v>
      </c>
      <c r="DI7">
        <v>2.7</v>
      </c>
      <c r="DJ7">
        <v>2.1</v>
      </c>
      <c r="DK7">
        <v>7.4</v>
      </c>
      <c r="DL7">
        <v>0</v>
      </c>
      <c r="DM7">
        <v>7.4</v>
      </c>
      <c r="DN7">
        <v>6.4</v>
      </c>
      <c r="DO7">
        <f>AVERAGE(CV7:CZ7)</f>
        <v>8.6</v>
      </c>
      <c r="DQ7">
        <v>15</v>
      </c>
      <c r="DR7" t="s">
        <v>213</v>
      </c>
      <c r="DS7" t="s">
        <v>29</v>
      </c>
      <c r="DT7" t="s">
        <v>180</v>
      </c>
      <c r="DU7" t="s">
        <v>58</v>
      </c>
      <c r="DV7" t="s">
        <v>193</v>
      </c>
      <c r="DW7" t="s">
        <v>3769</v>
      </c>
      <c r="DX7" t="s">
        <v>3770</v>
      </c>
      <c r="DY7" t="s">
        <v>3771</v>
      </c>
      <c r="DZ7" t="s">
        <v>3772</v>
      </c>
      <c r="EA7" t="s">
        <v>3806</v>
      </c>
      <c r="EB7" t="s">
        <v>3807</v>
      </c>
      <c r="EC7" t="s">
        <v>3775</v>
      </c>
      <c r="ED7" t="s">
        <v>3776</v>
      </c>
      <c r="EE7" t="s">
        <v>3819</v>
      </c>
      <c r="EF7" t="s">
        <v>4104</v>
      </c>
      <c r="EG7" t="s">
        <v>3810</v>
      </c>
      <c r="EH7" t="s">
        <v>3811</v>
      </c>
      <c r="EI7" t="s">
        <v>3820</v>
      </c>
      <c r="EJ7" t="s">
        <v>4174</v>
      </c>
      <c r="EK7" t="s">
        <v>4175</v>
      </c>
      <c r="EL7" t="s">
        <v>3856</v>
      </c>
      <c r="EM7" t="s">
        <v>3816</v>
      </c>
      <c r="EN7" t="s">
        <v>4050</v>
      </c>
      <c r="EO7" t="s">
        <v>4176</v>
      </c>
      <c r="EP7" t="s">
        <v>4177</v>
      </c>
      <c r="EQ7">
        <v>7</v>
      </c>
      <c r="ER7">
        <v>8</v>
      </c>
      <c r="ES7">
        <v>8</v>
      </c>
      <c r="ET7">
        <v>8</v>
      </c>
      <c r="EU7">
        <v>8</v>
      </c>
      <c r="EV7">
        <v>0.1</v>
      </c>
      <c r="EW7">
        <v>0.1</v>
      </c>
      <c r="EX7">
        <v>0.2</v>
      </c>
      <c r="EY7">
        <v>0.3</v>
      </c>
      <c r="EZ7">
        <v>0.3</v>
      </c>
      <c r="FA7">
        <f>EV7*EQ7</f>
        <v>0.70000000000000007</v>
      </c>
      <c r="FB7">
        <f>EW7*ER7</f>
        <v>0.8</v>
      </c>
      <c r="FC7">
        <f>EX7*ES7</f>
        <v>1.6</v>
      </c>
      <c r="FD7">
        <f>EY7*ET7</f>
        <v>2.4</v>
      </c>
      <c r="FE7">
        <f>EZ7*EU7</f>
        <v>2.4</v>
      </c>
      <c r="FF7">
        <v>15</v>
      </c>
      <c r="FG7">
        <v>0</v>
      </c>
      <c r="FH7">
        <v>15</v>
      </c>
      <c r="FI7">
        <f>FA7+FB7+FC7+FD7+FE7</f>
        <v>7.9</v>
      </c>
      <c r="FJ7">
        <f>MEDIAN(EQ7:EU7)</f>
        <v>8</v>
      </c>
      <c r="FL7">
        <v>62.76</v>
      </c>
      <c r="FM7">
        <v>8.3000000000000007</v>
      </c>
      <c r="FN7" t="s">
        <v>1253</v>
      </c>
      <c r="FO7" t="s">
        <v>1254</v>
      </c>
      <c r="FP7" t="s">
        <v>1255</v>
      </c>
      <c r="FQ7" t="s">
        <v>1256</v>
      </c>
      <c r="FR7" t="s">
        <v>1257</v>
      </c>
      <c r="FS7">
        <v>10</v>
      </c>
      <c r="FT7">
        <v>10</v>
      </c>
      <c r="FU7">
        <v>8.5</v>
      </c>
      <c r="FV7">
        <v>7.5</v>
      </c>
      <c r="FW7">
        <v>6.5</v>
      </c>
      <c r="FX7">
        <v>0.1</v>
      </c>
      <c r="FY7">
        <v>0.1</v>
      </c>
      <c r="FZ7">
        <v>0.2</v>
      </c>
      <c r="GA7">
        <v>0.3</v>
      </c>
      <c r="GB7">
        <v>0.3</v>
      </c>
      <c r="GC7">
        <f>FS7*FX7</f>
        <v>1</v>
      </c>
      <c r="GD7">
        <f>FT7*FY7</f>
        <v>1</v>
      </c>
      <c r="GE7">
        <f>FU7*FZ7</f>
        <v>1.7000000000000002</v>
      </c>
      <c r="GF7">
        <f>FV7*GA7</f>
        <v>2.25</v>
      </c>
      <c r="GG7">
        <f>FW7*GB7</f>
        <v>1.95</v>
      </c>
      <c r="GH7">
        <v>8.3000000000000007</v>
      </c>
      <c r="GI7">
        <v>0</v>
      </c>
      <c r="GJ7">
        <v>8.3000000000000007</v>
      </c>
      <c r="GK7">
        <f>GC7+GD7+GE7+GF7+GG7</f>
        <v>7.9</v>
      </c>
      <c r="GL7">
        <f>MEDIAN(FS7:FW7)</f>
        <v>8.5</v>
      </c>
    </row>
    <row r="8" spans="1:194" hidden="1" x14ac:dyDescent="0.25">
      <c r="A8">
        <v>7</v>
      </c>
      <c r="B8" t="s">
        <v>2</v>
      </c>
      <c r="C8" s="4">
        <v>81.599999999999994</v>
      </c>
      <c r="D8">
        <v>3.2</v>
      </c>
      <c r="E8" s="1">
        <f>C8/3/D8</f>
        <v>8.5</v>
      </c>
      <c r="G8">
        <v>37.03</v>
      </c>
      <c r="H8">
        <v>8.6999999999999993</v>
      </c>
      <c r="I8">
        <f>H8*D8*3</f>
        <v>83.52</v>
      </c>
      <c r="J8">
        <v>17.63</v>
      </c>
      <c r="K8">
        <v>8.4</v>
      </c>
      <c r="L8" s="3">
        <f>K8*3*D8</f>
        <v>80.640000000000015</v>
      </c>
      <c r="M8">
        <v>4.22</v>
      </c>
      <c r="N8">
        <v>9</v>
      </c>
      <c r="O8">
        <f>N8*D8*3</f>
        <v>86.4</v>
      </c>
      <c r="P8" s="5">
        <v>6.5</v>
      </c>
      <c r="Q8" s="5">
        <f>P8*D8*3</f>
        <v>62.400000000000006</v>
      </c>
      <c r="S8" t="s">
        <v>6145</v>
      </c>
      <c r="T8">
        <v>5.3</v>
      </c>
      <c r="U8" s="8">
        <f>T8*D8*3</f>
        <v>50.88</v>
      </c>
      <c r="V8">
        <v>37.36</v>
      </c>
      <c r="W8">
        <v>8.6999999999999993</v>
      </c>
      <c r="X8" s="5">
        <f>W8*D8*3</f>
        <v>83.52</v>
      </c>
      <c r="Y8">
        <v>9.19</v>
      </c>
      <c r="Z8">
        <v>7.8</v>
      </c>
      <c r="AA8">
        <f>Z8*D8*3</f>
        <v>74.88</v>
      </c>
      <c r="AC8">
        <v>45.56</v>
      </c>
      <c r="AD8">
        <v>7.9</v>
      </c>
      <c r="AE8" s="1">
        <f>AD8*3*D8</f>
        <v>75.840000000000018</v>
      </c>
      <c r="AF8">
        <v>12.32</v>
      </c>
      <c r="AG8" s="5">
        <v>7</v>
      </c>
      <c r="AH8" s="5">
        <f>AG8*D8*3</f>
        <v>67.2</v>
      </c>
      <c r="AI8" s="13"/>
      <c r="AJ8">
        <v>8.1999999999999993</v>
      </c>
      <c r="AK8" s="8">
        <f>AJ8*D8*3</f>
        <v>78.72</v>
      </c>
      <c r="AL8" s="13"/>
      <c r="AM8">
        <v>29.02</v>
      </c>
      <c r="AN8">
        <v>7</v>
      </c>
      <c r="AO8" s="8">
        <f>AN8*D8*3</f>
        <v>67.2</v>
      </c>
      <c r="AP8">
        <v>14.52</v>
      </c>
      <c r="AQ8">
        <v>10</v>
      </c>
      <c r="AR8">
        <f>AQ8*D8*3</f>
        <v>96</v>
      </c>
      <c r="AS8">
        <v>10.37</v>
      </c>
      <c r="AT8">
        <v>8.8000000000000007</v>
      </c>
      <c r="AU8">
        <f>AT8*D8*3</f>
        <v>84.480000000000018</v>
      </c>
      <c r="AW8">
        <v>24.45</v>
      </c>
      <c r="AX8">
        <v>9.6</v>
      </c>
      <c r="AY8">
        <f>AX8*D8*3</f>
        <v>92.16</v>
      </c>
      <c r="AZ8">
        <v>24.45</v>
      </c>
      <c r="BA8">
        <v>9.1</v>
      </c>
      <c r="BB8">
        <f>BA8*D8*3</f>
        <v>87.36</v>
      </c>
      <c r="BD8">
        <v>8.6</v>
      </c>
      <c r="BE8">
        <f>BD8*D8*3</f>
        <v>82.56</v>
      </c>
      <c r="BG8" s="10"/>
      <c r="BH8" s="1">
        <f>CHOOSE(MATCH(MIN(ABS(BP8-C8),ABS(BQ8-C8),ABS(BR8-C8)),CHOOSE({1;2;3},ABS(BP8-C8),ABS(BQ8-C8),ABS(BR8-C8)),0),BP8,BQ8,BR8)</f>
        <v>84.480000000000018</v>
      </c>
      <c r="BJ8" s="1" cm="1">
        <f t="array" ref="BJ8">(INDEX(_xlfn._xlws.SORT(CHOOSE({1;2;3;4;5;6},BQ8,BR8,L8,AE8,BO8,BP8)),3) + INDEX(_xlfn._xlws.SORT(CHOOSE({1;2;3;4;5;6},BQ8,BR8,L8,AE8,BO8,BP8)),4))/2</f>
        <v>76.320000000000022</v>
      </c>
      <c r="BK8">
        <v>8.4750694106959905</v>
      </c>
      <c r="BL8" t="s">
        <v>6117</v>
      </c>
      <c r="BM8" s="1">
        <f>BK8*3*D8</f>
        <v>81.360666342681512</v>
      </c>
      <c r="BN8" s="1">
        <f>BM8-C8</f>
        <v>-0.23933365731848255</v>
      </c>
      <c r="BO8" s="1">
        <f>GK8*3*D8</f>
        <v>43.680000000000007</v>
      </c>
      <c r="BP8" s="1">
        <f>DO8*3*D8</f>
        <v>84.480000000000018</v>
      </c>
      <c r="BQ8" s="1">
        <f>FJ8*3*D8</f>
        <v>76.800000000000011</v>
      </c>
      <c r="BR8" s="1">
        <f>GL8*3*D8</f>
        <v>48</v>
      </c>
      <c r="BT8">
        <v>37.03</v>
      </c>
      <c r="BU8">
        <v>8.6999999999999993</v>
      </c>
      <c r="BV8" t="s">
        <v>5003</v>
      </c>
      <c r="BW8" t="s">
        <v>5004</v>
      </c>
      <c r="BX8" t="s">
        <v>5005</v>
      </c>
      <c r="BY8" t="s">
        <v>5006</v>
      </c>
      <c r="BZ8" t="s">
        <v>5007</v>
      </c>
      <c r="CA8" t="s">
        <v>2506</v>
      </c>
      <c r="CC8" t="s">
        <v>2507</v>
      </c>
      <c r="CD8" t="s">
        <v>2508</v>
      </c>
      <c r="CE8" t="s">
        <v>2440</v>
      </c>
      <c r="CG8" t="s">
        <v>2509</v>
      </c>
      <c r="CH8" t="s">
        <v>2510</v>
      </c>
      <c r="CI8" t="s">
        <v>2443</v>
      </c>
      <c r="CK8" t="s">
        <v>2511</v>
      </c>
      <c r="CL8" t="s">
        <v>2512</v>
      </c>
      <c r="CM8" t="s">
        <v>2446</v>
      </c>
      <c r="CO8" t="s">
        <v>2513</v>
      </c>
      <c r="CP8" t="s">
        <v>2514</v>
      </c>
      <c r="CQ8" t="s">
        <v>2449</v>
      </c>
      <c r="CR8" t="s">
        <v>2515</v>
      </c>
      <c r="CS8" t="s">
        <v>2516</v>
      </c>
      <c r="CT8" t="s">
        <v>2517</v>
      </c>
      <c r="CV8">
        <v>9</v>
      </c>
      <c r="CW8">
        <v>9</v>
      </c>
      <c r="CX8">
        <v>9</v>
      </c>
      <c r="CY8">
        <v>9</v>
      </c>
      <c r="CZ8">
        <v>8</v>
      </c>
      <c r="DA8">
        <v>0.1</v>
      </c>
      <c r="DB8">
        <v>0.1</v>
      </c>
      <c r="DC8">
        <v>0.2</v>
      </c>
      <c r="DD8">
        <v>0.3</v>
      </c>
      <c r="DE8">
        <v>0.3</v>
      </c>
      <c r="DF8">
        <v>0.9</v>
      </c>
      <c r="DG8">
        <v>0.9</v>
      </c>
      <c r="DH8">
        <v>1.8</v>
      </c>
      <c r="DI8">
        <v>2.7</v>
      </c>
      <c r="DJ8">
        <v>2.4</v>
      </c>
      <c r="DK8">
        <v>8.6999999999999993</v>
      </c>
      <c r="DL8">
        <v>0</v>
      </c>
      <c r="DM8">
        <v>8.6999999999999993</v>
      </c>
      <c r="DN8">
        <v>8.4</v>
      </c>
      <c r="DO8">
        <f>AVERAGE(CV8:CZ8)</f>
        <v>8.8000000000000007</v>
      </c>
      <c r="DQ8">
        <v>15</v>
      </c>
      <c r="DR8" t="s">
        <v>28</v>
      </c>
      <c r="DS8" t="s">
        <v>29</v>
      </c>
      <c r="DT8" t="s">
        <v>57</v>
      </c>
      <c r="DU8" t="s">
        <v>58</v>
      </c>
      <c r="DV8" t="s">
        <v>59</v>
      </c>
      <c r="DW8" t="s">
        <v>3769</v>
      </c>
      <c r="DX8" t="s">
        <v>3770</v>
      </c>
      <c r="DY8" t="s">
        <v>3771</v>
      </c>
      <c r="DZ8" t="s">
        <v>3772</v>
      </c>
      <c r="EA8" t="s">
        <v>3806</v>
      </c>
      <c r="EB8" t="s">
        <v>3807</v>
      </c>
      <c r="EC8" t="s">
        <v>3775</v>
      </c>
      <c r="ED8" t="s">
        <v>3776</v>
      </c>
      <c r="EE8" t="s">
        <v>3819</v>
      </c>
      <c r="EF8" t="s">
        <v>3809</v>
      </c>
      <c r="EG8" t="s">
        <v>3810</v>
      </c>
      <c r="EH8" t="s">
        <v>3811</v>
      </c>
      <c r="EI8" t="s">
        <v>3820</v>
      </c>
      <c r="EJ8" t="s">
        <v>3813</v>
      </c>
      <c r="EK8" t="s">
        <v>3855</v>
      </c>
      <c r="EL8" t="s">
        <v>3856</v>
      </c>
      <c r="EM8" t="s">
        <v>3816</v>
      </c>
      <c r="EN8" t="s">
        <v>3823</v>
      </c>
      <c r="EO8" t="s">
        <v>3824</v>
      </c>
      <c r="EP8" t="s">
        <v>3857</v>
      </c>
      <c r="EQ8">
        <v>7</v>
      </c>
      <c r="ER8">
        <v>8</v>
      </c>
      <c r="ES8">
        <v>8</v>
      </c>
      <c r="ET8">
        <v>8</v>
      </c>
      <c r="EU8">
        <v>8</v>
      </c>
      <c r="EV8">
        <v>0.1</v>
      </c>
      <c r="EW8">
        <v>0.1</v>
      </c>
      <c r="EX8">
        <v>0.2</v>
      </c>
      <c r="EY8">
        <v>0.3</v>
      </c>
      <c r="EZ8">
        <v>0.3</v>
      </c>
      <c r="FA8">
        <f>EV8*EQ8</f>
        <v>0.70000000000000007</v>
      </c>
      <c r="FB8">
        <f>EW8*ER8</f>
        <v>0.8</v>
      </c>
      <c r="FC8">
        <f>EX8*ES8</f>
        <v>1.6</v>
      </c>
      <c r="FD8">
        <f>EY8*ET8</f>
        <v>2.4</v>
      </c>
      <c r="FE8">
        <f>EZ8*EU8</f>
        <v>2.4</v>
      </c>
      <c r="FF8">
        <v>15</v>
      </c>
      <c r="FG8">
        <v>0</v>
      </c>
      <c r="FH8">
        <v>15</v>
      </c>
      <c r="FI8">
        <f>FA8+FB8+FC8+FD8+FE8</f>
        <v>7.9</v>
      </c>
      <c r="FJ8">
        <f>MEDIAN(EQ8:EU8)</f>
        <v>8</v>
      </c>
      <c r="FL8">
        <v>43.83</v>
      </c>
      <c r="FM8">
        <v>4.8</v>
      </c>
      <c r="FN8" t="s">
        <v>632</v>
      </c>
      <c r="FO8" t="s">
        <v>633</v>
      </c>
      <c r="FP8" t="s">
        <v>634</v>
      </c>
      <c r="FQ8" t="s">
        <v>635</v>
      </c>
      <c r="FR8" t="s">
        <v>636</v>
      </c>
      <c r="FS8">
        <v>5</v>
      </c>
      <c r="FT8">
        <v>7.5</v>
      </c>
      <c r="FU8">
        <v>6</v>
      </c>
      <c r="FV8">
        <v>4</v>
      </c>
      <c r="FW8">
        <v>3</v>
      </c>
      <c r="FX8">
        <v>0.1</v>
      </c>
      <c r="FY8">
        <v>0.1</v>
      </c>
      <c r="FZ8">
        <v>0.2</v>
      </c>
      <c r="GA8">
        <v>0.3</v>
      </c>
      <c r="GB8">
        <v>0.3</v>
      </c>
      <c r="GC8">
        <f>FS8*FX8</f>
        <v>0.5</v>
      </c>
      <c r="GD8">
        <f>FT8*FY8</f>
        <v>0.75</v>
      </c>
      <c r="GE8">
        <f>FU8*FZ8</f>
        <v>1.2000000000000002</v>
      </c>
      <c r="GF8">
        <f>FV8*GA8</f>
        <v>1.2</v>
      </c>
      <c r="GG8">
        <f>FW8*GB8</f>
        <v>0.89999999999999991</v>
      </c>
      <c r="GH8">
        <v>4.8</v>
      </c>
      <c r="GJ8">
        <v>4.8</v>
      </c>
      <c r="GK8">
        <f>GC8+GD8+GE8+GF8+GG8</f>
        <v>4.5500000000000007</v>
      </c>
      <c r="GL8">
        <f>MEDIAN(FS8:FW8)</f>
        <v>5</v>
      </c>
    </row>
    <row r="9" spans="1:194" hidden="1" x14ac:dyDescent="0.25">
      <c r="A9">
        <v>8</v>
      </c>
      <c r="B9" t="s">
        <v>2</v>
      </c>
      <c r="C9" s="4">
        <v>97.2</v>
      </c>
      <c r="D9">
        <v>3.6</v>
      </c>
      <c r="E9" s="1">
        <f>C9/3/D9</f>
        <v>9</v>
      </c>
      <c r="G9">
        <v>35.950000000000003</v>
      </c>
      <c r="H9">
        <v>8</v>
      </c>
      <c r="I9">
        <f>H9*D9*3</f>
        <v>86.4</v>
      </c>
      <c r="J9">
        <v>19.27</v>
      </c>
      <c r="K9">
        <v>8.6</v>
      </c>
      <c r="L9" s="3">
        <f>K9*3*D9</f>
        <v>92.88</v>
      </c>
      <c r="M9">
        <v>6.51</v>
      </c>
      <c r="N9">
        <v>3</v>
      </c>
      <c r="O9">
        <f>N9*D9*3</f>
        <v>32.400000000000006</v>
      </c>
      <c r="P9" s="5">
        <v>8.9</v>
      </c>
      <c r="Q9" s="5">
        <f>P9*D9*3</f>
        <v>96.12</v>
      </c>
      <c r="S9" t="s">
        <v>6146</v>
      </c>
      <c r="T9">
        <v>5.3</v>
      </c>
      <c r="U9" s="8">
        <f>T9*D9*3</f>
        <v>57.239999999999995</v>
      </c>
      <c r="V9">
        <v>39.35</v>
      </c>
      <c r="W9">
        <v>7.9</v>
      </c>
      <c r="X9" s="5">
        <f>W9*D9*3</f>
        <v>85.320000000000007</v>
      </c>
      <c r="Y9">
        <v>11.74</v>
      </c>
      <c r="Z9">
        <v>7.5</v>
      </c>
      <c r="AA9">
        <f>Z9*D9*3</f>
        <v>81</v>
      </c>
      <c r="AC9">
        <v>46.56</v>
      </c>
      <c r="AD9">
        <v>8</v>
      </c>
      <c r="AE9" s="1">
        <f>AD9*3*D9</f>
        <v>86.4</v>
      </c>
      <c r="AF9">
        <v>11.85</v>
      </c>
      <c r="AG9" s="5">
        <v>7</v>
      </c>
      <c r="AH9" s="5">
        <f>AG9*D9*3</f>
        <v>75.599999999999994</v>
      </c>
      <c r="AI9" s="13"/>
      <c r="AJ9">
        <v>2.7</v>
      </c>
      <c r="AK9" s="8">
        <f>AJ9*D9*3</f>
        <v>29.160000000000004</v>
      </c>
      <c r="AL9" s="13"/>
      <c r="AM9">
        <v>31.33</v>
      </c>
      <c r="AN9">
        <v>7.2</v>
      </c>
      <c r="AO9" s="8">
        <f>AN9*D9*3</f>
        <v>77.760000000000005</v>
      </c>
      <c r="AP9">
        <v>14.99</v>
      </c>
      <c r="AQ9">
        <v>10</v>
      </c>
      <c r="AR9">
        <f>AQ9*D9*3</f>
        <v>108</v>
      </c>
      <c r="AS9">
        <v>11.48</v>
      </c>
      <c r="AT9">
        <v>9.1999999999999993</v>
      </c>
      <c r="AU9">
        <f>AT9*D9*3</f>
        <v>99.359999999999985</v>
      </c>
      <c r="AW9">
        <v>24</v>
      </c>
      <c r="AX9">
        <v>9.5</v>
      </c>
      <c r="AY9">
        <f>AX9*D9*3</f>
        <v>102.60000000000001</v>
      </c>
      <c r="AZ9">
        <v>24</v>
      </c>
      <c r="BA9">
        <v>9</v>
      </c>
      <c r="BB9">
        <f>BA9*D9*3</f>
        <v>97.199999999999989</v>
      </c>
      <c r="BD9">
        <v>8.6999999999999993</v>
      </c>
      <c r="BE9">
        <f>BD9*D9*3</f>
        <v>93.96</v>
      </c>
      <c r="BG9" s="10"/>
      <c r="BH9" s="1">
        <f>CHOOSE(MATCH(MIN(ABS(BP9-C9),ABS(BQ9-C9),ABS(BR9-C9)),CHOOSE({1;2;3},ABS(BP9-C9),ABS(BQ9-C9),ABS(BR9-C9)),0),BP9,BQ9,BR9)</f>
        <v>97.2</v>
      </c>
      <c r="BJ9" s="1" cm="1">
        <f t="array" ref="BJ9">(INDEX(_xlfn._xlws.SORT(CHOOSE({1;2;3;4;5;6},BQ9,BR9,L9,AE9,BO9,BP9)),3) + INDEX(_xlfn._xlws.SORT(CHOOSE({1;2;3;4;5;6},BQ9,BR9,L9,AE9,BO9,BP9)),4))/2</f>
        <v>86.4</v>
      </c>
      <c r="BK9">
        <v>8.9420022945427498</v>
      </c>
      <c r="BL9" t="s">
        <v>6117</v>
      </c>
      <c r="BM9" s="1">
        <f>BK9*3*D9</f>
        <v>96.573624781061696</v>
      </c>
      <c r="BN9" s="1">
        <f>BM9-C9</f>
        <v>-0.62637521893830694</v>
      </c>
      <c r="BO9" s="1">
        <f>GK9*3*D9</f>
        <v>59.4</v>
      </c>
      <c r="BP9" s="1">
        <f>DO9*3*D9</f>
        <v>97.2</v>
      </c>
      <c r="BQ9" s="1">
        <f>FJ9*3*D9</f>
        <v>86.4</v>
      </c>
      <c r="BR9" s="1">
        <f>GL9*3*D9</f>
        <v>64.8</v>
      </c>
      <c r="BT9">
        <v>35.950000000000003</v>
      </c>
      <c r="BU9">
        <v>8</v>
      </c>
      <c r="BV9" t="s">
        <v>5008</v>
      </c>
      <c r="BW9" t="s">
        <v>5009</v>
      </c>
      <c r="BX9" t="s">
        <v>5010</v>
      </c>
      <c r="BY9" t="s">
        <v>5011</v>
      </c>
      <c r="BZ9" t="s">
        <v>5012</v>
      </c>
      <c r="CA9" t="s">
        <v>2437</v>
      </c>
      <c r="CC9" t="s">
        <v>2518</v>
      </c>
      <c r="CD9" t="s">
        <v>2508</v>
      </c>
      <c r="CE9" t="s">
        <v>2440</v>
      </c>
      <c r="CG9" t="s">
        <v>2519</v>
      </c>
      <c r="CH9" t="s">
        <v>2510</v>
      </c>
      <c r="CI9" t="s">
        <v>2443</v>
      </c>
      <c r="CK9" t="s">
        <v>2520</v>
      </c>
      <c r="CL9" t="s">
        <v>2512</v>
      </c>
      <c r="CM9" t="s">
        <v>2521</v>
      </c>
      <c r="CO9" t="s">
        <v>2522</v>
      </c>
      <c r="CP9" t="s">
        <v>2514</v>
      </c>
      <c r="CQ9" t="s">
        <v>2449</v>
      </c>
      <c r="CS9" t="s">
        <v>2523</v>
      </c>
      <c r="CT9" t="s">
        <v>2524</v>
      </c>
      <c r="CV9">
        <v>9</v>
      </c>
      <c r="CW9">
        <v>9</v>
      </c>
      <c r="CX9">
        <v>9</v>
      </c>
      <c r="CY9">
        <v>9</v>
      </c>
      <c r="CZ9">
        <v>9</v>
      </c>
      <c r="DA9">
        <v>0.1</v>
      </c>
      <c r="DB9">
        <v>0.1</v>
      </c>
      <c r="DC9">
        <v>0.2</v>
      </c>
      <c r="DD9">
        <v>0.3</v>
      </c>
      <c r="DE9">
        <v>0.3</v>
      </c>
      <c r="DF9">
        <v>0.9</v>
      </c>
      <c r="DG9">
        <v>0.9</v>
      </c>
      <c r="DH9">
        <v>1.8</v>
      </c>
      <c r="DI9">
        <v>2.7</v>
      </c>
      <c r="DJ9">
        <v>2.7</v>
      </c>
      <c r="DK9">
        <v>8</v>
      </c>
      <c r="DL9">
        <v>0</v>
      </c>
      <c r="DM9">
        <v>8</v>
      </c>
      <c r="DN9">
        <v>8.6</v>
      </c>
      <c r="DO9">
        <f>AVERAGE(CV9:CZ9)</f>
        <v>9</v>
      </c>
      <c r="DQ9" t="s">
        <v>27</v>
      </c>
      <c r="DR9" t="s">
        <v>60</v>
      </c>
      <c r="DS9" t="s">
        <v>61</v>
      </c>
      <c r="DT9" t="s">
        <v>62</v>
      </c>
      <c r="DU9" t="s">
        <v>63</v>
      </c>
      <c r="DV9" t="s">
        <v>64</v>
      </c>
      <c r="DW9" t="s">
        <v>3836</v>
      </c>
      <c r="DX9" t="s">
        <v>3858</v>
      </c>
      <c r="DY9" t="s">
        <v>3859</v>
      </c>
      <c r="DZ9" t="s">
        <v>3826</v>
      </c>
      <c r="EA9" t="s">
        <v>3860</v>
      </c>
      <c r="EB9" t="s">
        <v>3840</v>
      </c>
      <c r="EC9" t="s">
        <v>3861</v>
      </c>
      <c r="ED9" t="s">
        <v>3862</v>
      </c>
      <c r="EE9" t="s">
        <v>3863</v>
      </c>
      <c r="EF9" t="s">
        <v>3864</v>
      </c>
      <c r="EG9" t="s">
        <v>3865</v>
      </c>
      <c r="EH9" t="s">
        <v>3866</v>
      </c>
      <c r="EI9" t="s">
        <v>3867</v>
      </c>
      <c r="EJ9" t="s">
        <v>3868</v>
      </c>
      <c r="EK9" t="s">
        <v>3869</v>
      </c>
      <c r="EL9" t="s">
        <v>3870</v>
      </c>
      <c r="EM9" t="s">
        <v>3871</v>
      </c>
      <c r="EN9" t="s">
        <v>3872</v>
      </c>
      <c r="EO9" t="s">
        <v>3873</v>
      </c>
      <c r="EP9" t="s">
        <v>3874</v>
      </c>
      <c r="EQ9">
        <v>8</v>
      </c>
      <c r="ER9">
        <v>8</v>
      </c>
      <c r="ES9">
        <v>8</v>
      </c>
      <c r="ET9">
        <v>8</v>
      </c>
      <c r="EU9">
        <v>8</v>
      </c>
      <c r="EV9">
        <v>0.1</v>
      </c>
      <c r="EW9">
        <v>0.1</v>
      </c>
      <c r="EX9">
        <v>0.2</v>
      </c>
      <c r="EY9">
        <v>0.3</v>
      </c>
      <c r="EZ9">
        <v>0.3</v>
      </c>
      <c r="FA9">
        <f>EV9*EQ9</f>
        <v>0.8</v>
      </c>
      <c r="FB9">
        <f>EW9*ER9</f>
        <v>0.8</v>
      </c>
      <c r="FC9">
        <f>EX9*ES9</f>
        <v>1.6</v>
      </c>
      <c r="FD9">
        <f>EY9*ET9</f>
        <v>2.4</v>
      </c>
      <c r="FE9">
        <f>EZ9*EU9</f>
        <v>2.4</v>
      </c>
      <c r="FF9">
        <v>16</v>
      </c>
      <c r="FG9">
        <v>0</v>
      </c>
      <c r="FH9">
        <v>9</v>
      </c>
      <c r="FI9">
        <f>FA9+FB9+FC9+FD9+FE9</f>
        <v>8</v>
      </c>
      <c r="FJ9">
        <f>MEDIAN(EQ9:EU9)</f>
        <v>8</v>
      </c>
      <c r="FL9">
        <v>37.36</v>
      </c>
      <c r="FM9">
        <v>5.5</v>
      </c>
      <c r="FN9" t="s">
        <v>637</v>
      </c>
      <c r="FO9" t="s">
        <v>638</v>
      </c>
      <c r="FP9" t="s">
        <v>639</v>
      </c>
      <c r="FQ9" t="s">
        <v>640</v>
      </c>
      <c r="FR9" t="s">
        <v>641</v>
      </c>
      <c r="FS9">
        <v>6</v>
      </c>
      <c r="FT9">
        <v>8.5</v>
      </c>
      <c r="FU9">
        <v>4.5</v>
      </c>
      <c r="FV9">
        <v>7</v>
      </c>
      <c r="FW9">
        <v>3.5</v>
      </c>
      <c r="FX9">
        <v>0.1</v>
      </c>
      <c r="FY9">
        <v>0.1</v>
      </c>
      <c r="FZ9">
        <v>0.2</v>
      </c>
      <c r="GA9">
        <v>0.3</v>
      </c>
      <c r="GB9">
        <v>0.3</v>
      </c>
      <c r="GC9">
        <f>FS9*FX9</f>
        <v>0.60000000000000009</v>
      </c>
      <c r="GD9">
        <f>FT9*FY9</f>
        <v>0.85000000000000009</v>
      </c>
      <c r="GE9">
        <f>FU9*FZ9</f>
        <v>0.9</v>
      </c>
      <c r="GF9">
        <f>FV9*GA9</f>
        <v>2.1</v>
      </c>
      <c r="GG9">
        <f>FW9*GB9</f>
        <v>1.05</v>
      </c>
      <c r="GH9">
        <v>5.65</v>
      </c>
      <c r="GI9">
        <v>-0.15</v>
      </c>
      <c r="GJ9">
        <v>5.5</v>
      </c>
      <c r="GK9">
        <f>GC9+GD9+GE9+GF9+GG9</f>
        <v>5.5</v>
      </c>
      <c r="GL9">
        <f>MEDIAN(FS9:FW9)</f>
        <v>6</v>
      </c>
    </row>
    <row r="10" spans="1:194" hidden="1" x14ac:dyDescent="0.25">
      <c r="A10">
        <v>9</v>
      </c>
      <c r="B10" t="s">
        <v>2</v>
      </c>
      <c r="C10" s="4">
        <v>91.8</v>
      </c>
      <c r="D10">
        <v>3.6</v>
      </c>
      <c r="E10" s="1">
        <f>C10/3/D10</f>
        <v>8.5</v>
      </c>
      <c r="G10">
        <v>38.31</v>
      </c>
      <c r="H10">
        <v>8.65</v>
      </c>
      <c r="I10">
        <f>H10*D10*3</f>
        <v>93.42</v>
      </c>
      <c r="J10">
        <v>18.87</v>
      </c>
      <c r="K10">
        <v>9</v>
      </c>
      <c r="L10" s="3">
        <f>K10*3*D10</f>
        <v>97.2</v>
      </c>
      <c r="M10">
        <v>4.72</v>
      </c>
      <c r="N10">
        <v>3</v>
      </c>
      <c r="O10">
        <f>N10*D10*3</f>
        <v>32.400000000000006</v>
      </c>
      <c r="P10" s="5">
        <v>7.9</v>
      </c>
      <c r="Q10" s="5">
        <f>P10*D10*3</f>
        <v>85.320000000000007</v>
      </c>
      <c r="S10" t="s">
        <v>6147</v>
      </c>
      <c r="T10">
        <v>7</v>
      </c>
      <c r="U10" s="8">
        <f>T10*D10*3</f>
        <v>75.599999999999994</v>
      </c>
      <c r="V10">
        <v>40.29</v>
      </c>
      <c r="W10">
        <v>8</v>
      </c>
      <c r="X10" s="5">
        <f>W10*D10*3</f>
        <v>86.4</v>
      </c>
      <c r="Y10">
        <v>9.77</v>
      </c>
      <c r="Z10">
        <v>7</v>
      </c>
      <c r="AA10">
        <f>Z10*D10*3</f>
        <v>75.599999999999994</v>
      </c>
      <c r="AC10">
        <v>44.61</v>
      </c>
      <c r="AD10">
        <v>8</v>
      </c>
      <c r="AE10" s="1">
        <f>AD10*3*D10</f>
        <v>86.4</v>
      </c>
      <c r="AF10">
        <v>12.15</v>
      </c>
      <c r="AG10" s="5">
        <v>7</v>
      </c>
      <c r="AH10" s="5">
        <f>AG10*D10*3</f>
        <v>75.599999999999994</v>
      </c>
      <c r="AI10" s="13"/>
      <c r="AK10" s="8">
        <f>AJ10*D10*3</f>
        <v>0</v>
      </c>
      <c r="AL10" s="13"/>
      <c r="AM10">
        <v>31.22</v>
      </c>
      <c r="AN10">
        <v>7.2</v>
      </c>
      <c r="AO10" s="8">
        <f>AN10*D10*3</f>
        <v>77.760000000000005</v>
      </c>
      <c r="AP10">
        <v>14.72</v>
      </c>
      <c r="AQ10">
        <v>9.5</v>
      </c>
      <c r="AR10">
        <f>AQ10*D10*3</f>
        <v>102.60000000000001</v>
      </c>
      <c r="AS10">
        <v>10.8</v>
      </c>
      <c r="AT10">
        <v>9</v>
      </c>
      <c r="AU10">
        <f>AT10*D10*3</f>
        <v>97.199999999999989</v>
      </c>
      <c r="AW10">
        <v>23.46</v>
      </c>
      <c r="AX10">
        <v>8.8000000000000007</v>
      </c>
      <c r="AY10">
        <f>AX10*D10*3</f>
        <v>95.04</v>
      </c>
      <c r="AZ10">
        <v>23.46</v>
      </c>
      <c r="BA10">
        <v>8.6999999999999993</v>
      </c>
      <c r="BB10">
        <f>BA10*D10*3</f>
        <v>93.96</v>
      </c>
      <c r="BD10">
        <v>8.4</v>
      </c>
      <c r="BE10">
        <f>BD10*D10*3</f>
        <v>90.72</v>
      </c>
      <c r="BG10" s="10"/>
      <c r="BH10" s="1">
        <f>CHOOSE(MATCH(MIN(ABS(BP10-C10),ABS(BQ10-C10),ABS(BR10-C10)),CHOOSE({1;2;3},ABS(BP10-C10),ABS(BQ10-C10),ABS(BR10-C10)),0),BP10,BQ10,BR10)</f>
        <v>95.04</v>
      </c>
      <c r="BJ10" s="1" cm="1">
        <f t="array" ref="BJ10">(INDEX(_xlfn._xlws.SORT(CHOOSE({1;2;3;4;5;6},BQ10,BR10,L10,AE10,BO10,BP10)),3) + INDEX(_xlfn._xlws.SORT(CHOOSE({1;2;3;4;5;6},BQ10,BR10,L10,AE10,BO10,BP10)),4))/2</f>
        <v>86.4</v>
      </c>
      <c r="BK10">
        <v>8.4769111920793403</v>
      </c>
      <c r="BL10" t="s">
        <v>6117</v>
      </c>
      <c r="BM10" s="1">
        <f>BK10*3*D10</f>
        <v>91.550640874456874</v>
      </c>
      <c r="BN10" s="1">
        <f>BM10-C10</f>
        <v>-0.24935912554312267</v>
      </c>
      <c r="BO10" s="1">
        <f>GK10*3*D10</f>
        <v>69.12</v>
      </c>
      <c r="BP10" s="1">
        <f>DO10*3*D10</f>
        <v>95.04</v>
      </c>
      <c r="BQ10" s="1">
        <f>FJ10*3*D10</f>
        <v>86.4</v>
      </c>
      <c r="BR10" s="1">
        <f>GL10*3*D10</f>
        <v>64.8</v>
      </c>
      <c r="BT10">
        <v>38.31</v>
      </c>
      <c r="BU10">
        <v>8.65</v>
      </c>
      <c r="BV10" t="s">
        <v>5013</v>
      </c>
      <c r="BW10" t="s">
        <v>5014</v>
      </c>
      <c r="BX10" t="s">
        <v>5015</v>
      </c>
      <c r="BY10" t="s">
        <v>5016</v>
      </c>
      <c r="BZ10" t="s">
        <v>5017</v>
      </c>
      <c r="CA10" t="s">
        <v>2420</v>
      </c>
      <c r="CC10" t="s">
        <v>2525</v>
      </c>
      <c r="CD10" t="s">
        <v>2526</v>
      </c>
      <c r="CE10" t="s">
        <v>2423</v>
      </c>
      <c r="CG10" t="s">
        <v>2527</v>
      </c>
      <c r="CH10" t="s">
        <v>2528</v>
      </c>
      <c r="CI10" t="s">
        <v>2426</v>
      </c>
      <c r="CJ10" t="s">
        <v>2427</v>
      </c>
      <c r="CK10" t="s">
        <v>2529</v>
      </c>
      <c r="CL10" t="s">
        <v>2530</v>
      </c>
      <c r="CM10" t="s">
        <v>2430</v>
      </c>
      <c r="CO10" t="s">
        <v>2531</v>
      </c>
      <c r="CP10" t="s">
        <v>2531</v>
      </c>
      <c r="CQ10" t="s">
        <v>2433</v>
      </c>
      <c r="CR10" t="s">
        <v>2434</v>
      </c>
      <c r="CS10" t="s">
        <v>2532</v>
      </c>
      <c r="CT10" t="s">
        <v>2532</v>
      </c>
      <c r="CV10">
        <v>9</v>
      </c>
      <c r="CW10">
        <v>9</v>
      </c>
      <c r="CX10">
        <v>8.5</v>
      </c>
      <c r="CY10">
        <v>9.5</v>
      </c>
      <c r="CZ10">
        <v>8</v>
      </c>
      <c r="DA10">
        <v>0.1</v>
      </c>
      <c r="DB10">
        <v>0.1</v>
      </c>
      <c r="DC10">
        <v>0.2</v>
      </c>
      <c r="DD10">
        <v>0.3</v>
      </c>
      <c r="DE10">
        <v>0.3</v>
      </c>
      <c r="DF10">
        <v>0.9</v>
      </c>
      <c r="DG10">
        <v>0.9</v>
      </c>
      <c r="DH10">
        <v>1.7</v>
      </c>
      <c r="DI10">
        <v>2.85</v>
      </c>
      <c r="DJ10">
        <v>2.4</v>
      </c>
      <c r="DK10">
        <v>8.65</v>
      </c>
      <c r="DL10">
        <v>0</v>
      </c>
      <c r="DM10">
        <v>8.65</v>
      </c>
      <c r="DN10">
        <v>9</v>
      </c>
      <c r="DO10">
        <f>AVERAGE(CV10:CZ10)</f>
        <v>8.8000000000000007</v>
      </c>
      <c r="DQ10">
        <v>8</v>
      </c>
      <c r="DR10" t="s">
        <v>65</v>
      </c>
      <c r="DS10" t="s">
        <v>66</v>
      </c>
      <c r="DT10" t="s">
        <v>67</v>
      </c>
      <c r="DU10" t="s">
        <v>68</v>
      </c>
      <c r="DV10" t="s">
        <v>69</v>
      </c>
      <c r="DW10" t="s">
        <v>3836</v>
      </c>
      <c r="DX10" t="s">
        <v>3837</v>
      </c>
      <c r="DY10" t="s">
        <v>3875</v>
      </c>
      <c r="DZ10" t="s">
        <v>3827</v>
      </c>
      <c r="EA10" t="s">
        <v>3860</v>
      </c>
      <c r="EB10" t="s">
        <v>3840</v>
      </c>
      <c r="EC10" t="s">
        <v>3876</v>
      </c>
      <c r="ED10" t="s">
        <v>3827</v>
      </c>
      <c r="EE10" t="s">
        <v>3877</v>
      </c>
      <c r="EF10" t="s">
        <v>3797</v>
      </c>
      <c r="EG10" t="s">
        <v>3878</v>
      </c>
      <c r="EH10" t="s">
        <v>3827</v>
      </c>
      <c r="EI10" t="s">
        <v>3879</v>
      </c>
      <c r="EJ10" t="s">
        <v>3800</v>
      </c>
      <c r="EK10" t="s">
        <v>3880</v>
      </c>
      <c r="EL10" t="s">
        <v>3827</v>
      </c>
      <c r="EM10" t="s">
        <v>3881</v>
      </c>
      <c r="EN10" t="s">
        <v>3803</v>
      </c>
      <c r="EO10" t="s">
        <v>3882</v>
      </c>
      <c r="EP10" t="s">
        <v>3827</v>
      </c>
      <c r="EQ10">
        <v>8</v>
      </c>
      <c r="ER10">
        <v>8</v>
      </c>
      <c r="ES10">
        <v>8</v>
      </c>
      <c r="ET10">
        <v>8</v>
      </c>
      <c r="EU10">
        <v>8</v>
      </c>
      <c r="EV10">
        <v>0.1</v>
      </c>
      <c r="EW10">
        <v>0.1</v>
      </c>
      <c r="EX10">
        <v>0.2</v>
      </c>
      <c r="EY10">
        <v>0.3</v>
      </c>
      <c r="EZ10">
        <v>0.3</v>
      </c>
      <c r="FA10">
        <f>EV10*EQ10</f>
        <v>0.8</v>
      </c>
      <c r="FB10">
        <f>EW10*ER10</f>
        <v>0.8</v>
      </c>
      <c r="FC10">
        <f>EX10*ES10</f>
        <v>1.6</v>
      </c>
      <c r="FD10">
        <f>EY10*ET10</f>
        <v>2.4</v>
      </c>
      <c r="FE10">
        <f>EZ10*EU10</f>
        <v>2.4</v>
      </c>
      <c r="FF10">
        <v>16</v>
      </c>
      <c r="FG10">
        <v>0</v>
      </c>
      <c r="FH10">
        <v>8</v>
      </c>
      <c r="FI10">
        <f>FA10+FB10+FC10+FD10+FE10</f>
        <v>8</v>
      </c>
      <c r="FJ10">
        <f>MEDIAN(EQ10:EU10)</f>
        <v>8</v>
      </c>
      <c r="FL10">
        <v>41.82</v>
      </c>
      <c r="FM10">
        <v>6</v>
      </c>
      <c r="FN10" t="s">
        <v>642</v>
      </c>
      <c r="FO10" t="s">
        <v>643</v>
      </c>
      <c r="FP10" t="s">
        <v>644</v>
      </c>
      <c r="FQ10" t="s">
        <v>645</v>
      </c>
      <c r="FR10" t="s">
        <v>646</v>
      </c>
      <c r="FS10">
        <v>6</v>
      </c>
      <c r="FT10">
        <v>8</v>
      </c>
      <c r="FU10">
        <v>7</v>
      </c>
      <c r="FV10">
        <v>6</v>
      </c>
      <c r="FW10">
        <v>6</v>
      </c>
      <c r="FX10">
        <v>0.1</v>
      </c>
      <c r="FY10">
        <v>0.1</v>
      </c>
      <c r="FZ10">
        <v>0.2</v>
      </c>
      <c r="GA10">
        <v>0.3</v>
      </c>
      <c r="GB10">
        <v>0.3</v>
      </c>
      <c r="GC10">
        <f>FS10*FX10</f>
        <v>0.60000000000000009</v>
      </c>
      <c r="GD10">
        <f>FT10*FY10</f>
        <v>0.8</v>
      </c>
      <c r="GE10">
        <f>FU10*FZ10</f>
        <v>1.4000000000000001</v>
      </c>
      <c r="GF10">
        <f>FV10*GA10</f>
        <v>1.7999999999999998</v>
      </c>
      <c r="GG10">
        <f>FW10*GB10</f>
        <v>1.7999999999999998</v>
      </c>
      <c r="GH10">
        <v>6</v>
      </c>
      <c r="GI10">
        <v>0</v>
      </c>
      <c r="GJ10">
        <v>6</v>
      </c>
      <c r="GK10">
        <f>GC10+GD10+GE10+GF10+GG10</f>
        <v>6.3999999999999995</v>
      </c>
      <c r="GL10">
        <f>MEDIAN(FS10:FW10)</f>
        <v>6</v>
      </c>
    </row>
    <row r="11" spans="1:194" hidden="1" x14ac:dyDescent="0.25">
      <c r="A11">
        <v>10</v>
      </c>
      <c r="B11" t="s">
        <v>2</v>
      </c>
      <c r="C11" s="4">
        <v>97.2</v>
      </c>
      <c r="D11">
        <v>3.6</v>
      </c>
      <c r="E11" s="1">
        <f>C11/3/D11</f>
        <v>9</v>
      </c>
      <c r="G11">
        <v>36.950000000000003</v>
      </c>
      <c r="H11">
        <v>8</v>
      </c>
      <c r="I11">
        <f>H11*D11*3</f>
        <v>86.4</v>
      </c>
      <c r="J11">
        <v>18.27</v>
      </c>
      <c r="K11">
        <v>8.4</v>
      </c>
      <c r="L11" s="3">
        <f>K11*3*D11</f>
        <v>90.720000000000013</v>
      </c>
      <c r="M11">
        <v>6.24</v>
      </c>
      <c r="N11">
        <v>5</v>
      </c>
      <c r="O11">
        <f>N11*D11*3</f>
        <v>54</v>
      </c>
      <c r="P11" s="5">
        <v>8.6999999999999993</v>
      </c>
      <c r="Q11" s="5">
        <f>P11*D11*3</f>
        <v>93.96</v>
      </c>
      <c r="S11" t="s">
        <v>6148</v>
      </c>
      <c r="T11">
        <v>6.5</v>
      </c>
      <c r="U11" s="8">
        <f>T11*D11*3</f>
        <v>70.2</v>
      </c>
      <c r="V11">
        <v>37.54</v>
      </c>
      <c r="W11">
        <v>8.4</v>
      </c>
      <c r="X11" s="5">
        <f>W11*D11*3</f>
        <v>90.72</v>
      </c>
      <c r="Y11">
        <v>12.46</v>
      </c>
      <c r="Z11">
        <v>7.5</v>
      </c>
      <c r="AA11">
        <f>Z11*D11*3</f>
        <v>81</v>
      </c>
      <c r="AC11">
        <v>46.93</v>
      </c>
      <c r="AD11">
        <v>8</v>
      </c>
      <c r="AE11" s="1">
        <f>AD11*3*D11</f>
        <v>86.4</v>
      </c>
      <c r="AF11">
        <v>11.85</v>
      </c>
      <c r="AG11" s="5">
        <v>7</v>
      </c>
      <c r="AH11" s="5">
        <f>AG11*D11*3</f>
        <v>75.599999999999994</v>
      </c>
      <c r="AI11" s="13"/>
      <c r="AJ11">
        <v>2.7</v>
      </c>
      <c r="AK11" s="8">
        <f>AJ11*D11*3</f>
        <v>29.160000000000004</v>
      </c>
      <c r="AL11" s="13"/>
      <c r="AM11">
        <v>30.13</v>
      </c>
      <c r="AN11">
        <v>7.5</v>
      </c>
      <c r="AO11" s="8">
        <f>AN11*D11*3</f>
        <v>81</v>
      </c>
      <c r="AP11">
        <v>13.88</v>
      </c>
      <c r="AQ11">
        <v>10</v>
      </c>
      <c r="AR11">
        <f>AQ11*D11*3</f>
        <v>108</v>
      </c>
      <c r="AS11">
        <v>11</v>
      </c>
      <c r="AT11">
        <v>8.8000000000000007</v>
      </c>
      <c r="AU11">
        <f>AT11*D11*3</f>
        <v>95.04</v>
      </c>
      <c r="AW11">
        <v>24.62</v>
      </c>
      <c r="AX11">
        <v>9.4</v>
      </c>
      <c r="AY11">
        <f>AX11*D11*3</f>
        <v>101.52000000000001</v>
      </c>
      <c r="AZ11">
        <v>24.62</v>
      </c>
      <c r="BA11">
        <v>8.6999999999999993</v>
      </c>
      <c r="BB11">
        <f>BA11*D11*3</f>
        <v>93.96</v>
      </c>
      <c r="BD11">
        <v>9</v>
      </c>
      <c r="BE11">
        <f>BD11*D11*3</f>
        <v>97.199999999999989</v>
      </c>
      <c r="BG11" s="10"/>
      <c r="BH11" s="1">
        <f>CHOOSE(MATCH(MIN(ABS(BP11-C11),ABS(BQ11-C11),ABS(BR11-C11)),CHOOSE({1;2;3},ABS(BP11-C11),ABS(BQ11-C11),ABS(BR11-C11)),0),BP11,BQ11,BR11)</f>
        <v>97.2</v>
      </c>
      <c r="BJ11" s="1" cm="1">
        <f t="array" ref="BJ11">(INDEX(_xlfn._xlws.SORT(CHOOSE({1;2;3;4;5;6},BQ11,BR11,L11,AE11,BO11,BP11)),3) + INDEX(_xlfn._xlws.SORT(CHOOSE({1;2;3;4;5;6},BQ11,BR11,L11,AE11,BO11,BP11)),4))/2</f>
        <v>86.4</v>
      </c>
      <c r="BK11">
        <v>8.9649949655465502</v>
      </c>
      <c r="BL11" t="s">
        <v>6117</v>
      </c>
      <c r="BM11" s="1">
        <f>BK11*3*D11</f>
        <v>96.821945627902736</v>
      </c>
      <c r="BN11" s="1">
        <f>BM11-C11</f>
        <v>-0.37805437209726733</v>
      </c>
      <c r="BO11" s="1">
        <f>GK11*3*D11</f>
        <v>61.560000000000009</v>
      </c>
      <c r="BP11" s="1">
        <f>DO11*3*D11</f>
        <v>97.2</v>
      </c>
      <c r="BQ11" s="1">
        <f>FJ11*3*D11</f>
        <v>86.4</v>
      </c>
      <c r="BR11" s="1">
        <f>GL11*3*D11</f>
        <v>64.8</v>
      </c>
      <c r="BT11">
        <v>36.950000000000003</v>
      </c>
      <c r="BU11">
        <v>8</v>
      </c>
      <c r="BV11" t="s">
        <v>5018</v>
      </c>
      <c r="BW11" t="s">
        <v>5019</v>
      </c>
      <c r="BX11" t="s">
        <v>5020</v>
      </c>
      <c r="BY11" t="s">
        <v>5021</v>
      </c>
      <c r="BZ11" t="s">
        <v>5022</v>
      </c>
      <c r="CA11" t="s">
        <v>2437</v>
      </c>
      <c r="CC11" t="s">
        <v>2438</v>
      </c>
      <c r="CD11" t="s">
        <v>2533</v>
      </c>
      <c r="CE11" t="s">
        <v>2440</v>
      </c>
      <c r="CG11" t="s">
        <v>2441</v>
      </c>
      <c r="CH11" t="s">
        <v>2534</v>
      </c>
      <c r="CI11" t="s">
        <v>2535</v>
      </c>
      <c r="CK11" t="s">
        <v>2444</v>
      </c>
      <c r="CL11" t="s">
        <v>2536</v>
      </c>
      <c r="CM11" t="s">
        <v>2446</v>
      </c>
      <c r="CO11" t="s">
        <v>2447</v>
      </c>
      <c r="CP11" t="s">
        <v>2537</v>
      </c>
      <c r="CQ11" t="s">
        <v>2538</v>
      </c>
      <c r="CS11" t="s">
        <v>2450</v>
      </c>
      <c r="CT11" t="s">
        <v>2539</v>
      </c>
      <c r="CV11">
        <v>9</v>
      </c>
      <c r="CW11">
        <v>9</v>
      </c>
      <c r="CX11">
        <v>9</v>
      </c>
      <c r="CY11">
        <v>9</v>
      </c>
      <c r="CZ11">
        <v>9</v>
      </c>
      <c r="DA11">
        <v>0.1</v>
      </c>
      <c r="DB11">
        <v>0.1</v>
      </c>
      <c r="DC11">
        <v>0.2</v>
      </c>
      <c r="DD11">
        <v>0.3</v>
      </c>
      <c r="DE11">
        <v>0.3</v>
      </c>
      <c r="DF11">
        <v>0.9</v>
      </c>
      <c r="DG11">
        <v>0.9</v>
      </c>
      <c r="DH11">
        <v>1.8</v>
      </c>
      <c r="DI11">
        <v>2.7</v>
      </c>
      <c r="DJ11">
        <v>2.7</v>
      </c>
      <c r="DK11">
        <v>8</v>
      </c>
      <c r="DL11">
        <v>0</v>
      </c>
      <c r="DM11">
        <v>8</v>
      </c>
      <c r="DN11">
        <v>8.4</v>
      </c>
      <c r="DO11">
        <f>AVERAGE(CV11:CZ11)</f>
        <v>9</v>
      </c>
      <c r="DQ11" t="s">
        <v>27</v>
      </c>
      <c r="DR11" t="s">
        <v>52</v>
      </c>
      <c r="DS11" t="s">
        <v>61</v>
      </c>
      <c r="DT11" t="s">
        <v>70</v>
      </c>
      <c r="DU11" t="s">
        <v>71</v>
      </c>
      <c r="DV11" t="s">
        <v>72</v>
      </c>
      <c r="DW11" t="s">
        <v>3836</v>
      </c>
      <c r="DX11" t="s">
        <v>3858</v>
      </c>
      <c r="DY11" t="s">
        <v>3883</v>
      </c>
      <c r="DZ11" t="s">
        <v>3884</v>
      </c>
      <c r="EA11" t="s">
        <v>3860</v>
      </c>
      <c r="EB11" t="s">
        <v>3840</v>
      </c>
      <c r="EC11" t="s">
        <v>3885</v>
      </c>
      <c r="ED11" t="s">
        <v>3861</v>
      </c>
      <c r="EE11" t="s">
        <v>3886</v>
      </c>
      <c r="EF11" t="s">
        <v>3887</v>
      </c>
      <c r="EG11" t="s">
        <v>3888</v>
      </c>
      <c r="EH11" t="s">
        <v>3889</v>
      </c>
      <c r="EI11" t="s">
        <v>3879</v>
      </c>
      <c r="EJ11" t="s">
        <v>3890</v>
      </c>
      <c r="EK11" t="s">
        <v>3891</v>
      </c>
      <c r="EL11" t="s">
        <v>3892</v>
      </c>
      <c r="EM11" t="s">
        <v>3851</v>
      </c>
      <c r="EN11" t="s">
        <v>3893</v>
      </c>
      <c r="EO11" t="s">
        <v>3894</v>
      </c>
      <c r="EP11" t="s">
        <v>3895</v>
      </c>
      <c r="EQ11">
        <v>8</v>
      </c>
      <c r="ER11">
        <v>8</v>
      </c>
      <c r="ES11">
        <v>8</v>
      </c>
      <c r="ET11">
        <v>8</v>
      </c>
      <c r="EU11">
        <v>8</v>
      </c>
      <c r="EV11">
        <v>0.1</v>
      </c>
      <c r="EW11">
        <v>0.1</v>
      </c>
      <c r="EX11">
        <v>0.2</v>
      </c>
      <c r="EY11">
        <v>0.3</v>
      </c>
      <c r="EZ11">
        <v>0.3</v>
      </c>
      <c r="FA11">
        <f>EV11*EQ11</f>
        <v>0.8</v>
      </c>
      <c r="FB11">
        <f>EW11*ER11</f>
        <v>0.8</v>
      </c>
      <c r="FC11">
        <f>EX11*ES11</f>
        <v>1.6</v>
      </c>
      <c r="FD11">
        <f>EY11*ET11</f>
        <v>2.4</v>
      </c>
      <c r="FE11">
        <f>EZ11*EU11</f>
        <v>2.4</v>
      </c>
      <c r="FF11">
        <v>17</v>
      </c>
      <c r="FG11">
        <v>0</v>
      </c>
      <c r="FH11">
        <v>8</v>
      </c>
      <c r="FI11">
        <f>FA11+FB11+FC11+FD11+FE11</f>
        <v>8</v>
      </c>
      <c r="FJ11">
        <f>MEDIAN(EQ11:EU11)</f>
        <v>8</v>
      </c>
      <c r="FL11">
        <v>40.33</v>
      </c>
      <c r="FM11">
        <v>5.7</v>
      </c>
      <c r="FN11" t="s">
        <v>647</v>
      </c>
      <c r="FO11" t="s">
        <v>648</v>
      </c>
      <c r="FP11" t="s">
        <v>649</v>
      </c>
      <c r="FQ11" t="s">
        <v>650</v>
      </c>
      <c r="FR11" t="s">
        <v>651</v>
      </c>
      <c r="FS11">
        <v>6</v>
      </c>
      <c r="FT11">
        <v>8</v>
      </c>
      <c r="FU11">
        <v>5</v>
      </c>
      <c r="FV11">
        <v>7</v>
      </c>
      <c r="FW11">
        <v>4</v>
      </c>
      <c r="FX11">
        <v>0.1</v>
      </c>
      <c r="FY11">
        <v>0.1</v>
      </c>
      <c r="FZ11">
        <v>0.2</v>
      </c>
      <c r="GA11">
        <v>0.3</v>
      </c>
      <c r="GB11">
        <v>0.3</v>
      </c>
      <c r="GC11">
        <f>FS11*FX11</f>
        <v>0.60000000000000009</v>
      </c>
      <c r="GD11">
        <f>FT11*FY11</f>
        <v>0.8</v>
      </c>
      <c r="GE11">
        <f>FU11*FZ11</f>
        <v>1</v>
      </c>
      <c r="GF11">
        <f>FV11*GA11</f>
        <v>2.1</v>
      </c>
      <c r="GG11">
        <f>FW11*GB11</f>
        <v>1.2</v>
      </c>
      <c r="GH11">
        <v>5.7</v>
      </c>
      <c r="GJ11">
        <v>5.7</v>
      </c>
      <c r="GK11">
        <f>GC11+GD11+GE11+GF11+GG11</f>
        <v>5.7</v>
      </c>
      <c r="GL11">
        <f>MEDIAN(FS11:FW11)</f>
        <v>6</v>
      </c>
    </row>
    <row r="12" spans="1:194" hidden="1" x14ac:dyDescent="0.25">
      <c r="A12">
        <v>11</v>
      </c>
      <c r="B12" t="s">
        <v>2</v>
      </c>
      <c r="C12" s="4">
        <v>91.2</v>
      </c>
      <c r="D12">
        <v>3.2</v>
      </c>
      <c r="E12" s="1">
        <f>C12/3/D12</f>
        <v>9.5</v>
      </c>
      <c r="G12">
        <v>38.61</v>
      </c>
      <c r="H12">
        <v>8.1999999999999993</v>
      </c>
      <c r="I12">
        <f>H12*D12*3</f>
        <v>78.72</v>
      </c>
      <c r="J12">
        <v>18.670000000000002</v>
      </c>
      <c r="K12">
        <v>9</v>
      </c>
      <c r="L12" s="3">
        <f>K12*3*D12</f>
        <v>86.4</v>
      </c>
      <c r="M12">
        <v>4.93</v>
      </c>
      <c r="N12">
        <v>4</v>
      </c>
      <c r="O12">
        <f>N12*D12*3</f>
        <v>38.400000000000006</v>
      </c>
      <c r="P12" s="5">
        <v>7.5</v>
      </c>
      <c r="Q12" s="5">
        <f>P12*D12*3</f>
        <v>72</v>
      </c>
      <c r="S12" t="s">
        <v>6149</v>
      </c>
      <c r="T12">
        <v>7</v>
      </c>
      <c r="U12" s="8">
        <f>T12*D12*3</f>
        <v>67.2</v>
      </c>
      <c r="V12">
        <v>32.78</v>
      </c>
      <c r="W12">
        <v>8</v>
      </c>
      <c r="X12" s="5">
        <f>W12*D12*3</f>
        <v>76.800000000000011</v>
      </c>
      <c r="Y12">
        <v>9.65</v>
      </c>
      <c r="Z12">
        <v>6</v>
      </c>
      <c r="AA12">
        <f>Z12*D12*3</f>
        <v>57.600000000000009</v>
      </c>
      <c r="AC12">
        <v>45.8</v>
      </c>
      <c r="AD12">
        <v>8</v>
      </c>
      <c r="AE12" s="1">
        <f>AD12*3*D12</f>
        <v>76.800000000000011</v>
      </c>
      <c r="AF12">
        <v>11.94</v>
      </c>
      <c r="AG12" s="5">
        <v>7</v>
      </c>
      <c r="AH12" s="5">
        <f>AG12*D12*3</f>
        <v>67.2</v>
      </c>
      <c r="AI12" s="13"/>
      <c r="AJ12">
        <v>8.1</v>
      </c>
      <c r="AK12" s="8">
        <f>AJ12*D12*3</f>
        <v>77.760000000000005</v>
      </c>
      <c r="AL12" s="13"/>
      <c r="AM12">
        <v>31.19</v>
      </c>
      <c r="AN12">
        <v>7.3</v>
      </c>
      <c r="AO12" s="8">
        <f>AN12*D12*3</f>
        <v>70.08</v>
      </c>
      <c r="AP12">
        <v>12.04</v>
      </c>
      <c r="AQ12">
        <v>9.1</v>
      </c>
      <c r="AR12">
        <f>AQ12*D12*3</f>
        <v>87.36</v>
      </c>
      <c r="AS12">
        <v>10.94</v>
      </c>
      <c r="AT12">
        <v>8.8000000000000007</v>
      </c>
      <c r="AU12">
        <f>AT12*D12*3</f>
        <v>84.480000000000018</v>
      </c>
      <c r="AW12">
        <v>24.42</v>
      </c>
      <c r="AX12">
        <v>9.1</v>
      </c>
      <c r="AY12">
        <f>AX12*D12*3</f>
        <v>87.36</v>
      </c>
      <c r="AZ12">
        <v>24.42</v>
      </c>
      <c r="BA12">
        <v>8.6999999999999993</v>
      </c>
      <c r="BB12">
        <f>BA12*D12*3</f>
        <v>83.52</v>
      </c>
      <c r="BD12">
        <v>8</v>
      </c>
      <c r="BE12">
        <f>BD12*D12*3</f>
        <v>76.800000000000011</v>
      </c>
      <c r="BG12" s="10"/>
      <c r="BH12" s="1">
        <f>CHOOSE(MATCH(MIN(ABS(BP12-C12),ABS(BQ12-C12),ABS(BR12-C12)),CHOOSE({1;2;3},ABS(BP12-C12),ABS(BQ12-C12),ABS(BR12-C12)),0),BP12,BQ12,BR12)</f>
        <v>86.4</v>
      </c>
      <c r="BJ12" s="1" cm="1">
        <f t="array" ref="BJ12">(INDEX(_xlfn._xlws.SORT(CHOOSE({1;2;3;4;5;6},BQ12,BR12,L12,AE12,BO12,BP12)),3) + INDEX(_xlfn._xlws.SORT(CHOOSE({1;2;3;4;5;6},BQ12,BR12,L12,AE12,BO12,BP12)),4))/2</f>
        <v>76.800000000000011</v>
      </c>
      <c r="BK12">
        <v>9.4455360722074602</v>
      </c>
      <c r="BL12" t="s">
        <v>6117</v>
      </c>
      <c r="BM12" s="1">
        <f>BK12*3*D12</f>
        <v>90.677146293191626</v>
      </c>
      <c r="BN12" s="1">
        <f>BM12-C12</f>
        <v>-0.52285370680837673</v>
      </c>
      <c r="BO12" s="1">
        <f>GK12*3*D12</f>
        <v>48</v>
      </c>
      <c r="BP12" s="1">
        <f>DO12*3*D12</f>
        <v>86.4</v>
      </c>
      <c r="BQ12" s="1">
        <f>FJ12*3*D12</f>
        <v>76.800000000000011</v>
      </c>
      <c r="BR12" s="1">
        <f>GL12*3*D12</f>
        <v>38.400000000000006</v>
      </c>
      <c r="BT12">
        <v>38.61</v>
      </c>
      <c r="BU12">
        <v>8.1999999999999993</v>
      </c>
      <c r="BV12" t="s">
        <v>5023</v>
      </c>
      <c r="BW12" t="s">
        <v>5024</v>
      </c>
      <c r="BX12" t="s">
        <v>5025</v>
      </c>
      <c r="BY12" t="s">
        <v>5026</v>
      </c>
      <c r="BZ12" t="s">
        <v>5027</v>
      </c>
      <c r="CA12" t="s">
        <v>2540</v>
      </c>
      <c r="CC12" t="s">
        <v>2481</v>
      </c>
      <c r="CD12" t="s">
        <v>2481</v>
      </c>
      <c r="CE12" t="s">
        <v>2541</v>
      </c>
      <c r="CG12" t="s">
        <v>2483</v>
      </c>
      <c r="CH12" t="s">
        <v>2483</v>
      </c>
      <c r="CI12" t="s">
        <v>2542</v>
      </c>
      <c r="CK12" t="s">
        <v>2543</v>
      </c>
      <c r="CL12" t="s">
        <v>2543</v>
      </c>
      <c r="CM12" t="s">
        <v>2544</v>
      </c>
      <c r="CO12" t="s">
        <v>2545</v>
      </c>
      <c r="CP12" t="s">
        <v>2545</v>
      </c>
      <c r="CQ12" t="s">
        <v>2546</v>
      </c>
      <c r="CS12" t="s">
        <v>2547</v>
      </c>
      <c r="CT12" t="s">
        <v>2547</v>
      </c>
      <c r="CV12">
        <v>9</v>
      </c>
      <c r="CW12">
        <v>9</v>
      </c>
      <c r="CX12">
        <v>9</v>
      </c>
      <c r="CY12">
        <v>9</v>
      </c>
      <c r="CZ12">
        <v>9</v>
      </c>
      <c r="DA12">
        <v>0.1</v>
      </c>
      <c r="DB12">
        <v>0.1</v>
      </c>
      <c r="DC12">
        <v>0.2</v>
      </c>
      <c r="DD12">
        <v>0.3</v>
      </c>
      <c r="DE12">
        <v>0.3</v>
      </c>
      <c r="DF12">
        <v>0.9</v>
      </c>
      <c r="DG12">
        <v>0.9</v>
      </c>
      <c r="DH12">
        <v>1.8</v>
      </c>
      <c r="DI12">
        <v>2.7</v>
      </c>
      <c r="DJ12">
        <v>2.7</v>
      </c>
      <c r="DK12">
        <v>8.1999999999999993</v>
      </c>
      <c r="DL12">
        <v>0</v>
      </c>
      <c r="DM12">
        <v>8.1999999999999993</v>
      </c>
      <c r="DN12">
        <v>9</v>
      </c>
      <c r="DO12">
        <f>AVERAGE(CV12:CZ12)</f>
        <v>9</v>
      </c>
      <c r="DQ12">
        <v>8</v>
      </c>
      <c r="DR12" t="s">
        <v>73</v>
      </c>
      <c r="DS12" t="s">
        <v>48</v>
      </c>
      <c r="DT12" t="s">
        <v>49</v>
      </c>
      <c r="DU12" t="s">
        <v>50</v>
      </c>
      <c r="DV12" t="s">
        <v>51</v>
      </c>
      <c r="DW12" t="s">
        <v>3769</v>
      </c>
      <c r="DX12" t="s">
        <v>3789</v>
      </c>
      <c r="DY12" t="s">
        <v>3826</v>
      </c>
      <c r="DZ12" t="s">
        <v>3827</v>
      </c>
      <c r="EA12" t="s">
        <v>3828</v>
      </c>
      <c r="EB12" t="s">
        <v>3793</v>
      </c>
      <c r="EC12" t="s">
        <v>3829</v>
      </c>
      <c r="ED12" t="s">
        <v>3827</v>
      </c>
      <c r="EE12" t="s">
        <v>3830</v>
      </c>
      <c r="EF12" t="s">
        <v>3797</v>
      </c>
      <c r="EG12" t="s">
        <v>3831</v>
      </c>
      <c r="EH12" t="s">
        <v>3827</v>
      </c>
      <c r="EI12" t="s">
        <v>3832</v>
      </c>
      <c r="EJ12" t="s">
        <v>3800</v>
      </c>
      <c r="EK12" t="s">
        <v>3833</v>
      </c>
      <c r="EL12" t="s">
        <v>3827</v>
      </c>
      <c r="EM12" t="s">
        <v>3834</v>
      </c>
      <c r="EN12" t="s">
        <v>3803</v>
      </c>
      <c r="EO12" t="s">
        <v>3835</v>
      </c>
      <c r="EP12" t="s">
        <v>3827</v>
      </c>
      <c r="EQ12">
        <v>8</v>
      </c>
      <c r="ER12">
        <v>8</v>
      </c>
      <c r="ES12">
        <v>8</v>
      </c>
      <c r="ET12">
        <v>8</v>
      </c>
      <c r="EU12">
        <v>8</v>
      </c>
      <c r="EV12">
        <v>0.1</v>
      </c>
      <c r="EW12">
        <v>0.1</v>
      </c>
      <c r="EX12">
        <v>0.2</v>
      </c>
      <c r="EY12">
        <v>0.3</v>
      </c>
      <c r="EZ12">
        <v>0.3</v>
      </c>
      <c r="FA12">
        <f>EV12*EQ12</f>
        <v>0.8</v>
      </c>
      <c r="FB12">
        <f>EW12*ER12</f>
        <v>0.8</v>
      </c>
      <c r="FC12">
        <f>EX12*ES12</f>
        <v>1.6</v>
      </c>
      <c r="FD12">
        <f>EY12*ET12</f>
        <v>2.4</v>
      </c>
      <c r="FE12">
        <f>EZ12*EU12</f>
        <v>2.4</v>
      </c>
      <c r="FF12">
        <v>16</v>
      </c>
      <c r="FG12">
        <v>0</v>
      </c>
      <c r="FH12">
        <v>8</v>
      </c>
      <c r="FI12">
        <f>FA12+FB12+FC12+FD12+FE12</f>
        <v>8</v>
      </c>
      <c r="FJ12">
        <f>MEDIAN(EQ12:EU12)</f>
        <v>8</v>
      </c>
      <c r="FL12">
        <v>39.130000000000003</v>
      </c>
      <c r="FM12">
        <v>9</v>
      </c>
      <c r="FN12" t="s">
        <v>652</v>
      </c>
      <c r="FO12" t="s">
        <v>653</v>
      </c>
      <c r="FP12" t="s">
        <v>654</v>
      </c>
      <c r="FQ12" t="s">
        <v>655</v>
      </c>
      <c r="FR12" t="s">
        <v>656</v>
      </c>
      <c r="FS12">
        <v>4</v>
      </c>
      <c r="FT12">
        <v>3</v>
      </c>
      <c r="FU12">
        <v>2</v>
      </c>
      <c r="FV12">
        <v>6</v>
      </c>
      <c r="FW12">
        <v>7</v>
      </c>
      <c r="FX12">
        <v>0.1</v>
      </c>
      <c r="FY12">
        <v>0.1</v>
      </c>
      <c r="FZ12">
        <v>0.2</v>
      </c>
      <c r="GA12">
        <v>0.3</v>
      </c>
      <c r="GB12">
        <v>0.3</v>
      </c>
      <c r="GC12">
        <f>FS12*FX12</f>
        <v>0.4</v>
      </c>
      <c r="GD12">
        <f>FT12*FY12</f>
        <v>0.30000000000000004</v>
      </c>
      <c r="GE12">
        <f>FU12*FZ12</f>
        <v>0.4</v>
      </c>
      <c r="GF12">
        <f>FV12*GA12</f>
        <v>1.7999999999999998</v>
      </c>
      <c r="GG12">
        <f>FW12*GB12</f>
        <v>2.1</v>
      </c>
      <c r="GH12">
        <v>9</v>
      </c>
      <c r="GI12">
        <v>0</v>
      </c>
      <c r="GJ12">
        <v>9</v>
      </c>
      <c r="GK12">
        <f>GC12+GD12+GE12+GF12+GG12</f>
        <v>5</v>
      </c>
      <c r="GL12">
        <f>MEDIAN(FS12:FW12)</f>
        <v>4</v>
      </c>
    </row>
    <row r="13" spans="1:194" hidden="1" x14ac:dyDescent="0.25">
      <c r="A13">
        <v>12</v>
      </c>
      <c r="B13" t="s">
        <v>2</v>
      </c>
      <c r="C13" s="4">
        <v>91.2</v>
      </c>
      <c r="D13">
        <v>3.2</v>
      </c>
      <c r="E13" s="1">
        <f>C13/3/D13</f>
        <v>9.5</v>
      </c>
      <c r="G13">
        <v>35.869999999999997</v>
      </c>
      <c r="H13">
        <v>8.1999999999999993</v>
      </c>
      <c r="I13">
        <f>H13*D13*3</f>
        <v>78.72</v>
      </c>
      <c r="J13">
        <v>17.399999999999999</v>
      </c>
      <c r="K13">
        <v>8.4</v>
      </c>
      <c r="L13" s="3">
        <f>K13*3*D13</f>
        <v>80.640000000000015</v>
      </c>
      <c r="M13">
        <v>5.1100000000000003</v>
      </c>
      <c r="N13">
        <v>5</v>
      </c>
      <c r="O13">
        <f>N13*D13*3</f>
        <v>48</v>
      </c>
      <c r="P13" s="5">
        <v>7.5</v>
      </c>
      <c r="Q13" s="5">
        <f>P13*D13*3</f>
        <v>72</v>
      </c>
      <c r="S13" t="s">
        <v>6150</v>
      </c>
      <c r="T13">
        <v>5.6</v>
      </c>
      <c r="U13" s="8">
        <f>T13*D13*3</f>
        <v>53.759999999999991</v>
      </c>
      <c r="V13">
        <v>34.76</v>
      </c>
      <c r="W13">
        <v>8.4</v>
      </c>
      <c r="X13" s="5">
        <f>W13*D13*3</f>
        <v>80.640000000000015</v>
      </c>
      <c r="Y13">
        <v>10.11</v>
      </c>
      <c r="Z13">
        <v>7.8</v>
      </c>
      <c r="AA13">
        <f>Z13*D13*3</f>
        <v>74.88</v>
      </c>
      <c r="AC13">
        <v>44.1</v>
      </c>
      <c r="AD13">
        <v>8</v>
      </c>
      <c r="AE13" s="1">
        <f>AD13*3*D13</f>
        <v>76.800000000000011</v>
      </c>
      <c r="AF13">
        <v>12</v>
      </c>
      <c r="AG13" s="5">
        <v>7</v>
      </c>
      <c r="AH13" s="5">
        <f>AG13*D13*3</f>
        <v>67.2</v>
      </c>
      <c r="AI13" s="13"/>
      <c r="AJ13">
        <v>2.7</v>
      </c>
      <c r="AK13" s="8">
        <f>AJ13*D13*3</f>
        <v>25.92</v>
      </c>
      <c r="AL13" s="13"/>
      <c r="AM13">
        <v>30.6</v>
      </c>
      <c r="AN13">
        <v>7</v>
      </c>
      <c r="AO13" s="8">
        <f>AN13*D13*3</f>
        <v>67.2</v>
      </c>
      <c r="AP13">
        <v>14.49</v>
      </c>
      <c r="AQ13">
        <v>9.1999999999999993</v>
      </c>
      <c r="AR13">
        <f>AQ13*D13*3</f>
        <v>88.32</v>
      </c>
      <c r="AS13">
        <v>10.87</v>
      </c>
      <c r="AT13">
        <v>8.8000000000000007</v>
      </c>
      <c r="AU13">
        <f>AT13*D13*3</f>
        <v>84.480000000000018</v>
      </c>
      <c r="AW13">
        <v>23.68</v>
      </c>
      <c r="AX13">
        <v>9.3000000000000007</v>
      </c>
      <c r="AY13">
        <f>AX13*D13*3</f>
        <v>89.280000000000015</v>
      </c>
      <c r="AZ13">
        <v>23.68</v>
      </c>
      <c r="BA13">
        <v>8.4</v>
      </c>
      <c r="BB13">
        <f>BA13*D13*3</f>
        <v>80.640000000000015</v>
      </c>
      <c r="BD13">
        <v>9</v>
      </c>
      <c r="BE13">
        <f>BD13*D13*3</f>
        <v>86.4</v>
      </c>
      <c r="BG13" s="10"/>
      <c r="BH13" s="1">
        <f>CHOOSE(MATCH(MIN(ABS(BP13-C13),ABS(BQ13-C13),ABS(BR13-C13)),CHOOSE({1;2;3},ABS(BP13-C13),ABS(BQ13-C13),ABS(BR13-C13)),0),BP13,BQ13,BR13)</f>
        <v>86.4</v>
      </c>
      <c r="BJ13" s="1" cm="1">
        <f t="array" ref="BJ13">(INDEX(_xlfn._xlws.SORT(CHOOSE({1;2;3;4;5;6},BQ13,BR13,L13,AE13,BO13,BP13)),3) + INDEX(_xlfn._xlws.SORT(CHOOSE({1;2;3;4;5;6},BQ13,BR13,L13,AE13,BO13,BP13)),4))/2</f>
        <v>76.800000000000011</v>
      </c>
      <c r="BK13">
        <v>9.37507364891386</v>
      </c>
      <c r="BL13" t="s">
        <v>6117</v>
      </c>
      <c r="BM13" s="1">
        <f>BK13*3*D13</f>
        <v>90.00070702957305</v>
      </c>
      <c r="BN13" s="1">
        <f>BM13-C13</f>
        <v>-1.1992929704269528</v>
      </c>
      <c r="BO13" s="1">
        <f>GK13*3*D13</f>
        <v>55.68</v>
      </c>
      <c r="BP13" s="1">
        <f>DO13*3*D13</f>
        <v>86.4</v>
      </c>
      <c r="BQ13" s="1">
        <f>FJ13*3*D13</f>
        <v>76.800000000000011</v>
      </c>
      <c r="BR13" s="1">
        <f>GL13*3*D13</f>
        <v>57.6</v>
      </c>
      <c r="BT13">
        <v>35.869999999999997</v>
      </c>
      <c r="BU13">
        <v>8.1999999999999993</v>
      </c>
      <c r="BV13" t="s">
        <v>5028</v>
      </c>
      <c r="BW13" t="s">
        <v>5004</v>
      </c>
      <c r="BX13" t="s">
        <v>5029</v>
      </c>
      <c r="BY13" t="s">
        <v>5030</v>
      </c>
      <c r="BZ13" t="s">
        <v>5031</v>
      </c>
      <c r="CA13" t="s">
        <v>2437</v>
      </c>
      <c r="CC13" t="s">
        <v>2548</v>
      </c>
      <c r="CD13" t="s">
        <v>2508</v>
      </c>
      <c r="CE13" t="s">
        <v>2440</v>
      </c>
      <c r="CG13" t="s">
        <v>2509</v>
      </c>
      <c r="CH13" t="s">
        <v>2510</v>
      </c>
      <c r="CI13" t="s">
        <v>2443</v>
      </c>
      <c r="CK13" t="s">
        <v>2511</v>
      </c>
      <c r="CL13" t="s">
        <v>2512</v>
      </c>
      <c r="CM13" t="s">
        <v>2446</v>
      </c>
      <c r="CO13" t="s">
        <v>2549</v>
      </c>
      <c r="CP13" t="s">
        <v>2514</v>
      </c>
      <c r="CQ13" t="s">
        <v>2449</v>
      </c>
      <c r="CS13" t="s">
        <v>2523</v>
      </c>
      <c r="CT13" t="s">
        <v>2524</v>
      </c>
      <c r="CV13">
        <v>9</v>
      </c>
      <c r="CW13">
        <v>9</v>
      </c>
      <c r="CX13">
        <v>9</v>
      </c>
      <c r="CY13">
        <v>9</v>
      </c>
      <c r="CZ13">
        <v>9</v>
      </c>
      <c r="DA13">
        <v>0.1</v>
      </c>
      <c r="DB13">
        <v>0.1</v>
      </c>
      <c r="DC13">
        <v>0.2</v>
      </c>
      <c r="DD13">
        <v>0.3</v>
      </c>
      <c r="DE13">
        <v>0.3</v>
      </c>
      <c r="DF13">
        <v>0.9</v>
      </c>
      <c r="DG13">
        <v>0.9</v>
      </c>
      <c r="DH13">
        <v>1.8</v>
      </c>
      <c r="DI13">
        <v>2.7</v>
      </c>
      <c r="DJ13">
        <v>2.7</v>
      </c>
      <c r="DK13">
        <v>8.1999999999999993</v>
      </c>
      <c r="DL13">
        <v>0</v>
      </c>
      <c r="DM13">
        <v>8.1999999999999993</v>
      </c>
      <c r="DN13">
        <v>8.4</v>
      </c>
      <c r="DO13">
        <f>AVERAGE(CV13:CZ13)</f>
        <v>9</v>
      </c>
      <c r="DQ13" t="s">
        <v>27</v>
      </c>
      <c r="DR13" t="s">
        <v>65</v>
      </c>
      <c r="DS13" t="s">
        <v>66</v>
      </c>
      <c r="DT13" t="s">
        <v>67</v>
      </c>
      <c r="DU13" t="s">
        <v>68</v>
      </c>
      <c r="DV13" t="s">
        <v>74</v>
      </c>
      <c r="DW13" t="s">
        <v>3836</v>
      </c>
      <c r="DX13" t="s">
        <v>3837</v>
      </c>
      <c r="DY13" t="s">
        <v>3896</v>
      </c>
      <c r="DZ13" t="s">
        <v>3897</v>
      </c>
      <c r="EA13" t="s">
        <v>3860</v>
      </c>
      <c r="EB13" t="s">
        <v>3840</v>
      </c>
      <c r="EC13" t="s">
        <v>3898</v>
      </c>
      <c r="ED13" t="s">
        <v>3899</v>
      </c>
      <c r="EE13" t="s">
        <v>3886</v>
      </c>
      <c r="EF13" t="s">
        <v>3900</v>
      </c>
      <c r="EG13" t="s">
        <v>3901</v>
      </c>
      <c r="EH13" t="s">
        <v>3902</v>
      </c>
      <c r="EI13" t="s">
        <v>3903</v>
      </c>
      <c r="EJ13" t="s">
        <v>3904</v>
      </c>
      <c r="EK13" t="s">
        <v>3905</v>
      </c>
      <c r="EL13" t="s">
        <v>3906</v>
      </c>
      <c r="EM13" t="s">
        <v>3907</v>
      </c>
      <c r="EN13" t="s">
        <v>3908</v>
      </c>
      <c r="EO13" t="s">
        <v>3909</v>
      </c>
      <c r="EP13" t="s">
        <v>3910</v>
      </c>
      <c r="EQ13">
        <v>8</v>
      </c>
      <c r="ER13">
        <v>8</v>
      </c>
      <c r="ES13">
        <v>8</v>
      </c>
      <c r="ET13">
        <v>8</v>
      </c>
      <c r="EU13">
        <v>8</v>
      </c>
      <c r="EV13">
        <v>0.1</v>
      </c>
      <c r="EW13">
        <v>0.1</v>
      </c>
      <c r="EX13">
        <v>0.2</v>
      </c>
      <c r="EY13">
        <v>0.3</v>
      </c>
      <c r="EZ13">
        <v>0.3</v>
      </c>
      <c r="FA13">
        <f>EV13*EQ13</f>
        <v>0.8</v>
      </c>
      <c r="FB13">
        <f>EW13*ER13</f>
        <v>0.8</v>
      </c>
      <c r="FC13">
        <f>EX13*ES13</f>
        <v>1.6</v>
      </c>
      <c r="FD13">
        <f>EY13*ET13</f>
        <v>2.4</v>
      </c>
      <c r="FE13">
        <f>EZ13*EU13</f>
        <v>2.4</v>
      </c>
      <c r="FF13">
        <v>16</v>
      </c>
      <c r="FG13">
        <v>0</v>
      </c>
      <c r="FH13">
        <v>8</v>
      </c>
      <c r="FI13">
        <f>FA13+FB13+FC13+FD13+FE13</f>
        <v>8</v>
      </c>
      <c r="FJ13">
        <f>MEDIAN(EQ13:EU13)</f>
        <v>8</v>
      </c>
      <c r="FL13">
        <v>36.229999999999997</v>
      </c>
      <c r="FM13">
        <v>7</v>
      </c>
      <c r="FN13" t="s">
        <v>657</v>
      </c>
      <c r="FO13" t="s">
        <v>658</v>
      </c>
      <c r="FP13" t="s">
        <v>659</v>
      </c>
      <c r="FQ13" t="s">
        <v>660</v>
      </c>
      <c r="FR13" t="s">
        <v>661</v>
      </c>
      <c r="FS13">
        <v>5</v>
      </c>
      <c r="FT13">
        <v>8</v>
      </c>
      <c r="FU13">
        <v>6</v>
      </c>
      <c r="FV13">
        <v>7</v>
      </c>
      <c r="FW13">
        <v>4</v>
      </c>
      <c r="FX13">
        <v>0.1</v>
      </c>
      <c r="FY13">
        <v>0.1</v>
      </c>
      <c r="FZ13">
        <v>0.2</v>
      </c>
      <c r="GA13">
        <v>0.3</v>
      </c>
      <c r="GB13">
        <v>0.3</v>
      </c>
      <c r="GC13">
        <f>FS13*FX13</f>
        <v>0.5</v>
      </c>
      <c r="GD13">
        <f>FT13*FY13</f>
        <v>0.8</v>
      </c>
      <c r="GE13">
        <f>FU13*FZ13</f>
        <v>1.2000000000000002</v>
      </c>
      <c r="GF13">
        <f>FV13*GA13</f>
        <v>2.1</v>
      </c>
      <c r="GG13">
        <f>FW13*GB13</f>
        <v>1.2</v>
      </c>
      <c r="GH13">
        <v>6.6</v>
      </c>
      <c r="GI13">
        <v>0.4</v>
      </c>
      <c r="GJ13">
        <v>7</v>
      </c>
      <c r="GK13">
        <f>GC13+GD13+GE13+GF13+GG13</f>
        <v>5.8</v>
      </c>
      <c r="GL13">
        <f>MEDIAN(FS13:FW13)</f>
        <v>6</v>
      </c>
    </row>
    <row r="14" spans="1:194" hidden="1" x14ac:dyDescent="0.25">
      <c r="A14">
        <v>13</v>
      </c>
      <c r="B14" t="s">
        <v>2</v>
      </c>
      <c r="C14" s="4">
        <v>86.4</v>
      </c>
      <c r="D14">
        <v>3.6</v>
      </c>
      <c r="E14" s="1">
        <f>C14/3/D14</f>
        <v>8</v>
      </c>
      <c r="G14">
        <v>36.75</v>
      </c>
      <c r="H14">
        <v>8</v>
      </c>
      <c r="I14">
        <f>H14*D14*3</f>
        <v>86.4</v>
      </c>
      <c r="J14">
        <v>16.79</v>
      </c>
      <c r="K14">
        <v>9</v>
      </c>
      <c r="L14" s="3">
        <f>K14*3*D14</f>
        <v>97.2</v>
      </c>
      <c r="M14">
        <v>5.19</v>
      </c>
      <c r="N14">
        <v>5</v>
      </c>
      <c r="O14">
        <f>N14*D14*3</f>
        <v>54</v>
      </c>
      <c r="P14" s="5">
        <v>8.5</v>
      </c>
      <c r="Q14" s="5">
        <f>P14*D14*3</f>
        <v>91.800000000000011</v>
      </c>
      <c r="S14" t="s">
        <v>6151</v>
      </c>
      <c r="T14">
        <v>7.2</v>
      </c>
      <c r="U14" s="8">
        <f>T14*D14*3</f>
        <v>77.760000000000005</v>
      </c>
      <c r="V14">
        <v>34.299999999999997</v>
      </c>
      <c r="W14">
        <v>8.4</v>
      </c>
      <c r="X14" s="5">
        <f>W14*D14*3</f>
        <v>90.72</v>
      </c>
      <c r="Y14">
        <v>10.68</v>
      </c>
      <c r="Z14">
        <v>6.7</v>
      </c>
      <c r="AA14">
        <f>Z14*D14*3</f>
        <v>72.36</v>
      </c>
      <c r="AC14">
        <v>45.02</v>
      </c>
      <c r="AD14">
        <v>8</v>
      </c>
      <c r="AE14" s="1">
        <f>AD14*3*D14</f>
        <v>86.4</v>
      </c>
      <c r="AF14">
        <v>11.91</v>
      </c>
      <c r="AG14" s="5">
        <v>7</v>
      </c>
      <c r="AH14" s="5">
        <f>AG14*D14*3</f>
        <v>75.599999999999994</v>
      </c>
      <c r="AI14" s="13"/>
      <c r="AJ14">
        <v>7.2</v>
      </c>
      <c r="AK14" s="8">
        <f>AJ14*D14*3</f>
        <v>77.760000000000005</v>
      </c>
      <c r="AL14" s="13"/>
      <c r="AM14">
        <v>31.11</v>
      </c>
      <c r="AN14">
        <v>7.9</v>
      </c>
      <c r="AO14" s="8">
        <f>AN14*D14*3</f>
        <v>85.320000000000007</v>
      </c>
      <c r="AP14">
        <v>13.14</v>
      </c>
      <c r="AQ14">
        <v>10</v>
      </c>
      <c r="AR14">
        <f>AQ14*D14*3</f>
        <v>108</v>
      </c>
      <c r="AS14">
        <v>10.5</v>
      </c>
      <c r="AT14">
        <v>9</v>
      </c>
      <c r="AU14">
        <f>AT14*D14*3</f>
        <v>97.199999999999989</v>
      </c>
      <c r="AW14">
        <v>24.9</v>
      </c>
      <c r="AX14">
        <v>9</v>
      </c>
      <c r="AY14">
        <f>AX14*D14*3</f>
        <v>97.199999999999989</v>
      </c>
      <c r="AZ14">
        <v>24.9</v>
      </c>
      <c r="BA14">
        <v>9</v>
      </c>
      <c r="BB14">
        <f>BA14*D14*3</f>
        <v>97.199999999999989</v>
      </c>
      <c r="BD14">
        <v>8.9</v>
      </c>
      <c r="BE14">
        <f>BD14*D14*3</f>
        <v>96.12</v>
      </c>
      <c r="BG14" s="10"/>
      <c r="BH14" s="1">
        <f>CHOOSE(MATCH(MIN(ABS(BP14-C14),ABS(BQ14-C14),ABS(BR14-C14)),CHOOSE({1;2;3},ABS(BP14-C14),ABS(BQ14-C14),ABS(BR14-C14)),0),BP14,BQ14,BR14)</f>
        <v>86.4</v>
      </c>
      <c r="BJ14" s="1" cm="1">
        <f t="array" ref="BJ14">(INDEX(_xlfn._xlws.SORT(CHOOSE({1;2;3;4;5;6},BQ14,BR14,L14,AE14,BO14,BP14)),3) + INDEX(_xlfn._xlws.SORT(CHOOSE({1;2;3;4;5;6},BQ14,BR14,L14,AE14,BO14,BP14)),4))/2</f>
        <v>86.4</v>
      </c>
      <c r="BK14">
        <v>8.0376974176545204</v>
      </c>
      <c r="BL14" t="s">
        <v>6117</v>
      </c>
      <c r="BM14" s="1">
        <f>BK14*3*D14</f>
        <v>86.807132110668817</v>
      </c>
      <c r="BN14" s="1">
        <f>BM14-C14</f>
        <v>0.40713211066881172</v>
      </c>
      <c r="BO14" s="1">
        <f>GK14*3*D14</f>
        <v>73.440000000000012</v>
      </c>
      <c r="BP14" s="1">
        <f>DO14*3*D14</f>
        <v>97.2</v>
      </c>
      <c r="BQ14" s="1">
        <f>FJ14*3*D14</f>
        <v>86.4</v>
      </c>
      <c r="BR14" s="1">
        <f>GL14*3*D14</f>
        <v>75.600000000000009</v>
      </c>
      <c r="BT14">
        <v>36.75</v>
      </c>
      <c r="BU14">
        <v>8</v>
      </c>
      <c r="BV14" t="s">
        <v>5032</v>
      </c>
      <c r="BW14" t="s">
        <v>5033</v>
      </c>
      <c r="BX14" t="s">
        <v>5034</v>
      </c>
      <c r="BY14" t="s">
        <v>5035</v>
      </c>
      <c r="BZ14" t="s">
        <v>5036</v>
      </c>
      <c r="CA14" t="s">
        <v>2550</v>
      </c>
      <c r="CC14" t="s">
        <v>2551</v>
      </c>
      <c r="CD14" t="s">
        <v>2552</v>
      </c>
      <c r="CE14" t="s">
        <v>2553</v>
      </c>
      <c r="CG14" t="s">
        <v>2424</v>
      </c>
      <c r="CH14" t="s">
        <v>2554</v>
      </c>
      <c r="CI14" t="s">
        <v>2555</v>
      </c>
      <c r="CK14" t="s">
        <v>2556</v>
      </c>
      <c r="CL14" t="s">
        <v>2557</v>
      </c>
      <c r="CM14" t="s">
        <v>2558</v>
      </c>
      <c r="CO14" t="s">
        <v>2431</v>
      </c>
      <c r="CP14" t="s">
        <v>2559</v>
      </c>
      <c r="CQ14" t="s">
        <v>2560</v>
      </c>
      <c r="CR14" t="s">
        <v>2561</v>
      </c>
      <c r="CS14" t="s">
        <v>2435</v>
      </c>
      <c r="CT14" t="s">
        <v>2562</v>
      </c>
      <c r="CV14">
        <v>9</v>
      </c>
      <c r="CW14">
        <v>9</v>
      </c>
      <c r="CX14">
        <v>9</v>
      </c>
      <c r="CY14">
        <v>9</v>
      </c>
      <c r="CZ14">
        <v>9</v>
      </c>
      <c r="DA14">
        <v>0.1</v>
      </c>
      <c r="DB14">
        <v>0.1</v>
      </c>
      <c r="DC14">
        <v>0.2</v>
      </c>
      <c r="DD14">
        <v>0.3</v>
      </c>
      <c r="DE14">
        <v>0.3</v>
      </c>
      <c r="DF14">
        <v>0.9</v>
      </c>
      <c r="DG14">
        <v>0.9</v>
      </c>
      <c r="DH14">
        <v>1.8</v>
      </c>
      <c r="DI14">
        <v>2.7</v>
      </c>
      <c r="DJ14">
        <v>2.7</v>
      </c>
      <c r="DK14">
        <v>8</v>
      </c>
      <c r="DL14">
        <v>0</v>
      </c>
      <c r="DM14">
        <v>8</v>
      </c>
      <c r="DN14">
        <v>9</v>
      </c>
      <c r="DO14">
        <f>AVERAGE(CV14:CZ14)</f>
        <v>9</v>
      </c>
      <c r="DQ14">
        <v>8</v>
      </c>
      <c r="DR14" t="s">
        <v>75</v>
      </c>
      <c r="DS14" t="s">
        <v>76</v>
      </c>
      <c r="DT14" t="s">
        <v>77</v>
      </c>
      <c r="DU14" t="s">
        <v>78</v>
      </c>
      <c r="DV14" t="s">
        <v>79</v>
      </c>
      <c r="DW14" t="s">
        <v>3911</v>
      </c>
      <c r="DX14" t="s">
        <v>3912</v>
      </c>
      <c r="DY14" t="s">
        <v>3913</v>
      </c>
      <c r="DZ14" t="s">
        <v>3052</v>
      </c>
      <c r="EA14" t="s">
        <v>3914</v>
      </c>
      <c r="EB14" t="s">
        <v>3840</v>
      </c>
      <c r="EC14" t="s">
        <v>3915</v>
      </c>
      <c r="ED14" t="s">
        <v>2495</v>
      </c>
      <c r="EE14" t="s">
        <v>3916</v>
      </c>
      <c r="EF14" t="s">
        <v>3917</v>
      </c>
      <c r="EG14" t="s">
        <v>3918</v>
      </c>
      <c r="EH14" t="s">
        <v>2498</v>
      </c>
      <c r="EI14" t="s">
        <v>3919</v>
      </c>
      <c r="EJ14" t="s">
        <v>3920</v>
      </c>
      <c r="EK14" t="s">
        <v>3921</v>
      </c>
      <c r="EL14" t="s">
        <v>2501</v>
      </c>
      <c r="EM14" t="s">
        <v>3922</v>
      </c>
      <c r="EN14" t="s">
        <v>3923</v>
      </c>
      <c r="EO14" t="s">
        <v>3924</v>
      </c>
      <c r="EP14" t="s">
        <v>2632</v>
      </c>
      <c r="EQ14">
        <v>8</v>
      </c>
      <c r="ER14">
        <v>8</v>
      </c>
      <c r="ES14">
        <v>8</v>
      </c>
      <c r="ET14">
        <v>8</v>
      </c>
      <c r="EU14">
        <v>8</v>
      </c>
      <c r="EV14">
        <v>0.1</v>
      </c>
      <c r="EW14">
        <v>0.1</v>
      </c>
      <c r="EX14">
        <v>0.2</v>
      </c>
      <c r="EY14">
        <v>0.3</v>
      </c>
      <c r="EZ14">
        <v>0.3</v>
      </c>
      <c r="FA14">
        <f>EV14*EQ14</f>
        <v>0.8</v>
      </c>
      <c r="FB14">
        <f>EW14*ER14</f>
        <v>0.8</v>
      </c>
      <c r="FC14">
        <f>EX14*ES14</f>
        <v>1.6</v>
      </c>
      <c r="FD14">
        <f>EY14*ET14</f>
        <v>2.4</v>
      </c>
      <c r="FE14">
        <f>EZ14*EU14</f>
        <v>2.4</v>
      </c>
      <c r="FF14">
        <v>16</v>
      </c>
      <c r="FG14">
        <v>0</v>
      </c>
      <c r="FH14">
        <v>8</v>
      </c>
      <c r="FI14">
        <f>FA14+FB14+FC14+FD14+FE14</f>
        <v>8</v>
      </c>
      <c r="FJ14">
        <f>MEDIAN(EQ14:EU14)</f>
        <v>8</v>
      </c>
      <c r="FL14">
        <v>43.89</v>
      </c>
      <c r="FM14">
        <v>9.4</v>
      </c>
      <c r="FN14" t="s">
        <v>662</v>
      </c>
      <c r="FO14" t="s">
        <v>663</v>
      </c>
      <c r="FP14" t="s">
        <v>664</v>
      </c>
      <c r="FQ14" t="s">
        <v>665</v>
      </c>
      <c r="FR14" t="s">
        <v>666</v>
      </c>
      <c r="FS14">
        <v>6</v>
      </c>
      <c r="FT14">
        <v>7</v>
      </c>
      <c r="FU14">
        <v>8</v>
      </c>
      <c r="FV14">
        <v>6</v>
      </c>
      <c r="FW14">
        <v>7</v>
      </c>
      <c r="FX14">
        <v>0.1</v>
      </c>
      <c r="FY14">
        <v>0.1</v>
      </c>
      <c r="FZ14">
        <v>0.2</v>
      </c>
      <c r="GA14">
        <v>0.3</v>
      </c>
      <c r="GB14">
        <v>0.3</v>
      </c>
      <c r="GC14">
        <f>FS14*FX14</f>
        <v>0.60000000000000009</v>
      </c>
      <c r="GD14">
        <f>FT14*FY14</f>
        <v>0.70000000000000007</v>
      </c>
      <c r="GE14">
        <f>FU14*FZ14</f>
        <v>1.6</v>
      </c>
      <c r="GF14">
        <f>FV14*GA14</f>
        <v>1.7999999999999998</v>
      </c>
      <c r="GG14">
        <f>FW14*GB14</f>
        <v>2.1</v>
      </c>
      <c r="GH14">
        <v>9.4</v>
      </c>
      <c r="GI14">
        <v>0</v>
      </c>
      <c r="GJ14">
        <v>9.4</v>
      </c>
      <c r="GK14">
        <f>GC14+GD14+GE14+GF14+GG14</f>
        <v>6.8000000000000007</v>
      </c>
      <c r="GL14">
        <f>MEDIAN(FS14:FW14)</f>
        <v>7</v>
      </c>
    </row>
    <row r="15" spans="1:194" hidden="1" x14ac:dyDescent="0.25">
      <c r="A15">
        <v>14</v>
      </c>
      <c r="B15" t="s">
        <v>2</v>
      </c>
      <c r="C15" s="4">
        <v>88.8</v>
      </c>
      <c r="D15">
        <v>3.7</v>
      </c>
      <c r="E15" s="1">
        <f>C15/3/D15</f>
        <v>7.9999999999999991</v>
      </c>
      <c r="G15">
        <v>74.25</v>
      </c>
      <c r="H15">
        <v>8.1999999999999993</v>
      </c>
      <c r="I15">
        <f>H15*D15*3</f>
        <v>91.02</v>
      </c>
      <c r="J15">
        <v>17.66</v>
      </c>
      <c r="K15">
        <v>8.6999999999999993</v>
      </c>
      <c r="L15" s="3">
        <f>K15*3*D15</f>
        <v>96.57</v>
      </c>
      <c r="M15">
        <v>4.09</v>
      </c>
      <c r="N15">
        <v>8.9</v>
      </c>
      <c r="O15">
        <f>N15*D15*3</f>
        <v>98.789999999999992</v>
      </c>
      <c r="P15" s="5">
        <v>8.5</v>
      </c>
      <c r="Q15" s="5">
        <f>P15*D15*3</f>
        <v>94.350000000000009</v>
      </c>
      <c r="S15" t="s">
        <v>6152</v>
      </c>
      <c r="T15">
        <v>7.5</v>
      </c>
      <c r="U15" s="8">
        <f>T15*D15*3</f>
        <v>83.25</v>
      </c>
      <c r="V15">
        <v>33.590000000000003</v>
      </c>
      <c r="W15">
        <v>8.4</v>
      </c>
      <c r="X15" s="5">
        <f>W15*D15*3</f>
        <v>93.240000000000009</v>
      </c>
      <c r="Y15">
        <v>10.130000000000001</v>
      </c>
      <c r="Z15">
        <v>7.5</v>
      </c>
      <c r="AA15">
        <f>Z15*D15*3</f>
        <v>83.25</v>
      </c>
      <c r="AC15">
        <v>47.57</v>
      </c>
      <c r="AD15">
        <v>7.9</v>
      </c>
      <c r="AE15" s="1">
        <f>AD15*3*D15</f>
        <v>87.690000000000012</v>
      </c>
      <c r="AF15">
        <v>12.01</v>
      </c>
      <c r="AG15" s="5">
        <v>7</v>
      </c>
      <c r="AH15" s="5">
        <f>AG15*D15*3</f>
        <v>77.7</v>
      </c>
      <c r="AI15" s="13"/>
      <c r="AJ15">
        <v>2.8</v>
      </c>
      <c r="AK15" s="8">
        <f>AJ15*D15*3</f>
        <v>31.08</v>
      </c>
      <c r="AL15" s="13"/>
      <c r="AM15">
        <v>31.62</v>
      </c>
      <c r="AN15">
        <v>7.8</v>
      </c>
      <c r="AO15" s="8">
        <f>AN15*D15*3</f>
        <v>86.58</v>
      </c>
      <c r="AP15">
        <v>13.59</v>
      </c>
      <c r="AQ15">
        <v>10</v>
      </c>
      <c r="AR15">
        <f>AQ15*D15*3</f>
        <v>111</v>
      </c>
      <c r="AS15">
        <v>10.54</v>
      </c>
      <c r="AT15">
        <v>8.6999999999999993</v>
      </c>
      <c r="AU15">
        <f>AT15*D15*3</f>
        <v>96.57</v>
      </c>
      <c r="AW15">
        <v>26.95</v>
      </c>
      <c r="AX15">
        <v>8.8000000000000007</v>
      </c>
      <c r="AY15">
        <f>AX15*D15*3</f>
        <v>97.68</v>
      </c>
      <c r="AZ15">
        <v>26.95</v>
      </c>
      <c r="BA15">
        <v>8.9</v>
      </c>
      <c r="BB15">
        <f>BA15*D15*3</f>
        <v>98.789999999999992</v>
      </c>
      <c r="BD15">
        <v>8.9</v>
      </c>
      <c r="BE15">
        <f>BD15*D15*3</f>
        <v>98.789999999999992</v>
      </c>
      <c r="BG15" s="10"/>
      <c r="BH15" s="1">
        <f>CHOOSE(MATCH(MIN(ABS(BP15-C15),ABS(BQ15-C15),ABS(BR15-C15)),CHOOSE({1;2;3},ABS(BP15-C15),ABS(BQ15-C15),ABS(BR15-C15)),0),BP15,BQ15,BR15)</f>
        <v>88.800000000000011</v>
      </c>
      <c r="BJ15" s="1" cm="1">
        <f t="array" ref="BJ15">(INDEX(_xlfn._xlws.SORT(CHOOSE({1;2;3;4;5;6},BQ15,BR15,L15,AE15,BO15,BP15)),3) + INDEX(_xlfn._xlws.SORT(CHOOSE({1;2;3;4;5;6},BQ15,BR15,L15,AE15,BO15,BP15)),4))/2</f>
        <v>96.292500000000004</v>
      </c>
      <c r="BK15">
        <v>8.0290974847985392</v>
      </c>
      <c r="BL15" t="s">
        <v>6117</v>
      </c>
      <c r="BM15" s="1">
        <f>BK15*3*D15</f>
        <v>89.122982081263785</v>
      </c>
      <c r="BN15" s="1">
        <f>BM15-C15</f>
        <v>0.32298208126378825</v>
      </c>
      <c r="BO15" s="1">
        <f>GK15*3*D15</f>
        <v>96.015000000000015</v>
      </c>
      <c r="BP15" s="1">
        <f>DO15*3*D15</f>
        <v>99.9</v>
      </c>
      <c r="BQ15" s="1">
        <f>FJ15*3*D15</f>
        <v>88.800000000000011</v>
      </c>
      <c r="BR15" s="1">
        <f>GL15*3*D15</f>
        <v>111</v>
      </c>
      <c r="BT15">
        <v>74.25</v>
      </c>
      <c r="BU15">
        <v>8.1999999999999993</v>
      </c>
      <c r="BV15" t="s">
        <v>5037</v>
      </c>
      <c r="BW15" t="s">
        <v>5038</v>
      </c>
      <c r="BX15" t="s">
        <v>5039</v>
      </c>
      <c r="BY15" t="s">
        <v>5040</v>
      </c>
      <c r="BZ15" t="s">
        <v>5041</v>
      </c>
      <c r="CA15" t="s">
        <v>2563</v>
      </c>
      <c r="CC15" t="s">
        <v>2564</v>
      </c>
      <c r="CD15" t="s">
        <v>2508</v>
      </c>
      <c r="CE15" t="s">
        <v>2565</v>
      </c>
      <c r="CG15" t="s">
        <v>2566</v>
      </c>
      <c r="CH15" t="s">
        <v>2510</v>
      </c>
      <c r="CI15" t="s">
        <v>2567</v>
      </c>
      <c r="CK15" t="s">
        <v>2568</v>
      </c>
      <c r="CL15" t="s">
        <v>2512</v>
      </c>
      <c r="CM15" t="s">
        <v>2569</v>
      </c>
      <c r="CO15" t="s">
        <v>2500</v>
      </c>
      <c r="CP15" t="s">
        <v>2514</v>
      </c>
      <c r="CQ15" t="s">
        <v>2570</v>
      </c>
      <c r="CS15" t="s">
        <v>2571</v>
      </c>
      <c r="CT15" t="s">
        <v>2524</v>
      </c>
      <c r="CV15">
        <v>9</v>
      </c>
      <c r="CW15">
        <v>9</v>
      </c>
      <c r="CX15">
        <v>9</v>
      </c>
      <c r="CY15">
        <v>9</v>
      </c>
      <c r="CZ15">
        <v>9</v>
      </c>
      <c r="DA15">
        <v>0.1</v>
      </c>
      <c r="DB15">
        <v>0.1</v>
      </c>
      <c r="DC15">
        <v>0.2</v>
      </c>
      <c r="DD15">
        <v>0.3</v>
      </c>
      <c r="DE15">
        <v>0.3</v>
      </c>
      <c r="DF15">
        <v>0.9</v>
      </c>
      <c r="DG15">
        <v>0.9</v>
      </c>
      <c r="DH15">
        <v>1.8</v>
      </c>
      <c r="DI15">
        <v>2.7</v>
      </c>
      <c r="DJ15">
        <v>2.7</v>
      </c>
      <c r="DK15">
        <v>8.1999999999999993</v>
      </c>
      <c r="DL15">
        <v>0</v>
      </c>
      <c r="DM15">
        <v>8.1999999999999993</v>
      </c>
      <c r="DN15">
        <v>8.6999999999999993</v>
      </c>
      <c r="DO15">
        <f>AVERAGE(CV15:CZ15)</f>
        <v>9</v>
      </c>
      <c r="DQ15">
        <v>8</v>
      </c>
      <c r="DR15" t="s">
        <v>28</v>
      </c>
      <c r="DS15" t="s">
        <v>43</v>
      </c>
      <c r="DT15" t="s">
        <v>44</v>
      </c>
      <c r="DU15" t="s">
        <v>45</v>
      </c>
      <c r="DV15" t="s">
        <v>46</v>
      </c>
      <c r="DW15" t="s">
        <v>3769</v>
      </c>
      <c r="DX15" t="s">
        <v>3770</v>
      </c>
      <c r="DY15" t="s">
        <v>3771</v>
      </c>
      <c r="DZ15" t="s">
        <v>3772</v>
      </c>
      <c r="EA15" t="s">
        <v>3806</v>
      </c>
      <c r="EB15" t="s">
        <v>3807</v>
      </c>
      <c r="EC15" t="s">
        <v>3775</v>
      </c>
      <c r="ED15" t="s">
        <v>3776</v>
      </c>
      <c r="EE15" t="s">
        <v>3819</v>
      </c>
      <c r="EF15" t="s">
        <v>3809</v>
      </c>
      <c r="EG15" t="s">
        <v>3810</v>
      </c>
      <c r="EH15" t="s">
        <v>3811</v>
      </c>
      <c r="EI15" t="s">
        <v>3820</v>
      </c>
      <c r="EJ15" t="s">
        <v>3813</v>
      </c>
      <c r="EK15" t="s">
        <v>3925</v>
      </c>
      <c r="EL15" t="s">
        <v>3926</v>
      </c>
      <c r="EM15" t="s">
        <v>3816</v>
      </c>
      <c r="EN15" t="s">
        <v>3823</v>
      </c>
      <c r="EO15" t="s">
        <v>3824</v>
      </c>
      <c r="EP15" t="s">
        <v>3857</v>
      </c>
      <c r="EQ15">
        <v>7</v>
      </c>
      <c r="ER15">
        <v>8</v>
      </c>
      <c r="ES15">
        <v>8</v>
      </c>
      <c r="ET15">
        <v>8</v>
      </c>
      <c r="EU15">
        <v>8</v>
      </c>
      <c r="EV15">
        <v>0.1</v>
      </c>
      <c r="EW15">
        <v>0.1</v>
      </c>
      <c r="EX15">
        <v>0.2</v>
      </c>
      <c r="EY15">
        <v>0.3</v>
      </c>
      <c r="EZ15">
        <v>0.3</v>
      </c>
      <c r="FA15">
        <f>EV15*EQ15</f>
        <v>0.70000000000000007</v>
      </c>
      <c r="FB15">
        <f>EW15*ER15</f>
        <v>0.8</v>
      </c>
      <c r="FC15">
        <f>EX15*ES15</f>
        <v>1.6</v>
      </c>
      <c r="FD15">
        <f>EY15*ET15</f>
        <v>2.4</v>
      </c>
      <c r="FE15">
        <f>EZ15*EU15</f>
        <v>2.4</v>
      </c>
      <c r="FF15">
        <v>15</v>
      </c>
      <c r="FG15">
        <v>0</v>
      </c>
      <c r="FH15">
        <v>15</v>
      </c>
      <c r="FI15">
        <f>FA15+FB15+FC15+FD15+FE15</f>
        <v>7.9</v>
      </c>
      <c r="FJ15">
        <f>MEDIAN(EQ15:EU15)</f>
        <v>8</v>
      </c>
      <c r="FL15">
        <v>67.42</v>
      </c>
      <c r="FM15">
        <v>10</v>
      </c>
      <c r="FN15" t="s">
        <v>667</v>
      </c>
      <c r="FO15" t="s">
        <v>668</v>
      </c>
      <c r="FP15" t="s">
        <v>669</v>
      </c>
      <c r="FQ15" t="s">
        <v>670</v>
      </c>
      <c r="FR15" t="s">
        <v>671</v>
      </c>
      <c r="FS15">
        <v>10</v>
      </c>
      <c r="FT15">
        <v>10</v>
      </c>
      <c r="FU15">
        <v>10</v>
      </c>
      <c r="FV15">
        <v>8.5</v>
      </c>
      <c r="FW15">
        <v>7</v>
      </c>
      <c r="FX15">
        <v>0.1</v>
      </c>
      <c r="FY15">
        <v>0.1</v>
      </c>
      <c r="FZ15">
        <v>0.2</v>
      </c>
      <c r="GA15">
        <v>0.3</v>
      </c>
      <c r="GB15">
        <v>0.3</v>
      </c>
      <c r="GC15">
        <f>FS15*FX15</f>
        <v>1</v>
      </c>
      <c r="GD15">
        <f>FT15*FY15</f>
        <v>1</v>
      </c>
      <c r="GE15">
        <f>FU15*FZ15</f>
        <v>2</v>
      </c>
      <c r="GF15">
        <f>FV15*GA15</f>
        <v>2.5499999999999998</v>
      </c>
      <c r="GG15">
        <f>FW15*GB15</f>
        <v>2.1</v>
      </c>
      <c r="GH15">
        <v>9.65</v>
      </c>
      <c r="GI15">
        <v>0.45</v>
      </c>
      <c r="GJ15">
        <v>10</v>
      </c>
      <c r="GK15">
        <f>GC15+GD15+GE15+GF15+GG15</f>
        <v>8.65</v>
      </c>
      <c r="GL15">
        <f>MEDIAN(FS15:FW15)</f>
        <v>10</v>
      </c>
    </row>
    <row r="16" spans="1:194" hidden="1" x14ac:dyDescent="0.25">
      <c r="A16">
        <v>15</v>
      </c>
      <c r="B16" t="s">
        <v>2</v>
      </c>
      <c r="C16" s="4">
        <v>82.5</v>
      </c>
      <c r="D16">
        <v>3.3</v>
      </c>
      <c r="E16" s="1">
        <f>C16/3/D16</f>
        <v>8.3333333333333339</v>
      </c>
      <c r="G16">
        <v>38.39</v>
      </c>
      <c r="H16">
        <v>7.9</v>
      </c>
      <c r="I16">
        <f>H16*D16*3</f>
        <v>78.210000000000008</v>
      </c>
      <c r="J16">
        <v>16.690000000000001</v>
      </c>
      <c r="K16">
        <v>8.4</v>
      </c>
      <c r="L16" s="3">
        <f>K16*3*D16</f>
        <v>83.160000000000011</v>
      </c>
      <c r="M16">
        <v>5.31</v>
      </c>
      <c r="N16">
        <v>3</v>
      </c>
      <c r="O16">
        <f>N16*D16*3</f>
        <v>29.699999999999996</v>
      </c>
      <c r="P16" s="5">
        <v>6.5</v>
      </c>
      <c r="Q16" s="5">
        <f>P16*D16*3</f>
        <v>64.349999999999994</v>
      </c>
      <c r="S16" t="s">
        <v>6153</v>
      </c>
      <c r="T16">
        <v>4</v>
      </c>
      <c r="U16" s="8">
        <f>T16*D16*3</f>
        <v>39.599999999999994</v>
      </c>
      <c r="V16">
        <v>35.270000000000003</v>
      </c>
      <c r="W16">
        <v>8.4</v>
      </c>
      <c r="X16" s="5">
        <f>W16*D16*3</f>
        <v>83.16</v>
      </c>
      <c r="Y16">
        <v>10.25</v>
      </c>
      <c r="Z16">
        <v>7.5</v>
      </c>
      <c r="AA16">
        <f>Z16*D16*3</f>
        <v>74.25</v>
      </c>
      <c r="AC16">
        <v>44.24</v>
      </c>
      <c r="AD16">
        <v>7.9</v>
      </c>
      <c r="AE16" s="1">
        <f>AD16*3*D16</f>
        <v>78.210000000000008</v>
      </c>
      <c r="AF16">
        <v>11.87</v>
      </c>
      <c r="AG16" s="5">
        <v>7</v>
      </c>
      <c r="AH16" s="5">
        <f>AG16*D16*3</f>
        <v>69.3</v>
      </c>
      <c r="AI16" s="13"/>
      <c r="AJ16">
        <v>1.8</v>
      </c>
      <c r="AK16" s="8">
        <f>AJ16*D16*3</f>
        <v>17.82</v>
      </c>
      <c r="AL16" s="13"/>
      <c r="AM16">
        <v>30.23</v>
      </c>
      <c r="AN16">
        <v>7.5</v>
      </c>
      <c r="AO16" s="8">
        <f>AN16*D16*3</f>
        <v>74.25</v>
      </c>
      <c r="AP16">
        <v>12.06</v>
      </c>
      <c r="AQ16">
        <v>10</v>
      </c>
      <c r="AR16">
        <f>AQ16*D16*3</f>
        <v>99</v>
      </c>
      <c r="AS16">
        <v>10.47</v>
      </c>
      <c r="AT16">
        <v>8.8000000000000007</v>
      </c>
      <c r="AU16">
        <f>AT16*D16*3</f>
        <v>87.12</v>
      </c>
      <c r="AW16">
        <v>22.95</v>
      </c>
      <c r="AX16">
        <v>9.5</v>
      </c>
      <c r="AY16">
        <f>AX16*D16*3</f>
        <v>94.05</v>
      </c>
      <c r="AZ16">
        <v>22.95</v>
      </c>
      <c r="BA16">
        <v>9</v>
      </c>
      <c r="BB16">
        <f>BA16*D16*3</f>
        <v>89.1</v>
      </c>
      <c r="BD16">
        <v>8.9</v>
      </c>
      <c r="BE16">
        <f>BD16*D16*3</f>
        <v>88.11</v>
      </c>
      <c r="BG16" s="10"/>
      <c r="BH16" s="1">
        <f>CHOOSE(MATCH(MIN(ABS(BP16-C16),ABS(BQ16-C16),ABS(BR16-C16)),CHOOSE({1;2;3},ABS(BP16-C16),ABS(BQ16-C16),ABS(BR16-C16)),0),BP16,BQ16,BR16)</f>
        <v>81.179999999999993</v>
      </c>
      <c r="BJ16" s="1" cm="1">
        <f t="array" ref="BJ16">(INDEX(_xlfn._xlws.SORT(CHOOSE({1;2;3;4;5;6},BQ16,BR16,L16,AE16,BO16,BP16)),3) + INDEX(_xlfn._xlws.SORT(CHOOSE({1;2;3;4;5;6},BQ16,BR16,L16,AE16,BO16,BP16)),4))/2</f>
        <v>78.704999999999998</v>
      </c>
      <c r="BK16">
        <v>8.3238973779045704</v>
      </c>
      <c r="BL16" t="s">
        <v>6117</v>
      </c>
      <c r="BM16" s="1">
        <f>BK16*3*D16</f>
        <v>82.406584041255243</v>
      </c>
      <c r="BN16" s="1">
        <f>BM16-C16</f>
        <v>-9.3415958744756722E-2</v>
      </c>
      <c r="BO16" s="1">
        <f>GK16*3*D16</f>
        <v>60.39</v>
      </c>
      <c r="BP16" s="1">
        <f>DO16*3*D16</f>
        <v>81.179999999999993</v>
      </c>
      <c r="BQ16" s="1">
        <f>FJ16*3*D16</f>
        <v>79.199999999999989</v>
      </c>
      <c r="BR16" s="1">
        <f>GL16*3*D16</f>
        <v>69.3</v>
      </c>
      <c r="BT16">
        <v>38.39</v>
      </c>
      <c r="BU16">
        <v>7.9</v>
      </c>
      <c r="BV16" t="s">
        <v>5042</v>
      </c>
      <c r="BW16" t="s">
        <v>5043</v>
      </c>
      <c r="BX16" t="s">
        <v>4993</v>
      </c>
      <c r="BY16" t="s">
        <v>5044</v>
      </c>
      <c r="BZ16" t="s">
        <v>5045</v>
      </c>
      <c r="CA16" t="s">
        <v>2420</v>
      </c>
      <c r="CC16" t="s">
        <v>2491</v>
      </c>
      <c r="CD16" t="s">
        <v>2492</v>
      </c>
      <c r="CE16" t="s">
        <v>2572</v>
      </c>
      <c r="CG16" t="s">
        <v>2573</v>
      </c>
      <c r="CH16" t="s">
        <v>2574</v>
      </c>
      <c r="CI16" t="s">
        <v>2575</v>
      </c>
      <c r="CJ16" t="s">
        <v>2427</v>
      </c>
      <c r="CK16" t="s">
        <v>2576</v>
      </c>
      <c r="CL16" t="s">
        <v>2577</v>
      </c>
      <c r="CM16" t="s">
        <v>2578</v>
      </c>
      <c r="CN16" t="s">
        <v>2579</v>
      </c>
      <c r="CO16" t="s">
        <v>2580</v>
      </c>
      <c r="CP16" t="s">
        <v>2581</v>
      </c>
      <c r="CQ16" t="s">
        <v>2582</v>
      </c>
      <c r="CR16" t="s">
        <v>2434</v>
      </c>
      <c r="CS16" t="s">
        <v>2583</v>
      </c>
      <c r="CT16" t="s">
        <v>2584</v>
      </c>
      <c r="CV16">
        <v>9</v>
      </c>
      <c r="CW16">
        <v>9</v>
      </c>
      <c r="CX16">
        <v>8</v>
      </c>
      <c r="CY16">
        <v>8</v>
      </c>
      <c r="CZ16">
        <v>7</v>
      </c>
      <c r="DA16">
        <v>0.1</v>
      </c>
      <c r="DB16">
        <v>0.1</v>
      </c>
      <c r="DC16">
        <v>0.2</v>
      </c>
      <c r="DD16">
        <v>0.3</v>
      </c>
      <c r="DE16">
        <v>0.3</v>
      </c>
      <c r="DF16">
        <v>0.9</v>
      </c>
      <c r="DG16">
        <v>0.9</v>
      </c>
      <c r="DH16">
        <v>1.6</v>
      </c>
      <c r="DI16">
        <v>2.4</v>
      </c>
      <c r="DJ16">
        <v>2.1</v>
      </c>
      <c r="DK16">
        <v>7.9</v>
      </c>
      <c r="DL16">
        <v>0</v>
      </c>
      <c r="DM16">
        <v>7.9</v>
      </c>
      <c r="DN16">
        <v>8.4</v>
      </c>
      <c r="DO16">
        <f>AVERAGE(CV16:CZ16)</f>
        <v>8.1999999999999993</v>
      </c>
      <c r="DQ16" t="s">
        <v>27</v>
      </c>
      <c r="DR16" t="s">
        <v>65</v>
      </c>
      <c r="DS16" t="s">
        <v>66</v>
      </c>
      <c r="DT16" t="s">
        <v>67</v>
      </c>
      <c r="DU16" t="s">
        <v>80</v>
      </c>
      <c r="DV16" t="s">
        <v>81</v>
      </c>
      <c r="DW16" t="s">
        <v>3769</v>
      </c>
      <c r="DX16" t="s">
        <v>3770</v>
      </c>
      <c r="DY16" t="s">
        <v>3771</v>
      </c>
      <c r="DZ16" t="s">
        <v>3772</v>
      </c>
      <c r="EA16" t="s">
        <v>3773</v>
      </c>
      <c r="EB16" t="s">
        <v>3774</v>
      </c>
      <c r="EC16" t="s">
        <v>3775</v>
      </c>
      <c r="ED16" t="s">
        <v>3776</v>
      </c>
      <c r="EE16" t="s">
        <v>3777</v>
      </c>
      <c r="EF16" t="s">
        <v>3778</v>
      </c>
      <c r="EG16" t="s">
        <v>3779</v>
      </c>
      <c r="EH16" t="s">
        <v>3780</v>
      </c>
      <c r="EI16" t="s">
        <v>3927</v>
      </c>
      <c r="EJ16" t="s">
        <v>3928</v>
      </c>
      <c r="EK16" t="s">
        <v>3929</v>
      </c>
      <c r="EL16" t="s">
        <v>3780</v>
      </c>
      <c r="EM16" t="s">
        <v>3930</v>
      </c>
      <c r="EN16" t="s">
        <v>3931</v>
      </c>
      <c r="EO16" t="s">
        <v>3932</v>
      </c>
      <c r="EP16" t="s">
        <v>3780</v>
      </c>
      <c r="EQ16">
        <v>7</v>
      </c>
      <c r="ER16">
        <v>8</v>
      </c>
      <c r="ES16">
        <v>8</v>
      </c>
      <c r="ET16">
        <v>8</v>
      </c>
      <c r="EU16">
        <v>8</v>
      </c>
      <c r="EV16">
        <v>0.1</v>
      </c>
      <c r="EW16">
        <v>0.1</v>
      </c>
      <c r="EX16">
        <v>0.2</v>
      </c>
      <c r="EY16">
        <v>0.3</v>
      </c>
      <c r="EZ16">
        <v>0.3</v>
      </c>
      <c r="FA16">
        <f>EV16*EQ16</f>
        <v>0.70000000000000007</v>
      </c>
      <c r="FB16">
        <f>EW16*ER16</f>
        <v>0.8</v>
      </c>
      <c r="FC16">
        <f>EX16*ES16</f>
        <v>1.6</v>
      </c>
      <c r="FD16">
        <f>EY16*ET16</f>
        <v>2.4</v>
      </c>
      <c r="FE16">
        <f>EZ16*EU16</f>
        <v>2.4</v>
      </c>
      <c r="FF16">
        <v>15</v>
      </c>
      <c r="FG16">
        <v>0</v>
      </c>
      <c r="FH16">
        <v>15</v>
      </c>
      <c r="FI16">
        <f>FA16+FB16+FC16+FD16+FE16</f>
        <v>7.9</v>
      </c>
      <c r="FJ16">
        <f>MEDIAN(EQ16:EU16)</f>
        <v>8</v>
      </c>
      <c r="FL16">
        <v>35.299999999999997</v>
      </c>
      <c r="FM16">
        <v>7.5</v>
      </c>
      <c r="FN16" t="s">
        <v>672</v>
      </c>
      <c r="FO16" t="s">
        <v>673</v>
      </c>
      <c r="FP16" t="s">
        <v>674</v>
      </c>
      <c r="FQ16" t="s">
        <v>675</v>
      </c>
      <c r="FR16" t="s">
        <v>676</v>
      </c>
      <c r="FS16">
        <v>8</v>
      </c>
      <c r="FT16">
        <v>9</v>
      </c>
      <c r="FU16">
        <v>7</v>
      </c>
      <c r="FV16">
        <v>6</v>
      </c>
      <c r="FW16">
        <v>4</v>
      </c>
      <c r="FX16">
        <v>0.1</v>
      </c>
      <c r="FY16">
        <v>0.1</v>
      </c>
      <c r="FZ16">
        <v>0.2</v>
      </c>
      <c r="GA16">
        <v>0.3</v>
      </c>
      <c r="GB16">
        <v>0.3</v>
      </c>
      <c r="GC16">
        <f>FS16*FX16</f>
        <v>0.8</v>
      </c>
      <c r="GD16">
        <f>FT16*FY16</f>
        <v>0.9</v>
      </c>
      <c r="GE16">
        <f>FU16*FZ16</f>
        <v>1.4000000000000001</v>
      </c>
      <c r="GF16">
        <f>FV16*GA16</f>
        <v>1.7999999999999998</v>
      </c>
      <c r="GG16">
        <f>FW16*GB16</f>
        <v>1.2</v>
      </c>
      <c r="GH16">
        <v>8</v>
      </c>
      <c r="GI16">
        <v>-0.5</v>
      </c>
      <c r="GJ16">
        <v>7.5</v>
      </c>
      <c r="GK16">
        <f>GC16+GD16+GE16+GF16+GG16</f>
        <v>6.1000000000000005</v>
      </c>
      <c r="GL16">
        <f>MEDIAN(FS16:FW16)</f>
        <v>7</v>
      </c>
    </row>
    <row r="17" spans="1:194" hidden="1" x14ac:dyDescent="0.25">
      <c r="A17">
        <v>16</v>
      </c>
      <c r="B17" t="s">
        <v>2</v>
      </c>
      <c r="C17" s="4">
        <v>88.2</v>
      </c>
      <c r="D17">
        <v>3.6</v>
      </c>
      <c r="E17" s="1">
        <f>C17/3/D17</f>
        <v>8.1666666666666679</v>
      </c>
      <c r="G17">
        <v>38.67</v>
      </c>
      <c r="H17">
        <v>8</v>
      </c>
      <c r="I17">
        <f>H17*D17*3</f>
        <v>86.4</v>
      </c>
      <c r="J17">
        <v>18.239999999999998</v>
      </c>
      <c r="K17">
        <v>8.4</v>
      </c>
      <c r="L17" s="3">
        <f>K17*3*D17</f>
        <v>90.720000000000013</v>
      </c>
      <c r="M17">
        <v>5.04</v>
      </c>
      <c r="N17">
        <v>7.5</v>
      </c>
      <c r="O17">
        <f>N17*D17*3</f>
        <v>81</v>
      </c>
      <c r="P17" s="5">
        <v>8.9</v>
      </c>
      <c r="Q17" s="5">
        <f>P17*D17*3</f>
        <v>96.12</v>
      </c>
      <c r="S17" t="s">
        <v>6154</v>
      </c>
      <c r="T17">
        <v>5.4</v>
      </c>
      <c r="U17" s="8">
        <f>T17*D17*3</f>
        <v>58.320000000000007</v>
      </c>
      <c r="V17">
        <v>39.04</v>
      </c>
      <c r="W17">
        <v>8.5</v>
      </c>
      <c r="X17" s="5">
        <f>W17*D17*3</f>
        <v>91.800000000000011</v>
      </c>
      <c r="Y17">
        <v>11.61</v>
      </c>
      <c r="Z17">
        <v>7.8</v>
      </c>
      <c r="AA17">
        <f>Z17*D17*3</f>
        <v>84.24</v>
      </c>
      <c r="AC17">
        <v>46.79</v>
      </c>
      <c r="AD17">
        <v>8</v>
      </c>
      <c r="AE17" s="1">
        <f>AD17*3*D17</f>
        <v>86.4</v>
      </c>
      <c r="AF17">
        <v>11.92</v>
      </c>
      <c r="AG17" s="5">
        <v>7</v>
      </c>
      <c r="AH17" s="5">
        <f>AG17*D17*3</f>
        <v>75.599999999999994</v>
      </c>
      <c r="AI17" s="13"/>
      <c r="AJ17">
        <v>2.8</v>
      </c>
      <c r="AK17" s="8">
        <f>AJ17*D17*3</f>
        <v>30.240000000000002</v>
      </c>
      <c r="AL17" s="13"/>
      <c r="AM17">
        <v>32.049999999999997</v>
      </c>
      <c r="AN17">
        <v>6.9</v>
      </c>
      <c r="AO17" s="8">
        <f>AN17*D17*3</f>
        <v>74.52000000000001</v>
      </c>
      <c r="AP17">
        <v>12.99</v>
      </c>
      <c r="AQ17">
        <v>10</v>
      </c>
      <c r="AR17">
        <f>AQ17*D17*3</f>
        <v>108</v>
      </c>
      <c r="AS17">
        <v>10.17</v>
      </c>
      <c r="AT17">
        <v>9</v>
      </c>
      <c r="AU17">
        <f>AT17*D17*3</f>
        <v>97.199999999999989</v>
      </c>
      <c r="AW17">
        <v>23.26</v>
      </c>
      <c r="AX17">
        <v>9.3000000000000007</v>
      </c>
      <c r="AY17">
        <f>AX17*D17*3</f>
        <v>100.44000000000001</v>
      </c>
      <c r="AZ17">
        <v>23.26</v>
      </c>
      <c r="BA17">
        <v>9</v>
      </c>
      <c r="BB17">
        <f>BA17*D17*3</f>
        <v>97.199999999999989</v>
      </c>
      <c r="BD17">
        <v>9</v>
      </c>
      <c r="BE17">
        <f>BD17*D17*3</f>
        <v>97.199999999999989</v>
      </c>
      <c r="BG17" s="10"/>
      <c r="BH17" s="1">
        <f>CHOOSE(MATCH(MIN(ABS(BP17-C17),ABS(BQ17-C17),ABS(BR17-C17)),CHOOSE({1;2;3},ABS(BP17-C17),ABS(BQ17-C17),ABS(BR17-C17)),0),BP17,BQ17,BR17)</f>
        <v>86.4</v>
      </c>
      <c r="BJ17" s="1" cm="1">
        <f t="array" ref="BJ17">(INDEX(_xlfn._xlws.SORT(CHOOSE({1;2;3;4;5;6},BQ17,BR17,L17,AE17,BO17,BP17)),3) + INDEX(_xlfn._xlws.SORT(CHOOSE({1;2;3;4;5;6},BQ17,BR17,L17,AE17,BO17,BP17)),4))/2</f>
        <v>93.960000000000008</v>
      </c>
      <c r="BK17">
        <v>8.1555088938221001</v>
      </c>
      <c r="BL17" t="s">
        <v>6117</v>
      </c>
      <c r="BM17" s="1">
        <f>BK17*3*D17</f>
        <v>88.079496053278675</v>
      </c>
      <c r="BN17" s="1">
        <f>BM17-C17</f>
        <v>-0.12050394672132825</v>
      </c>
      <c r="BO17" s="1">
        <f>GK17*3*D17</f>
        <v>98.279999999999987</v>
      </c>
      <c r="BP17" s="1">
        <f>DO17*3*D17</f>
        <v>97.2</v>
      </c>
      <c r="BQ17" s="1">
        <f>FJ17*3*D17</f>
        <v>86.4</v>
      </c>
      <c r="BR17" s="1">
        <f>GL17*3*D17</f>
        <v>108</v>
      </c>
      <c r="BT17">
        <v>38.67</v>
      </c>
      <c r="BU17">
        <v>8</v>
      </c>
      <c r="BV17" t="s">
        <v>5046</v>
      </c>
      <c r="BW17" t="s">
        <v>5047</v>
      </c>
      <c r="BX17" t="s">
        <v>5048</v>
      </c>
      <c r="BY17" t="s">
        <v>5049</v>
      </c>
      <c r="BZ17" t="s">
        <v>5050</v>
      </c>
      <c r="CA17" t="s">
        <v>2452</v>
      </c>
      <c r="CC17" t="s">
        <v>2585</v>
      </c>
      <c r="CD17" t="s">
        <v>2453</v>
      </c>
      <c r="CE17" t="s">
        <v>2586</v>
      </c>
      <c r="CG17" t="s">
        <v>2441</v>
      </c>
      <c r="CH17" t="s">
        <v>2587</v>
      </c>
      <c r="CI17" t="s">
        <v>2567</v>
      </c>
      <c r="CK17" t="s">
        <v>2444</v>
      </c>
      <c r="CL17" t="s">
        <v>2588</v>
      </c>
      <c r="CM17" t="s">
        <v>2589</v>
      </c>
      <c r="CO17" t="s">
        <v>2447</v>
      </c>
      <c r="CP17" t="s">
        <v>2590</v>
      </c>
      <c r="CQ17" t="s">
        <v>2591</v>
      </c>
      <c r="CS17" t="s">
        <v>2450</v>
      </c>
      <c r="CT17" t="s">
        <v>2592</v>
      </c>
      <c r="CV17">
        <v>9</v>
      </c>
      <c r="CW17">
        <v>9</v>
      </c>
      <c r="CX17">
        <v>9</v>
      </c>
      <c r="CY17">
        <v>9</v>
      </c>
      <c r="CZ17">
        <v>9</v>
      </c>
      <c r="DA17">
        <v>0.1</v>
      </c>
      <c r="DB17">
        <v>0.1</v>
      </c>
      <c r="DC17">
        <v>0.2</v>
      </c>
      <c r="DD17">
        <v>0.3</v>
      </c>
      <c r="DE17">
        <v>0.3</v>
      </c>
      <c r="DF17">
        <v>0.9</v>
      </c>
      <c r="DG17">
        <v>0.9</v>
      </c>
      <c r="DH17">
        <v>1.8</v>
      </c>
      <c r="DI17">
        <v>2.7</v>
      </c>
      <c r="DJ17">
        <v>2.7</v>
      </c>
      <c r="DK17">
        <v>8</v>
      </c>
      <c r="DL17">
        <v>0</v>
      </c>
      <c r="DM17">
        <v>8</v>
      </c>
      <c r="DN17">
        <v>8.4</v>
      </c>
      <c r="DO17">
        <f>AVERAGE(CV17:CZ17)</f>
        <v>9</v>
      </c>
      <c r="DQ17">
        <v>8</v>
      </c>
      <c r="DR17" t="s">
        <v>33</v>
      </c>
      <c r="DS17" t="s">
        <v>82</v>
      </c>
      <c r="DT17" t="s">
        <v>83</v>
      </c>
      <c r="DU17" t="s">
        <v>84</v>
      </c>
      <c r="DV17" t="s">
        <v>85</v>
      </c>
      <c r="DW17" t="s">
        <v>3788</v>
      </c>
      <c r="DX17" t="s">
        <v>3789</v>
      </c>
      <c r="DY17" t="s">
        <v>3790</v>
      </c>
      <c r="DZ17" t="s">
        <v>3933</v>
      </c>
      <c r="EA17" t="s">
        <v>3934</v>
      </c>
      <c r="EB17" t="s">
        <v>3793</v>
      </c>
      <c r="EC17" t="s">
        <v>3935</v>
      </c>
      <c r="ED17" t="s">
        <v>3936</v>
      </c>
      <c r="EE17" t="s">
        <v>3937</v>
      </c>
      <c r="EF17" t="s">
        <v>3797</v>
      </c>
      <c r="EG17" t="s">
        <v>3938</v>
      </c>
      <c r="EH17" t="s">
        <v>3939</v>
      </c>
      <c r="EI17" t="s">
        <v>3940</v>
      </c>
      <c r="EJ17" t="s">
        <v>3800</v>
      </c>
      <c r="EK17" t="s">
        <v>3941</v>
      </c>
      <c r="EL17" t="s">
        <v>3942</v>
      </c>
      <c r="EM17" t="s">
        <v>3943</v>
      </c>
      <c r="EN17" t="s">
        <v>3803</v>
      </c>
      <c r="EO17" t="s">
        <v>3944</v>
      </c>
      <c r="EP17" t="s">
        <v>3945</v>
      </c>
      <c r="EQ17">
        <v>8</v>
      </c>
      <c r="ER17">
        <v>8</v>
      </c>
      <c r="ES17">
        <v>8</v>
      </c>
      <c r="ET17">
        <v>8</v>
      </c>
      <c r="EU17">
        <v>8</v>
      </c>
      <c r="EV17">
        <v>0.1</v>
      </c>
      <c r="EW17">
        <v>0.1</v>
      </c>
      <c r="EX17">
        <v>0.2</v>
      </c>
      <c r="EY17">
        <v>0.3</v>
      </c>
      <c r="EZ17">
        <v>0.3</v>
      </c>
      <c r="FA17">
        <f>EV17*EQ17</f>
        <v>0.8</v>
      </c>
      <c r="FB17">
        <f>EW17*ER17</f>
        <v>0.8</v>
      </c>
      <c r="FC17">
        <f>EX17*ES17</f>
        <v>1.6</v>
      </c>
      <c r="FD17">
        <f>EY17*ET17</f>
        <v>2.4</v>
      </c>
      <c r="FE17">
        <f>EZ17*EU17</f>
        <v>2.4</v>
      </c>
      <c r="FF17">
        <v>16</v>
      </c>
      <c r="FG17">
        <v>0</v>
      </c>
      <c r="FH17">
        <v>8</v>
      </c>
      <c r="FI17">
        <f>FA17+FB17+FC17+FD17+FE17</f>
        <v>8</v>
      </c>
      <c r="FJ17">
        <f>MEDIAN(EQ17:EU17)</f>
        <v>8</v>
      </c>
      <c r="FL17">
        <v>65.790000000000006</v>
      </c>
      <c r="FM17">
        <v>9.1</v>
      </c>
      <c r="FN17" t="s">
        <v>677</v>
      </c>
      <c r="FO17" t="s">
        <v>678</v>
      </c>
      <c r="FQ17" t="s">
        <v>679</v>
      </c>
      <c r="FR17" t="s">
        <v>680</v>
      </c>
      <c r="FS17">
        <v>10</v>
      </c>
      <c r="FT17">
        <v>10</v>
      </c>
      <c r="FU17">
        <v>10</v>
      </c>
      <c r="FV17">
        <v>8</v>
      </c>
      <c r="FW17">
        <v>9</v>
      </c>
      <c r="FX17">
        <v>0.1</v>
      </c>
      <c r="FY17">
        <v>0.1</v>
      </c>
      <c r="FZ17">
        <v>0.2</v>
      </c>
      <c r="GA17">
        <v>0.3</v>
      </c>
      <c r="GB17">
        <v>0.3</v>
      </c>
      <c r="GC17">
        <f>FS17*FX17</f>
        <v>1</v>
      </c>
      <c r="GD17">
        <f>FT17*FY17</f>
        <v>1</v>
      </c>
      <c r="GE17">
        <f>FU17*FZ17</f>
        <v>2</v>
      </c>
      <c r="GF17">
        <f>FV17*GA17</f>
        <v>2.4</v>
      </c>
      <c r="GG17">
        <f>FW17*GB17</f>
        <v>2.6999999999999997</v>
      </c>
      <c r="GH17">
        <v>9.1</v>
      </c>
      <c r="GI17">
        <v>0</v>
      </c>
      <c r="GJ17">
        <v>9.1</v>
      </c>
      <c r="GK17">
        <f>GC17+GD17+GE17+GF17+GG17</f>
        <v>9.1</v>
      </c>
      <c r="GL17">
        <f>MEDIAN(FS17:FW17)</f>
        <v>10</v>
      </c>
    </row>
    <row r="18" spans="1:194" x14ac:dyDescent="0.25">
      <c r="A18">
        <v>72</v>
      </c>
      <c r="B18" t="s">
        <v>2</v>
      </c>
      <c r="C18" s="4">
        <v>100.8</v>
      </c>
      <c r="D18">
        <v>3.6</v>
      </c>
      <c r="E18" s="1">
        <f>C18/3/D18</f>
        <v>9.3333333333333339</v>
      </c>
      <c r="G18">
        <v>34.020000000000003</v>
      </c>
      <c r="H18">
        <v>8.6999999999999993</v>
      </c>
      <c r="I18">
        <f>H18*D18*3</f>
        <v>93.96</v>
      </c>
      <c r="J18">
        <v>16.670000000000002</v>
      </c>
      <c r="K18">
        <v>8.4</v>
      </c>
      <c r="L18" s="3">
        <f>K18*3*D18</f>
        <v>90.720000000000013</v>
      </c>
      <c r="M18">
        <v>4.66</v>
      </c>
      <c r="N18">
        <v>6.5</v>
      </c>
      <c r="O18">
        <f>N18*D18*3</f>
        <v>70.2</v>
      </c>
      <c r="P18" s="5">
        <v>7</v>
      </c>
      <c r="Q18" s="5">
        <f>P18*D18*3</f>
        <v>75.599999999999994</v>
      </c>
      <c r="S18" t="s">
        <v>6209</v>
      </c>
      <c r="T18">
        <v>5.7</v>
      </c>
      <c r="U18" s="8">
        <f>T18*D18*3</f>
        <v>61.56</v>
      </c>
      <c r="V18">
        <v>33.31</v>
      </c>
      <c r="W18">
        <v>8</v>
      </c>
      <c r="X18" s="5">
        <f>W18*D18*3</f>
        <v>86.4</v>
      </c>
      <c r="Y18">
        <v>10.23</v>
      </c>
      <c r="Z18">
        <v>7.8</v>
      </c>
      <c r="AA18">
        <f>Z18*D18*3</f>
        <v>84.24</v>
      </c>
      <c r="AC18">
        <v>46.48</v>
      </c>
      <c r="AD18">
        <v>7.9</v>
      </c>
      <c r="AE18" s="1">
        <f>AD18*3*D18</f>
        <v>85.320000000000007</v>
      </c>
      <c r="AF18">
        <v>11.84</v>
      </c>
      <c r="AG18" s="5">
        <v>4</v>
      </c>
      <c r="AH18" s="5">
        <f>AG18*D18*3</f>
        <v>43.2</v>
      </c>
      <c r="AI18" s="13"/>
      <c r="AJ18">
        <v>2.7</v>
      </c>
      <c r="AK18" s="8">
        <f>AJ18*D18*3</f>
        <v>29.160000000000004</v>
      </c>
      <c r="AL18" s="13"/>
      <c r="AM18">
        <v>30.7</v>
      </c>
      <c r="AN18">
        <v>7</v>
      </c>
      <c r="AO18" s="8">
        <f>AN18*D18*3</f>
        <v>75.599999999999994</v>
      </c>
      <c r="AP18">
        <v>14.46</v>
      </c>
      <c r="AQ18">
        <v>9.5</v>
      </c>
      <c r="AR18">
        <f>AQ18*D18*3</f>
        <v>102.60000000000001</v>
      </c>
      <c r="AT18">
        <v>8.5</v>
      </c>
      <c r="AU18">
        <f>AT18*D18*3</f>
        <v>91.800000000000011</v>
      </c>
      <c r="AW18">
        <v>23.37</v>
      </c>
      <c r="AX18">
        <v>9.3000000000000007</v>
      </c>
      <c r="AY18">
        <f>AX18*D18*3</f>
        <v>100.44000000000001</v>
      </c>
      <c r="AZ18">
        <v>23.37</v>
      </c>
      <c r="BA18">
        <v>9.1</v>
      </c>
      <c r="BB18">
        <f>BA18*D18*3</f>
        <v>98.28</v>
      </c>
      <c r="BD18">
        <v>8.9</v>
      </c>
      <c r="BE18">
        <f>BD18*D18*3</f>
        <v>96.12</v>
      </c>
      <c r="BG18" s="10"/>
      <c r="BH18" s="1">
        <f>CHOOSE(MATCH(MIN(ABS(BP18-C18),ABS(BQ18-C18),ABS(BR18-C18)),CHOOSE({1;2;3},ABS(BP18-C18),ABS(BQ18-C18),ABS(BR18-C18)),0),BP18,BQ18,BR18)</f>
        <v>95.04</v>
      </c>
      <c r="BJ18" s="1" cm="1">
        <f t="array" ref="BJ18">(INDEX(_xlfn._xlws.SORT(CHOOSE({1;2;3;4;5;6},BQ18,BR18,L18,AE18,BO18,BP18)),3) + INDEX(_xlfn._xlws.SORT(CHOOSE({1;2;3;4;5;6},BQ18,BR18,L18,AE18,BO18,BP18)),4))/2</f>
        <v>85.860000000000014</v>
      </c>
      <c r="BK18">
        <v>7.9062632935337698</v>
      </c>
      <c r="BL18" s="11" t="s">
        <v>6116</v>
      </c>
      <c r="BM18" s="1">
        <f>BK18*3*D18</f>
        <v>85.387643570164713</v>
      </c>
      <c r="BN18" s="1">
        <f>BM18-C18</f>
        <v>-15.412356429835285</v>
      </c>
      <c r="BO18" s="1">
        <f>GK18*3*D18</f>
        <v>62.639999999999993</v>
      </c>
      <c r="BP18" s="1">
        <f>DO18*3*D18</f>
        <v>95.04</v>
      </c>
      <c r="BQ18" s="1">
        <f>FJ18*3*D18</f>
        <v>86.4</v>
      </c>
      <c r="BR18" s="1">
        <f>GL18*3*D18</f>
        <v>64.8</v>
      </c>
      <c r="BT18">
        <v>34.020000000000003</v>
      </c>
      <c r="BU18">
        <v>8.6999999999999993</v>
      </c>
      <c r="BV18" t="s">
        <v>5055</v>
      </c>
      <c r="BW18" t="s">
        <v>5082</v>
      </c>
      <c r="BX18" t="s">
        <v>5057</v>
      </c>
      <c r="BY18" t="s">
        <v>5256</v>
      </c>
      <c r="BZ18" t="s">
        <v>5091</v>
      </c>
      <c r="CA18" t="s">
        <v>2550</v>
      </c>
      <c r="CC18" t="s">
        <v>2634</v>
      </c>
      <c r="CD18" t="s">
        <v>2635</v>
      </c>
      <c r="CE18" t="s">
        <v>2553</v>
      </c>
      <c r="CG18" t="s">
        <v>2634</v>
      </c>
      <c r="CH18" t="s">
        <v>2773</v>
      </c>
      <c r="CI18" t="s">
        <v>2923</v>
      </c>
      <c r="CK18" t="s">
        <v>2634</v>
      </c>
      <c r="CL18" t="s">
        <v>2924</v>
      </c>
      <c r="CM18" t="s">
        <v>2704</v>
      </c>
      <c r="CO18" t="s">
        <v>2634</v>
      </c>
      <c r="CP18" t="s">
        <v>2925</v>
      </c>
      <c r="CQ18" t="s">
        <v>2926</v>
      </c>
      <c r="CR18" t="s">
        <v>2870</v>
      </c>
      <c r="CS18" t="s">
        <v>2871</v>
      </c>
      <c r="CT18" t="s">
        <v>2872</v>
      </c>
      <c r="CV18">
        <v>9</v>
      </c>
      <c r="CW18">
        <v>9</v>
      </c>
      <c r="CX18">
        <v>9</v>
      </c>
      <c r="CY18">
        <v>9</v>
      </c>
      <c r="CZ18">
        <v>8</v>
      </c>
      <c r="DA18">
        <v>0.1</v>
      </c>
      <c r="DB18">
        <v>0.1</v>
      </c>
      <c r="DC18">
        <v>0.2</v>
      </c>
      <c r="DD18">
        <v>0.3</v>
      </c>
      <c r="DE18">
        <v>0.3</v>
      </c>
      <c r="DF18">
        <v>0.9</v>
      </c>
      <c r="DG18">
        <v>0.9</v>
      </c>
      <c r="DH18">
        <v>1.8</v>
      </c>
      <c r="DI18">
        <v>2.7</v>
      </c>
      <c r="DJ18">
        <v>2.4</v>
      </c>
      <c r="DK18">
        <v>8.6999999999999993</v>
      </c>
      <c r="DL18">
        <v>0</v>
      </c>
      <c r="DM18">
        <v>8.6999999999999993</v>
      </c>
      <c r="DN18">
        <v>8.4</v>
      </c>
      <c r="DO18">
        <f>AVERAGE(CV18:CZ18)</f>
        <v>8.8000000000000007</v>
      </c>
      <c r="DQ18">
        <v>8</v>
      </c>
      <c r="DR18" t="s">
        <v>213</v>
      </c>
      <c r="DS18" t="s">
        <v>29</v>
      </c>
      <c r="DT18" t="s">
        <v>214</v>
      </c>
      <c r="DU18" t="s">
        <v>215</v>
      </c>
      <c r="DV18" t="s">
        <v>216</v>
      </c>
      <c r="DW18" t="s">
        <v>3836</v>
      </c>
      <c r="DX18" t="s">
        <v>3770</v>
      </c>
      <c r="DY18" t="s">
        <v>3771</v>
      </c>
      <c r="DZ18" t="s">
        <v>3772</v>
      </c>
      <c r="EA18" t="s">
        <v>3860</v>
      </c>
      <c r="EB18" t="s">
        <v>3807</v>
      </c>
      <c r="EC18" t="s">
        <v>3775</v>
      </c>
      <c r="ED18" t="s">
        <v>3776</v>
      </c>
      <c r="EE18" t="s">
        <v>3946</v>
      </c>
      <c r="EF18" t="s">
        <v>3809</v>
      </c>
      <c r="EG18" t="s">
        <v>3810</v>
      </c>
      <c r="EH18" t="s">
        <v>3811</v>
      </c>
      <c r="EI18" t="s">
        <v>3947</v>
      </c>
      <c r="EJ18" t="s">
        <v>3813</v>
      </c>
      <c r="EK18" t="s">
        <v>3948</v>
      </c>
      <c r="EL18" t="s">
        <v>3815</v>
      </c>
      <c r="EM18" t="s">
        <v>3949</v>
      </c>
      <c r="EN18" t="s">
        <v>3809</v>
      </c>
      <c r="EO18" t="s">
        <v>4252</v>
      </c>
      <c r="EP18" t="s">
        <v>3811</v>
      </c>
      <c r="EQ18">
        <v>7</v>
      </c>
      <c r="ER18">
        <v>8</v>
      </c>
      <c r="ES18">
        <v>8</v>
      </c>
      <c r="ET18">
        <v>8</v>
      </c>
      <c r="EU18">
        <v>8</v>
      </c>
      <c r="EV18">
        <v>0.1</v>
      </c>
      <c r="EW18">
        <v>0.1</v>
      </c>
      <c r="EX18">
        <v>0.2</v>
      </c>
      <c r="EY18">
        <v>0.3</v>
      </c>
      <c r="EZ18">
        <v>0.3</v>
      </c>
      <c r="FA18">
        <f>EV18*EQ18</f>
        <v>0.70000000000000007</v>
      </c>
      <c r="FB18">
        <f>EW18*ER18</f>
        <v>0.8</v>
      </c>
      <c r="FC18">
        <f>EX18*ES18</f>
        <v>1.6</v>
      </c>
      <c r="FD18">
        <f>EY18*ET18</f>
        <v>2.4</v>
      </c>
      <c r="FE18">
        <f>EZ18*EU18</f>
        <v>2.4</v>
      </c>
      <c r="FF18">
        <v>15</v>
      </c>
      <c r="FG18">
        <v>0</v>
      </c>
      <c r="FH18">
        <v>8</v>
      </c>
      <c r="FI18">
        <f>FA18+FB18+FC18+FD18+FE18</f>
        <v>7.9</v>
      </c>
      <c r="FJ18">
        <f>MEDIAN(EQ18:EU18)</f>
        <v>8</v>
      </c>
      <c r="FL18">
        <v>36.89</v>
      </c>
      <c r="FM18">
        <v>9.1</v>
      </c>
      <c r="FN18" t="s">
        <v>952</v>
      </c>
      <c r="FO18" t="s">
        <v>953</v>
      </c>
      <c r="FP18" t="s">
        <v>954</v>
      </c>
      <c r="FQ18" t="s">
        <v>955</v>
      </c>
      <c r="FR18" t="s">
        <v>956</v>
      </c>
      <c r="FS18">
        <v>5</v>
      </c>
      <c r="FT18">
        <v>8</v>
      </c>
      <c r="FU18">
        <v>6</v>
      </c>
      <c r="FV18">
        <v>7</v>
      </c>
      <c r="FW18">
        <v>4</v>
      </c>
      <c r="FX18">
        <v>0.1</v>
      </c>
      <c r="FY18">
        <v>0.1</v>
      </c>
      <c r="FZ18">
        <v>0.2</v>
      </c>
      <c r="GA18">
        <v>0.3</v>
      </c>
      <c r="GB18">
        <v>0.3</v>
      </c>
      <c r="GC18">
        <f>FS18*FX18</f>
        <v>0.5</v>
      </c>
      <c r="GD18">
        <f>FT18*FY18</f>
        <v>0.8</v>
      </c>
      <c r="GE18">
        <f>FU18*FZ18</f>
        <v>1.2000000000000002</v>
      </c>
      <c r="GF18">
        <f>FV18*GA18</f>
        <v>2.1</v>
      </c>
      <c r="GG18">
        <f>FW18*GB18</f>
        <v>1.2</v>
      </c>
      <c r="GH18">
        <v>9.6</v>
      </c>
      <c r="GI18">
        <v>-0.5</v>
      </c>
      <c r="GJ18">
        <v>9.1</v>
      </c>
      <c r="GK18">
        <f>GC18+GD18+GE18+GF18+GG18</f>
        <v>5.8</v>
      </c>
      <c r="GL18">
        <f>MEDIAN(FS18:FW18)</f>
        <v>6</v>
      </c>
    </row>
    <row r="19" spans="1:194" hidden="1" x14ac:dyDescent="0.25">
      <c r="A19">
        <v>18</v>
      </c>
      <c r="B19" t="s">
        <v>2</v>
      </c>
      <c r="C19" s="4">
        <v>75.2</v>
      </c>
      <c r="D19">
        <v>3.2</v>
      </c>
      <c r="E19" s="1">
        <f>C19/3/D19</f>
        <v>7.833333333333333</v>
      </c>
      <c r="G19">
        <v>36.64</v>
      </c>
      <c r="H19">
        <v>8</v>
      </c>
      <c r="I19">
        <f>H19*D19*3</f>
        <v>76.800000000000011</v>
      </c>
      <c r="J19">
        <v>17.28</v>
      </c>
      <c r="K19">
        <v>8.4</v>
      </c>
      <c r="L19" s="3">
        <f>K19*3*D19</f>
        <v>80.640000000000015</v>
      </c>
      <c r="M19">
        <v>7.6</v>
      </c>
      <c r="N19">
        <v>0</v>
      </c>
      <c r="O19">
        <f>N19*D19*3</f>
        <v>0</v>
      </c>
      <c r="P19" s="5">
        <v>8.6</v>
      </c>
      <c r="Q19" s="5">
        <f>P19*D19*3</f>
        <v>82.56</v>
      </c>
      <c r="S19" t="s">
        <v>6156</v>
      </c>
      <c r="T19">
        <v>5.3</v>
      </c>
      <c r="U19" s="8">
        <f>T19*D19*3</f>
        <v>50.88</v>
      </c>
      <c r="V19">
        <v>34.24</v>
      </c>
      <c r="W19">
        <v>8</v>
      </c>
      <c r="X19" s="5">
        <f>W19*D19*3</f>
        <v>76.800000000000011</v>
      </c>
      <c r="Y19">
        <v>11.99</v>
      </c>
      <c r="Z19">
        <v>7.5</v>
      </c>
      <c r="AA19">
        <f>Z19*D19*3</f>
        <v>72</v>
      </c>
      <c r="AC19">
        <v>47.89</v>
      </c>
      <c r="AD19">
        <v>8</v>
      </c>
      <c r="AE19" s="1">
        <f>AD19*3*D19</f>
        <v>76.800000000000011</v>
      </c>
      <c r="AF19">
        <v>12.02</v>
      </c>
      <c r="AG19" s="5">
        <v>7</v>
      </c>
      <c r="AH19" s="5">
        <f>AG19*D19*3</f>
        <v>67.2</v>
      </c>
      <c r="AI19" s="13"/>
      <c r="AJ19">
        <v>2.7</v>
      </c>
      <c r="AK19" s="8">
        <f>AJ19*D19*3</f>
        <v>25.92</v>
      </c>
      <c r="AL19" s="13"/>
      <c r="AM19">
        <v>31.41</v>
      </c>
      <c r="AN19">
        <v>7.2</v>
      </c>
      <c r="AO19" s="8">
        <f>AN19*D19*3</f>
        <v>69.12</v>
      </c>
      <c r="AP19">
        <v>15.12</v>
      </c>
      <c r="AQ19">
        <v>9.5</v>
      </c>
      <c r="AR19">
        <f>AQ19*D19*3</f>
        <v>91.2</v>
      </c>
      <c r="AS19">
        <v>10.39</v>
      </c>
      <c r="AT19">
        <v>8.6999999999999993</v>
      </c>
      <c r="AU19">
        <f>AT19*D19*3</f>
        <v>83.52</v>
      </c>
      <c r="AW19">
        <v>23.55</v>
      </c>
      <c r="AX19">
        <v>9.6</v>
      </c>
      <c r="AY19">
        <f>AX19*D19*3</f>
        <v>92.16</v>
      </c>
      <c r="AZ19">
        <v>23.55</v>
      </c>
      <c r="BA19">
        <v>8.6999999999999993</v>
      </c>
      <c r="BB19">
        <f>BA19*D19*3</f>
        <v>83.52</v>
      </c>
      <c r="BD19">
        <v>9</v>
      </c>
      <c r="BE19">
        <f>BD19*D19*3</f>
        <v>86.4</v>
      </c>
      <c r="BG19" s="10"/>
      <c r="BH19" s="1">
        <f>CHOOSE(MATCH(MIN(ABS(BP19-C19),ABS(BQ19-C19),ABS(BR19-C19)),CHOOSE({1;2;3},ABS(BP19-C19),ABS(BQ19-C19),ABS(BR19-C19)),0),BP19,BQ19,BR19)</f>
        <v>76.800000000000011</v>
      </c>
      <c r="BJ19" s="1" cm="1">
        <f t="array" ref="BJ19">(INDEX(_xlfn._xlws.SORT(CHOOSE({1;2;3;4;5;6},BQ19,BR19,L19,AE19,BO19,BP19)),3) + INDEX(_xlfn._xlws.SORT(CHOOSE({1;2;3;4;5;6},BQ19,BR19,L19,AE19,BO19,BP19)),4))/2</f>
        <v>79.920000000000016</v>
      </c>
      <c r="BK19">
        <v>7.8603961639038697</v>
      </c>
      <c r="BL19" t="s">
        <v>6117</v>
      </c>
      <c r="BM19" s="1">
        <f>BK19*3*D19</f>
        <v>75.459803173477141</v>
      </c>
      <c r="BN19" s="1">
        <f>BM19-C19</f>
        <v>0.25980317347713822</v>
      </c>
      <c r="BO19" s="1">
        <f>GK19*3*D19</f>
        <v>79.2</v>
      </c>
      <c r="BP19" s="1">
        <f>DO19*3*D19</f>
        <v>86.4</v>
      </c>
      <c r="BQ19" s="1">
        <f>FJ19*3*D19</f>
        <v>76.800000000000011</v>
      </c>
      <c r="BR19" s="1">
        <f>GL19*3*D19</f>
        <v>81.600000000000009</v>
      </c>
      <c r="BT19">
        <v>36.64</v>
      </c>
      <c r="BU19">
        <v>8</v>
      </c>
      <c r="BV19" t="s">
        <v>5055</v>
      </c>
      <c r="BW19" t="s">
        <v>5056</v>
      </c>
      <c r="BX19" t="s">
        <v>5057</v>
      </c>
      <c r="BY19" t="s">
        <v>5058</v>
      </c>
      <c r="BZ19" t="s">
        <v>5059</v>
      </c>
      <c r="CA19" t="s">
        <v>2437</v>
      </c>
      <c r="CC19" t="s">
        <v>2518</v>
      </c>
      <c r="CD19" t="s">
        <v>2508</v>
      </c>
      <c r="CE19" t="s">
        <v>2440</v>
      </c>
      <c r="CG19" t="s">
        <v>2599</v>
      </c>
      <c r="CH19" t="s">
        <v>2510</v>
      </c>
      <c r="CI19" t="s">
        <v>2443</v>
      </c>
      <c r="CK19" t="s">
        <v>2600</v>
      </c>
      <c r="CL19" t="s">
        <v>2512</v>
      </c>
      <c r="CM19" t="s">
        <v>2446</v>
      </c>
      <c r="CO19" t="s">
        <v>2601</v>
      </c>
      <c r="CP19" t="s">
        <v>2514</v>
      </c>
      <c r="CQ19" t="s">
        <v>2449</v>
      </c>
      <c r="CS19" t="s">
        <v>2602</v>
      </c>
      <c r="CT19" t="s">
        <v>2524</v>
      </c>
      <c r="CV19">
        <v>9</v>
      </c>
      <c r="CW19">
        <v>9</v>
      </c>
      <c r="CX19">
        <v>9</v>
      </c>
      <c r="CY19">
        <v>9</v>
      </c>
      <c r="CZ19">
        <v>9</v>
      </c>
      <c r="DA19">
        <v>0.1</v>
      </c>
      <c r="DB19">
        <v>0.1</v>
      </c>
      <c r="DC19">
        <v>0.2</v>
      </c>
      <c r="DD19">
        <v>0.3</v>
      </c>
      <c r="DE19">
        <v>0.3</v>
      </c>
      <c r="DF19">
        <v>0.9</v>
      </c>
      <c r="DG19">
        <v>0.9</v>
      </c>
      <c r="DH19">
        <v>1.8</v>
      </c>
      <c r="DI19">
        <v>2.7</v>
      </c>
      <c r="DJ19">
        <v>2.7</v>
      </c>
      <c r="DK19">
        <v>8</v>
      </c>
      <c r="DL19">
        <v>0</v>
      </c>
      <c r="DM19">
        <v>8</v>
      </c>
      <c r="DN19">
        <v>8.4</v>
      </c>
      <c r="DO19">
        <f>AVERAGE(CV19:CZ19)</f>
        <v>9</v>
      </c>
      <c r="DQ19">
        <v>8</v>
      </c>
      <c r="DR19" t="s">
        <v>33</v>
      </c>
      <c r="DS19" t="s">
        <v>86</v>
      </c>
      <c r="DT19" t="s">
        <v>87</v>
      </c>
      <c r="DU19" t="s">
        <v>88</v>
      </c>
      <c r="DV19" t="s">
        <v>89</v>
      </c>
      <c r="DW19" t="s">
        <v>3788</v>
      </c>
      <c r="DX19" t="s">
        <v>3789</v>
      </c>
      <c r="DY19" t="s">
        <v>3790</v>
      </c>
      <c r="DZ19" t="s">
        <v>3951</v>
      </c>
      <c r="EA19" t="s">
        <v>3952</v>
      </c>
      <c r="EB19" t="s">
        <v>3953</v>
      </c>
      <c r="EC19" t="s">
        <v>3954</v>
      </c>
      <c r="ED19" t="s">
        <v>3955</v>
      </c>
      <c r="EE19" t="s">
        <v>3956</v>
      </c>
      <c r="EF19" t="s">
        <v>3844</v>
      </c>
      <c r="EG19" t="s">
        <v>3957</v>
      </c>
      <c r="EH19" t="s">
        <v>3958</v>
      </c>
      <c r="EI19" t="s">
        <v>3959</v>
      </c>
      <c r="EJ19" t="s">
        <v>3848</v>
      </c>
      <c r="EK19" t="s">
        <v>3960</v>
      </c>
      <c r="EL19" t="s">
        <v>3958</v>
      </c>
      <c r="EM19" t="s">
        <v>3961</v>
      </c>
      <c r="EN19" t="s">
        <v>3852</v>
      </c>
      <c r="EO19" t="s">
        <v>3962</v>
      </c>
      <c r="EP19" t="s">
        <v>3958</v>
      </c>
      <c r="EQ19">
        <v>8</v>
      </c>
      <c r="ER19">
        <v>8</v>
      </c>
      <c r="ES19">
        <v>8</v>
      </c>
      <c r="ET19">
        <v>8</v>
      </c>
      <c r="EU19">
        <v>8</v>
      </c>
      <c r="EV19">
        <v>0.1</v>
      </c>
      <c r="EW19">
        <v>0.1</v>
      </c>
      <c r="EX19">
        <v>0.2</v>
      </c>
      <c r="EY19">
        <v>0.3</v>
      </c>
      <c r="EZ19">
        <v>0.3</v>
      </c>
      <c r="FA19">
        <f>EV19*EQ19</f>
        <v>0.8</v>
      </c>
      <c r="FB19">
        <f>EW19*ER19</f>
        <v>0.8</v>
      </c>
      <c r="FC19">
        <f>EX19*ES19</f>
        <v>1.6</v>
      </c>
      <c r="FD19">
        <f>EY19*ET19</f>
        <v>2.4</v>
      </c>
      <c r="FE19">
        <f>EZ19*EU19</f>
        <v>2.4</v>
      </c>
      <c r="FF19">
        <v>16</v>
      </c>
      <c r="FG19">
        <v>0</v>
      </c>
      <c r="FH19">
        <v>8</v>
      </c>
      <c r="FI19">
        <f>FA19+FB19+FC19+FD19+FE19</f>
        <v>8</v>
      </c>
      <c r="FJ19">
        <f>MEDIAN(EQ19:EU19)</f>
        <v>8</v>
      </c>
      <c r="FL19">
        <v>40.619999999999997</v>
      </c>
      <c r="FM19">
        <v>6.45</v>
      </c>
      <c r="FN19" t="s">
        <v>686</v>
      </c>
      <c r="FO19" t="s">
        <v>687</v>
      </c>
      <c r="FP19" t="s">
        <v>688</v>
      </c>
      <c r="FQ19" t="s">
        <v>689</v>
      </c>
      <c r="FR19" t="s">
        <v>690</v>
      </c>
      <c r="FS19">
        <v>7</v>
      </c>
      <c r="FT19">
        <v>9</v>
      </c>
      <c r="FU19">
        <v>8.5</v>
      </c>
      <c r="FV19">
        <v>9</v>
      </c>
      <c r="FW19">
        <v>7.5</v>
      </c>
      <c r="FX19">
        <v>0.1</v>
      </c>
      <c r="FY19">
        <v>0.1</v>
      </c>
      <c r="FZ19">
        <v>0.2</v>
      </c>
      <c r="GA19">
        <v>0.3</v>
      </c>
      <c r="GB19">
        <v>0.3</v>
      </c>
      <c r="GC19">
        <f>FS19*FX19</f>
        <v>0.70000000000000007</v>
      </c>
      <c r="GD19">
        <f>FT19*FY19</f>
        <v>0.9</v>
      </c>
      <c r="GE19">
        <f>FU19*FZ19</f>
        <v>1.7000000000000002</v>
      </c>
      <c r="GF19">
        <f>FV19*GA19</f>
        <v>2.6999999999999997</v>
      </c>
      <c r="GG19">
        <f>FW19*GB19</f>
        <v>2.25</v>
      </c>
      <c r="GH19">
        <v>6.45</v>
      </c>
      <c r="GI19">
        <v>0</v>
      </c>
      <c r="GJ19">
        <v>6.45</v>
      </c>
      <c r="GK19">
        <f>GC19+GD19+GE19+GF19+GG19</f>
        <v>8.25</v>
      </c>
      <c r="GL19">
        <f>MEDIAN(FS19:FW19)</f>
        <v>8.5</v>
      </c>
    </row>
    <row r="20" spans="1:194" hidden="1" x14ac:dyDescent="0.25">
      <c r="A20">
        <v>19</v>
      </c>
      <c r="B20" t="s">
        <v>2</v>
      </c>
      <c r="C20" s="4">
        <v>92.5</v>
      </c>
      <c r="D20">
        <v>3.7</v>
      </c>
      <c r="E20" s="1">
        <f>C20/3/D20</f>
        <v>8.3333333333333321</v>
      </c>
      <c r="G20">
        <v>78.510000000000005</v>
      </c>
      <c r="H20">
        <v>8.85</v>
      </c>
      <c r="I20">
        <f>H20*D20*3</f>
        <v>98.234999999999985</v>
      </c>
      <c r="J20">
        <v>18.98</v>
      </c>
      <c r="K20">
        <v>8.4</v>
      </c>
      <c r="L20" s="3">
        <f>K20*3*D20</f>
        <v>93.240000000000009</v>
      </c>
      <c r="M20">
        <v>3.88</v>
      </c>
      <c r="N20">
        <v>8</v>
      </c>
      <c r="O20">
        <f>N20*D20*3</f>
        <v>88.800000000000011</v>
      </c>
      <c r="P20" s="5">
        <v>8.1999999999999993</v>
      </c>
      <c r="Q20" s="5">
        <f>P20*D20*3</f>
        <v>91.02</v>
      </c>
      <c r="S20" t="s">
        <v>6157</v>
      </c>
      <c r="T20">
        <v>6.2</v>
      </c>
      <c r="U20" s="8">
        <f>T20*D20*3</f>
        <v>68.820000000000007</v>
      </c>
      <c r="V20">
        <v>36.119999999999997</v>
      </c>
      <c r="W20">
        <v>8.4</v>
      </c>
      <c r="X20" s="5">
        <f>W20*D20*3</f>
        <v>93.240000000000009</v>
      </c>
      <c r="Y20">
        <v>9.5500000000000007</v>
      </c>
      <c r="Z20">
        <v>6</v>
      </c>
      <c r="AA20">
        <f>Z20*D20*3</f>
        <v>66.600000000000009</v>
      </c>
      <c r="AC20">
        <v>51.92</v>
      </c>
      <c r="AD20">
        <v>7.1</v>
      </c>
      <c r="AE20" s="1">
        <f>AD20*3*D20</f>
        <v>78.809999999999988</v>
      </c>
      <c r="AF20">
        <v>11.96</v>
      </c>
      <c r="AG20" s="5">
        <v>7</v>
      </c>
      <c r="AH20" s="5">
        <f>AG20*D20*3</f>
        <v>77.7</v>
      </c>
      <c r="AI20" s="13"/>
      <c r="AJ20">
        <v>8.1</v>
      </c>
      <c r="AK20" s="8">
        <f>AJ20*D20*3</f>
        <v>89.91</v>
      </c>
      <c r="AL20" s="13"/>
      <c r="AM20">
        <v>30.51</v>
      </c>
      <c r="AN20">
        <v>7.2</v>
      </c>
      <c r="AO20" s="8">
        <f>AN20*D20*3</f>
        <v>79.92</v>
      </c>
      <c r="AP20">
        <v>14.7</v>
      </c>
      <c r="AQ20">
        <v>10</v>
      </c>
      <c r="AR20">
        <f>AQ20*D20*3</f>
        <v>111</v>
      </c>
      <c r="AS20">
        <v>10.38</v>
      </c>
      <c r="AT20">
        <v>9</v>
      </c>
      <c r="AU20">
        <f>AT20*D20*3</f>
        <v>99.9</v>
      </c>
      <c r="AW20">
        <v>23.72</v>
      </c>
      <c r="AX20">
        <v>9</v>
      </c>
      <c r="AY20">
        <f>AX20*D20*3</f>
        <v>99.9</v>
      </c>
      <c r="AZ20">
        <v>23.72</v>
      </c>
      <c r="BA20">
        <v>8.6999999999999993</v>
      </c>
      <c r="BB20">
        <f>BA20*D20*3</f>
        <v>96.57</v>
      </c>
      <c r="BD20">
        <v>8.9</v>
      </c>
      <c r="BE20">
        <f>BD20*D20*3</f>
        <v>98.789999999999992</v>
      </c>
      <c r="BG20" s="10"/>
      <c r="BH20" s="1">
        <f>CHOOSE(MATCH(MIN(ABS(BP20-C20),ABS(BQ20-C20),ABS(BR20-C20)),CHOOSE({1;2;3},ABS(BP20-C20),ABS(BQ20-C20),ABS(BR20-C20)),0),BP20,BQ20,BR20)</f>
        <v>98.79000000000002</v>
      </c>
      <c r="BJ20" s="1" cm="1">
        <f t="array" ref="BJ20">(INDEX(_xlfn._xlws.SORT(CHOOSE({1;2;3;4;5;6},BQ20,BR20,L20,AE20,BO20,BP20)),3) + INDEX(_xlfn._xlws.SORT(CHOOSE({1;2;3;4;5;6},BQ20,BR20,L20,AE20,BO20,BP20)),4))/2</f>
        <v>94.627500000000012</v>
      </c>
      <c r="BK20">
        <v>8.3318179857558192</v>
      </c>
      <c r="BL20" t="s">
        <v>6117</v>
      </c>
      <c r="BM20" s="1">
        <f>BK20*3*D20</f>
        <v>92.483179641889592</v>
      </c>
      <c r="BN20" s="1">
        <f>BM20-C20</f>
        <v>-1.6820358110408051E-2</v>
      </c>
      <c r="BO20" s="1">
        <f>GK20*3*D20</f>
        <v>96.015000000000015</v>
      </c>
      <c r="BP20" s="1">
        <f>DO20*3*D20</f>
        <v>98.79000000000002</v>
      </c>
      <c r="BQ20" s="1">
        <f>FJ20*3*D20</f>
        <v>77.7</v>
      </c>
      <c r="BR20" s="1">
        <f>GL20*3*D20</f>
        <v>99.9</v>
      </c>
      <c r="BT20">
        <v>78.510000000000005</v>
      </c>
      <c r="BU20">
        <v>8.85</v>
      </c>
      <c r="BV20" t="s">
        <v>5028</v>
      </c>
      <c r="BW20" t="s">
        <v>5047</v>
      </c>
      <c r="BX20" t="s">
        <v>5052</v>
      </c>
      <c r="BY20" t="s">
        <v>5053</v>
      </c>
      <c r="BZ20" t="s">
        <v>5054</v>
      </c>
      <c r="CA20" t="s">
        <v>2550</v>
      </c>
      <c r="CC20" t="s">
        <v>2481</v>
      </c>
      <c r="CD20" t="s">
        <v>2481</v>
      </c>
      <c r="CE20" t="s">
        <v>2603</v>
      </c>
      <c r="CG20" t="s">
        <v>2472</v>
      </c>
      <c r="CH20" t="s">
        <v>2472</v>
      </c>
      <c r="CI20" t="s">
        <v>2604</v>
      </c>
      <c r="CK20" t="s">
        <v>2605</v>
      </c>
      <c r="CL20" t="s">
        <v>2605</v>
      </c>
      <c r="CM20" t="s">
        <v>2595</v>
      </c>
      <c r="CO20" t="s">
        <v>2606</v>
      </c>
      <c r="CP20" t="s">
        <v>2606</v>
      </c>
      <c r="CQ20" t="s">
        <v>2607</v>
      </c>
      <c r="CR20" t="s">
        <v>2478</v>
      </c>
      <c r="CS20" t="s">
        <v>2608</v>
      </c>
      <c r="CT20" t="s">
        <v>2608</v>
      </c>
      <c r="CV20">
        <v>9</v>
      </c>
      <c r="CW20">
        <v>9</v>
      </c>
      <c r="CX20">
        <v>9</v>
      </c>
      <c r="CY20">
        <v>9</v>
      </c>
      <c r="CZ20">
        <v>8.5</v>
      </c>
      <c r="DA20">
        <v>0.1</v>
      </c>
      <c r="DB20">
        <v>0.1</v>
      </c>
      <c r="DC20">
        <v>0.2</v>
      </c>
      <c r="DD20">
        <v>0.3</v>
      </c>
      <c r="DE20">
        <v>0.3</v>
      </c>
      <c r="DF20">
        <v>0.9</v>
      </c>
      <c r="DG20">
        <v>0.9</v>
      </c>
      <c r="DH20">
        <v>1.8</v>
      </c>
      <c r="DI20">
        <v>2.7</v>
      </c>
      <c r="DJ20">
        <v>2.5499999999999998</v>
      </c>
      <c r="DK20">
        <v>8.85</v>
      </c>
      <c r="DL20">
        <v>0</v>
      </c>
      <c r="DM20">
        <v>8.85</v>
      </c>
      <c r="DN20">
        <v>8.4</v>
      </c>
      <c r="DO20">
        <f>AVERAGE(CV20:CZ20)</f>
        <v>8.9</v>
      </c>
      <c r="DQ20">
        <v>14</v>
      </c>
      <c r="DR20" t="s">
        <v>28</v>
      </c>
      <c r="DS20" t="s">
        <v>61</v>
      </c>
      <c r="DT20" t="s">
        <v>90</v>
      </c>
      <c r="DU20" t="s">
        <v>91</v>
      </c>
      <c r="DV20" t="s">
        <v>92</v>
      </c>
      <c r="DW20" t="s">
        <v>3769</v>
      </c>
      <c r="DX20" t="s">
        <v>3770</v>
      </c>
      <c r="DY20" t="s">
        <v>3963</v>
      </c>
      <c r="DZ20" t="s">
        <v>3963</v>
      </c>
      <c r="EA20" t="s">
        <v>3860</v>
      </c>
      <c r="EB20" t="s">
        <v>3964</v>
      </c>
      <c r="EC20" t="s">
        <v>3965</v>
      </c>
      <c r="ED20" t="s">
        <v>3965</v>
      </c>
      <c r="EE20" t="s">
        <v>3966</v>
      </c>
      <c r="EF20" t="s">
        <v>3967</v>
      </c>
      <c r="EG20" t="s">
        <v>3968</v>
      </c>
      <c r="EH20" t="s">
        <v>3968</v>
      </c>
      <c r="EI20" t="s">
        <v>3246</v>
      </c>
      <c r="EJ20" t="s">
        <v>3969</v>
      </c>
      <c r="EK20" t="s">
        <v>3970</v>
      </c>
      <c r="EL20" t="s">
        <v>3970</v>
      </c>
      <c r="EM20" t="s">
        <v>3971</v>
      </c>
      <c r="EN20" t="s">
        <v>3972</v>
      </c>
      <c r="EO20" t="s">
        <v>3973</v>
      </c>
      <c r="EP20" t="s">
        <v>3973</v>
      </c>
      <c r="EQ20">
        <v>7</v>
      </c>
      <c r="ER20">
        <v>8</v>
      </c>
      <c r="ES20">
        <v>7</v>
      </c>
      <c r="ET20">
        <v>7</v>
      </c>
      <c r="EU20">
        <v>7</v>
      </c>
      <c r="EV20">
        <v>0.1</v>
      </c>
      <c r="EW20">
        <v>0.1</v>
      </c>
      <c r="EX20">
        <v>0.2</v>
      </c>
      <c r="EY20">
        <v>0.3</v>
      </c>
      <c r="EZ20">
        <v>0.3</v>
      </c>
      <c r="FA20">
        <f>EV20*EQ20</f>
        <v>0.70000000000000007</v>
      </c>
      <c r="FB20">
        <f>EW20*ER20</f>
        <v>0.8</v>
      </c>
      <c r="FC20">
        <f>EX20*ES20</f>
        <v>1.4000000000000001</v>
      </c>
      <c r="FD20">
        <f>EY20*ET20</f>
        <v>2.1</v>
      </c>
      <c r="FE20">
        <f>EZ20*EU20</f>
        <v>2.1</v>
      </c>
      <c r="FF20">
        <v>14</v>
      </c>
      <c r="FG20">
        <v>0</v>
      </c>
      <c r="FH20">
        <v>14</v>
      </c>
      <c r="FI20">
        <f>FA20+FB20+FC20+FD20+FE20</f>
        <v>7.1</v>
      </c>
      <c r="FJ20">
        <f>MEDIAN(EQ20:EU20)</f>
        <v>7</v>
      </c>
      <c r="FL20">
        <v>74.78</v>
      </c>
      <c r="FM20">
        <v>7.9</v>
      </c>
      <c r="FN20" t="s">
        <v>691</v>
      </c>
      <c r="FO20" t="s">
        <v>692</v>
      </c>
      <c r="FP20" t="s">
        <v>693</v>
      </c>
      <c r="FQ20" t="s">
        <v>694</v>
      </c>
      <c r="FR20" t="s">
        <v>695</v>
      </c>
      <c r="FS20">
        <v>10</v>
      </c>
      <c r="FT20">
        <v>10</v>
      </c>
      <c r="FU20">
        <v>8.5</v>
      </c>
      <c r="FV20">
        <v>9</v>
      </c>
      <c r="FW20">
        <v>7.5</v>
      </c>
      <c r="FX20">
        <v>0.1</v>
      </c>
      <c r="FY20">
        <v>0.1</v>
      </c>
      <c r="FZ20">
        <v>0.2</v>
      </c>
      <c r="GA20">
        <v>0.3</v>
      </c>
      <c r="GB20">
        <v>0.3</v>
      </c>
      <c r="GC20">
        <f>FS20*FX20</f>
        <v>1</v>
      </c>
      <c r="GD20">
        <f>FT20*FY20</f>
        <v>1</v>
      </c>
      <c r="GE20">
        <f>FU20*FZ20</f>
        <v>1.7000000000000002</v>
      </c>
      <c r="GF20">
        <f>FV20*GA20</f>
        <v>2.6999999999999997</v>
      </c>
      <c r="GG20">
        <f>FW20*GB20</f>
        <v>2.25</v>
      </c>
      <c r="GH20">
        <v>8.4499999999999993</v>
      </c>
      <c r="GI20">
        <v>-0.5</v>
      </c>
      <c r="GJ20">
        <v>7.9</v>
      </c>
      <c r="GK20">
        <f>GC20+GD20+GE20+GF20+GG20</f>
        <v>8.65</v>
      </c>
      <c r="GL20">
        <f>MEDIAN(FS20:FW20)</f>
        <v>9</v>
      </c>
    </row>
    <row r="21" spans="1:194" hidden="1" x14ac:dyDescent="0.25">
      <c r="A21">
        <v>20</v>
      </c>
      <c r="B21" t="s">
        <v>2</v>
      </c>
      <c r="C21" s="4">
        <v>86.4</v>
      </c>
      <c r="D21">
        <v>3.2</v>
      </c>
      <c r="E21" s="1">
        <f>C21/3/D21</f>
        <v>9</v>
      </c>
      <c r="G21">
        <v>39.19</v>
      </c>
      <c r="H21">
        <v>8</v>
      </c>
      <c r="I21">
        <f>H21*D21*3</f>
        <v>76.800000000000011</v>
      </c>
      <c r="J21">
        <v>16.600000000000001</v>
      </c>
      <c r="K21">
        <v>9</v>
      </c>
      <c r="L21" s="3">
        <f>K21*3*D21</f>
        <v>86.4</v>
      </c>
      <c r="M21">
        <v>4.7</v>
      </c>
      <c r="N21">
        <v>5.7</v>
      </c>
      <c r="O21">
        <f>N21*D21*3</f>
        <v>54.720000000000006</v>
      </c>
      <c r="P21" s="5">
        <v>8.9</v>
      </c>
      <c r="Q21" s="5">
        <f>P21*D21*3</f>
        <v>85.440000000000012</v>
      </c>
      <c r="S21" t="s">
        <v>6158</v>
      </c>
      <c r="T21">
        <v>7</v>
      </c>
      <c r="U21" s="8">
        <f>T21*D21*3</f>
        <v>67.2</v>
      </c>
      <c r="V21">
        <v>33.5</v>
      </c>
      <c r="W21">
        <v>8</v>
      </c>
      <c r="X21" s="5">
        <f>W21*D21*3</f>
        <v>76.800000000000011</v>
      </c>
      <c r="Y21">
        <v>9.84</v>
      </c>
      <c r="Z21">
        <v>7.5</v>
      </c>
      <c r="AA21">
        <f>Z21*D21*3</f>
        <v>72</v>
      </c>
      <c r="AC21">
        <v>44.61</v>
      </c>
      <c r="AD21">
        <v>8</v>
      </c>
      <c r="AE21" s="1">
        <f>AD21*3*D21</f>
        <v>76.800000000000011</v>
      </c>
      <c r="AF21">
        <v>11.83</v>
      </c>
      <c r="AG21" s="5">
        <v>7</v>
      </c>
      <c r="AH21" s="5">
        <f>AG21*D21*3</f>
        <v>67.2</v>
      </c>
      <c r="AI21" s="13"/>
      <c r="AK21" s="8">
        <f>AJ21*D21*3</f>
        <v>0</v>
      </c>
      <c r="AL21" s="13"/>
      <c r="AM21">
        <v>30.57</v>
      </c>
      <c r="AN21">
        <v>7.2</v>
      </c>
      <c r="AO21" s="8">
        <f>AN21*D21*3</f>
        <v>69.12</v>
      </c>
      <c r="AP21">
        <v>14.98</v>
      </c>
      <c r="AQ21">
        <v>10</v>
      </c>
      <c r="AR21">
        <f>AQ21*D21*3</f>
        <v>96</v>
      </c>
      <c r="AS21">
        <v>10.33</v>
      </c>
      <c r="AT21">
        <v>8.1</v>
      </c>
      <c r="AU21">
        <f>AT21*D21*3</f>
        <v>77.760000000000005</v>
      </c>
      <c r="AW21">
        <v>25.07</v>
      </c>
      <c r="AX21">
        <v>9.3000000000000007</v>
      </c>
      <c r="AY21">
        <f>AX21*D21*3</f>
        <v>89.280000000000015</v>
      </c>
      <c r="AZ21">
        <v>25.07</v>
      </c>
      <c r="BA21">
        <v>9.1999999999999993</v>
      </c>
      <c r="BB21">
        <f>BA21*D21*3</f>
        <v>88.32</v>
      </c>
      <c r="BD21">
        <v>8.9</v>
      </c>
      <c r="BE21">
        <f>BD21*D21*3</f>
        <v>85.440000000000012</v>
      </c>
      <c r="BG21" s="10"/>
      <c r="BH21" s="1">
        <f>CHOOSE(MATCH(MIN(ABS(BP21-C21),ABS(BQ21-C21),ABS(BR21-C21)),CHOOSE({1;2;3},ABS(BP21-C21),ABS(BQ21-C21),ABS(BR21-C21)),0),BP21,BQ21,BR21)</f>
        <v>78.72</v>
      </c>
      <c r="BJ21" s="1" cm="1">
        <f t="array" ref="BJ21">(INDEX(_xlfn._xlws.SORT(CHOOSE({1;2;3;4;5;6},BQ21,BR21,L21,AE21,BO21,BP21)),3) + INDEX(_xlfn._xlws.SORT(CHOOSE({1;2;3;4;5;6},BQ21,BR21,L21,AE21,BO21,BP21)),4))/2</f>
        <v>76.800000000000011</v>
      </c>
      <c r="BK21">
        <v>9.0233351211755508</v>
      </c>
      <c r="BL21" t="s">
        <v>6117</v>
      </c>
      <c r="BM21" s="1">
        <f>BK21*3*D21</f>
        <v>86.624017163285302</v>
      </c>
      <c r="BN21" s="1">
        <f>BM21-C21</f>
        <v>0.22401716328529631</v>
      </c>
      <c r="BO21" s="1">
        <f>GK21*3*D21</f>
        <v>58.56</v>
      </c>
      <c r="BP21" s="1">
        <f>DO21*3*D21</f>
        <v>78.72</v>
      </c>
      <c r="BQ21" s="1">
        <f>FJ21*3*D21</f>
        <v>76.800000000000011</v>
      </c>
      <c r="BR21" s="1">
        <f>GL21*3*D21</f>
        <v>67.2</v>
      </c>
      <c r="BT21">
        <v>39.19</v>
      </c>
      <c r="BU21">
        <v>8</v>
      </c>
      <c r="BV21" t="s">
        <v>4991</v>
      </c>
      <c r="BW21" t="s">
        <v>4999</v>
      </c>
      <c r="BX21" t="s">
        <v>5060</v>
      </c>
      <c r="BY21" t="s">
        <v>5061</v>
      </c>
      <c r="BZ21" t="s">
        <v>5062</v>
      </c>
      <c r="CA21" t="s">
        <v>2420</v>
      </c>
      <c r="CC21" t="s">
        <v>2491</v>
      </c>
      <c r="CD21" t="s">
        <v>2492</v>
      </c>
      <c r="CE21" t="s">
        <v>2572</v>
      </c>
      <c r="CG21" t="s">
        <v>2494</v>
      </c>
      <c r="CH21" t="s">
        <v>2574</v>
      </c>
      <c r="CI21" t="s">
        <v>2575</v>
      </c>
      <c r="CJ21" t="s">
        <v>2427</v>
      </c>
      <c r="CK21" t="s">
        <v>2609</v>
      </c>
      <c r="CL21" t="s">
        <v>2610</v>
      </c>
      <c r="CM21" t="s">
        <v>2578</v>
      </c>
      <c r="CN21" t="s">
        <v>2579</v>
      </c>
      <c r="CO21" t="s">
        <v>2611</v>
      </c>
      <c r="CP21" t="s">
        <v>2612</v>
      </c>
      <c r="CQ21" t="s">
        <v>2613</v>
      </c>
      <c r="CR21" t="s">
        <v>2614</v>
      </c>
      <c r="CS21" t="s">
        <v>2615</v>
      </c>
      <c r="CT21" t="s">
        <v>2616</v>
      </c>
      <c r="CV21">
        <v>9</v>
      </c>
      <c r="CW21">
        <v>9</v>
      </c>
      <c r="CX21">
        <v>8</v>
      </c>
      <c r="CY21">
        <v>8</v>
      </c>
      <c r="CZ21">
        <v>7</v>
      </c>
      <c r="DA21">
        <v>0.1</v>
      </c>
      <c r="DB21">
        <v>0.1</v>
      </c>
      <c r="DC21">
        <v>0.2</v>
      </c>
      <c r="DD21">
        <v>0.3</v>
      </c>
      <c r="DE21">
        <v>0.3</v>
      </c>
      <c r="DF21">
        <v>0.9</v>
      </c>
      <c r="DG21">
        <v>0.9</v>
      </c>
      <c r="DH21">
        <v>1.6</v>
      </c>
      <c r="DI21">
        <v>2.4</v>
      </c>
      <c r="DJ21">
        <v>2.1</v>
      </c>
      <c r="DK21">
        <v>7.9</v>
      </c>
      <c r="DL21">
        <v>0.1</v>
      </c>
      <c r="DM21">
        <v>8</v>
      </c>
      <c r="DN21">
        <v>9</v>
      </c>
      <c r="DO21">
        <f>AVERAGE(CV21:CZ21)</f>
        <v>8.1999999999999993</v>
      </c>
      <c r="DQ21">
        <v>8</v>
      </c>
      <c r="DR21" t="s">
        <v>65</v>
      </c>
      <c r="DS21" t="s">
        <v>66</v>
      </c>
      <c r="DT21" t="s">
        <v>67</v>
      </c>
      <c r="DU21" t="s">
        <v>68</v>
      </c>
      <c r="DV21" t="s">
        <v>69</v>
      </c>
      <c r="DW21" t="s">
        <v>3836</v>
      </c>
      <c r="DX21" t="s">
        <v>3837</v>
      </c>
      <c r="DY21" t="s">
        <v>3875</v>
      </c>
      <c r="DZ21" t="s">
        <v>3827</v>
      </c>
      <c r="EA21" t="s">
        <v>3860</v>
      </c>
      <c r="EB21" t="s">
        <v>3840</v>
      </c>
      <c r="EC21" t="s">
        <v>3876</v>
      </c>
      <c r="ED21" t="s">
        <v>3827</v>
      </c>
      <c r="EE21" t="s">
        <v>3877</v>
      </c>
      <c r="EF21" t="s">
        <v>3797</v>
      </c>
      <c r="EG21" t="s">
        <v>3878</v>
      </c>
      <c r="EH21" t="s">
        <v>3827</v>
      </c>
      <c r="EI21" t="s">
        <v>3879</v>
      </c>
      <c r="EJ21" t="s">
        <v>3800</v>
      </c>
      <c r="EK21" t="s">
        <v>3880</v>
      </c>
      <c r="EL21" t="s">
        <v>3827</v>
      </c>
      <c r="EM21" t="s">
        <v>3881</v>
      </c>
      <c r="EN21" t="s">
        <v>3803</v>
      </c>
      <c r="EO21" t="s">
        <v>3882</v>
      </c>
      <c r="EP21" t="s">
        <v>3827</v>
      </c>
      <c r="EQ21">
        <v>8</v>
      </c>
      <c r="ER21">
        <v>8</v>
      </c>
      <c r="ES21">
        <v>8</v>
      </c>
      <c r="ET21">
        <v>8</v>
      </c>
      <c r="EU21">
        <v>8</v>
      </c>
      <c r="EV21">
        <v>0.1</v>
      </c>
      <c r="EW21">
        <v>0.1</v>
      </c>
      <c r="EX21">
        <v>0.2</v>
      </c>
      <c r="EY21">
        <v>0.3</v>
      </c>
      <c r="EZ21">
        <v>0.3</v>
      </c>
      <c r="FA21">
        <f>EV21*EQ21</f>
        <v>0.8</v>
      </c>
      <c r="FB21">
        <f>EW21*ER21</f>
        <v>0.8</v>
      </c>
      <c r="FC21">
        <f>EX21*ES21</f>
        <v>1.6</v>
      </c>
      <c r="FD21">
        <f>EY21*ET21</f>
        <v>2.4</v>
      </c>
      <c r="FE21">
        <f>EZ21*EU21</f>
        <v>2.4</v>
      </c>
      <c r="FF21">
        <v>16</v>
      </c>
      <c r="FG21">
        <v>0</v>
      </c>
      <c r="FH21">
        <v>8</v>
      </c>
      <c r="FI21">
        <f>FA21+FB21+FC21+FD21+FE21</f>
        <v>8</v>
      </c>
      <c r="FJ21">
        <f>MEDIAN(EQ21:EU21)</f>
        <v>8</v>
      </c>
      <c r="FL21">
        <v>34.18</v>
      </c>
      <c r="FM21">
        <v>7.5</v>
      </c>
      <c r="FN21" t="s">
        <v>696</v>
      </c>
      <c r="FO21" t="s">
        <v>697</v>
      </c>
      <c r="FP21" t="s">
        <v>698</v>
      </c>
      <c r="FQ21" t="s">
        <v>699</v>
      </c>
      <c r="FR21" t="s">
        <v>629</v>
      </c>
      <c r="FS21">
        <v>8</v>
      </c>
      <c r="FT21">
        <v>9</v>
      </c>
      <c r="FU21">
        <v>7</v>
      </c>
      <c r="FV21">
        <v>6</v>
      </c>
      <c r="FW21">
        <v>4</v>
      </c>
      <c r="FX21">
        <v>0.1</v>
      </c>
      <c r="FY21">
        <v>0.1</v>
      </c>
      <c r="FZ21">
        <v>0.2</v>
      </c>
      <c r="GA21">
        <v>0.3</v>
      </c>
      <c r="GB21">
        <v>0.3</v>
      </c>
      <c r="GC21">
        <f>FS21*FX21</f>
        <v>0.8</v>
      </c>
      <c r="GD21">
        <f>FT21*FY21</f>
        <v>0.9</v>
      </c>
      <c r="GE21">
        <f>FU21*FZ21</f>
        <v>1.4000000000000001</v>
      </c>
      <c r="GF21">
        <f>FV21*GA21</f>
        <v>1.7999999999999998</v>
      </c>
      <c r="GG21">
        <f>FW21*GB21</f>
        <v>1.2</v>
      </c>
      <c r="GH21">
        <v>7.5</v>
      </c>
      <c r="GI21">
        <v>0</v>
      </c>
      <c r="GJ21">
        <v>7.5</v>
      </c>
      <c r="GK21">
        <f>GC21+GD21+GE21+GF21+GG21</f>
        <v>6.1000000000000005</v>
      </c>
      <c r="GL21">
        <f>MEDIAN(FS21:FW21)</f>
        <v>7</v>
      </c>
    </row>
    <row r="22" spans="1:194" x14ac:dyDescent="0.25">
      <c r="A22">
        <v>125</v>
      </c>
      <c r="B22" t="s">
        <v>2</v>
      </c>
      <c r="C22" s="4">
        <v>102.6</v>
      </c>
      <c r="D22">
        <v>3.6</v>
      </c>
      <c r="E22" s="1">
        <f>C22/3/D22</f>
        <v>9.4999999999999982</v>
      </c>
      <c r="G22">
        <v>42.07</v>
      </c>
      <c r="H22">
        <v>7</v>
      </c>
      <c r="I22">
        <f>H22*D22*3</f>
        <v>75.599999999999994</v>
      </c>
      <c r="J22">
        <v>14.48</v>
      </c>
      <c r="K22">
        <v>9</v>
      </c>
      <c r="L22" s="3">
        <f>K22*3*D22</f>
        <v>97.2</v>
      </c>
      <c r="M22">
        <v>5.35</v>
      </c>
      <c r="N22">
        <v>5.7</v>
      </c>
      <c r="O22">
        <f>N22*D22*3</f>
        <v>61.56</v>
      </c>
      <c r="P22" s="5">
        <v>7</v>
      </c>
      <c r="Q22" s="5">
        <f>P22*D22*3</f>
        <v>75.599999999999994</v>
      </c>
      <c r="S22" t="s">
        <v>6179</v>
      </c>
      <c r="T22">
        <v>6.6</v>
      </c>
      <c r="U22" s="8">
        <f>T22*D22*3</f>
        <v>71.28</v>
      </c>
      <c r="V22">
        <v>29.39</v>
      </c>
      <c r="W22">
        <v>8</v>
      </c>
      <c r="X22" s="5">
        <f>W22*D22*3</f>
        <v>86.4</v>
      </c>
      <c r="Y22">
        <v>9.0299999999999994</v>
      </c>
      <c r="Z22">
        <v>7.5</v>
      </c>
      <c r="AA22">
        <f>Z22*D22*3</f>
        <v>81</v>
      </c>
      <c r="AC22">
        <v>44.83</v>
      </c>
      <c r="AD22">
        <v>8</v>
      </c>
      <c r="AE22" s="1">
        <f>AD22*3*D22</f>
        <v>86.4</v>
      </c>
      <c r="AF22">
        <v>11.76</v>
      </c>
      <c r="AG22" s="5">
        <v>7</v>
      </c>
      <c r="AH22" s="5">
        <f>AG22*D22*3</f>
        <v>75.599999999999994</v>
      </c>
      <c r="AI22" s="13"/>
      <c r="AK22" s="8">
        <f>AJ22*D22*3</f>
        <v>0</v>
      </c>
      <c r="AL22" s="13"/>
      <c r="AM22">
        <v>32.14</v>
      </c>
      <c r="AN22">
        <v>7.2</v>
      </c>
      <c r="AO22" s="8">
        <f>AN22*D22*3</f>
        <v>77.760000000000005</v>
      </c>
      <c r="AP22">
        <v>12.91</v>
      </c>
      <c r="AQ22">
        <v>10</v>
      </c>
      <c r="AR22">
        <f>AQ22*D22*3</f>
        <v>108</v>
      </c>
      <c r="AT22">
        <v>8.6999999999999993</v>
      </c>
      <c r="AU22">
        <f>AT22*D22*3</f>
        <v>93.96</v>
      </c>
      <c r="AW22">
        <v>22.39</v>
      </c>
      <c r="AX22">
        <v>9.3000000000000007</v>
      </c>
      <c r="AY22">
        <f>AX22*D22*3</f>
        <v>100.44000000000001</v>
      </c>
      <c r="AZ22">
        <v>22.39</v>
      </c>
      <c r="BA22">
        <v>8.4</v>
      </c>
      <c r="BB22">
        <f>BA22*D22*3</f>
        <v>90.72</v>
      </c>
      <c r="BD22">
        <v>9</v>
      </c>
      <c r="BE22">
        <f>BD22*D22*3</f>
        <v>97.199999999999989</v>
      </c>
      <c r="BG22" s="10"/>
      <c r="BH22" s="1">
        <f>CHOOSE(MATCH(MIN(ABS(BP22-C22),ABS(BQ22-C22),ABS(BR22-C22)),CHOOSE({1;2;3},ABS(BP22-C22),ABS(BQ22-C22),ABS(BR22-C22)),0),BP22,BQ22,BR22)</f>
        <v>89.640000000000015</v>
      </c>
      <c r="BJ22" s="1" cm="1">
        <f t="array" ref="BJ22">(INDEX(_xlfn._xlws.SORT(CHOOSE({1;2;3;4;5;6},BQ22,BR22,L22,AE22,BO22,BP22)),3) + INDEX(_xlfn._xlws.SORT(CHOOSE({1;2;3;4;5;6},BQ22,BR22,L22,AE22,BO22,BP22)),4))/2</f>
        <v>86.4</v>
      </c>
      <c r="BK22">
        <v>8.4107936012811102</v>
      </c>
      <c r="BL22" s="11" t="s">
        <v>6116</v>
      </c>
      <c r="BM22" s="1">
        <f>BK22*3*D22</f>
        <v>90.836570893835997</v>
      </c>
      <c r="BN22" s="1">
        <f>BM22-C22</f>
        <v>-11.763429106163997</v>
      </c>
      <c r="BO22" s="1">
        <f>GK22*3*D22</f>
        <v>41.58</v>
      </c>
      <c r="BP22" s="1">
        <f>DO22*3*D22</f>
        <v>89.640000000000015</v>
      </c>
      <c r="BQ22" s="1">
        <f>FJ22*3*D22</f>
        <v>86.4</v>
      </c>
      <c r="BR22" s="1">
        <f>GL22*3*D22</f>
        <v>32.4</v>
      </c>
      <c r="BT22">
        <v>42.07</v>
      </c>
      <c r="BU22">
        <v>7</v>
      </c>
      <c r="BV22" t="s">
        <v>5433</v>
      </c>
      <c r="BW22" t="s">
        <v>5434</v>
      </c>
      <c r="BX22" t="s">
        <v>5435</v>
      </c>
      <c r="BY22" t="s">
        <v>5319</v>
      </c>
      <c r="BZ22" t="s">
        <v>5436</v>
      </c>
      <c r="CA22" t="s">
        <v>3067</v>
      </c>
      <c r="CB22" t="s">
        <v>2932</v>
      </c>
      <c r="CC22" t="s">
        <v>3068</v>
      </c>
      <c r="CD22" t="s">
        <v>3069</v>
      </c>
      <c r="CE22" t="s">
        <v>3070</v>
      </c>
      <c r="CG22" t="s">
        <v>3071</v>
      </c>
      <c r="CH22" t="s">
        <v>3072</v>
      </c>
      <c r="CI22" t="s">
        <v>3073</v>
      </c>
      <c r="CJ22" t="s">
        <v>2427</v>
      </c>
      <c r="CK22" t="s">
        <v>3074</v>
      </c>
      <c r="CL22" t="s">
        <v>3075</v>
      </c>
      <c r="CM22" t="s">
        <v>3076</v>
      </c>
      <c r="CN22" t="s">
        <v>2941</v>
      </c>
      <c r="CO22" t="s">
        <v>3077</v>
      </c>
      <c r="CP22" t="s">
        <v>3078</v>
      </c>
      <c r="CQ22" t="s">
        <v>3079</v>
      </c>
      <c r="CR22" t="s">
        <v>3080</v>
      </c>
      <c r="CS22" t="s">
        <v>3081</v>
      </c>
      <c r="CT22" t="s">
        <v>3082</v>
      </c>
      <c r="CV22">
        <v>8.5</v>
      </c>
      <c r="CW22">
        <v>10</v>
      </c>
      <c r="CX22">
        <v>7.5</v>
      </c>
      <c r="CY22">
        <v>8</v>
      </c>
      <c r="CZ22">
        <v>7.5</v>
      </c>
      <c r="DA22">
        <v>0.1</v>
      </c>
      <c r="DB22">
        <v>0.1</v>
      </c>
      <c r="DC22">
        <v>0.2</v>
      </c>
      <c r="DD22">
        <v>0.3</v>
      </c>
      <c r="DE22">
        <v>0.3</v>
      </c>
      <c r="DF22">
        <v>0.85</v>
      </c>
      <c r="DG22">
        <v>1</v>
      </c>
      <c r="DH22">
        <v>1.5</v>
      </c>
      <c r="DI22">
        <v>2.4</v>
      </c>
      <c r="DJ22">
        <v>2.25</v>
      </c>
      <c r="DK22">
        <v>7</v>
      </c>
      <c r="DL22">
        <v>0</v>
      </c>
      <c r="DM22">
        <v>7</v>
      </c>
      <c r="DN22">
        <v>9</v>
      </c>
      <c r="DO22">
        <f>AVERAGE(CV22:CZ22)</f>
        <v>8.3000000000000007</v>
      </c>
      <c r="DQ22">
        <v>8</v>
      </c>
      <c r="DR22" t="s">
        <v>52</v>
      </c>
      <c r="DS22" t="s">
        <v>291</v>
      </c>
      <c r="DT22" t="s">
        <v>292</v>
      </c>
      <c r="DU22" t="s">
        <v>209</v>
      </c>
      <c r="DV22" t="s">
        <v>293</v>
      </c>
      <c r="DW22" t="s">
        <v>3836</v>
      </c>
      <c r="DX22" t="s">
        <v>3837</v>
      </c>
      <c r="DY22" t="s">
        <v>3875</v>
      </c>
      <c r="DZ22" t="s">
        <v>3827</v>
      </c>
      <c r="EA22" t="s">
        <v>3860</v>
      </c>
      <c r="EB22" t="s">
        <v>3840</v>
      </c>
      <c r="EC22" t="s">
        <v>3876</v>
      </c>
      <c r="ED22" t="s">
        <v>3827</v>
      </c>
      <c r="EE22" t="s">
        <v>3877</v>
      </c>
      <c r="EF22" t="s">
        <v>3797</v>
      </c>
      <c r="EG22" t="s">
        <v>3878</v>
      </c>
      <c r="EH22" t="s">
        <v>3827</v>
      </c>
      <c r="EI22" t="s">
        <v>3879</v>
      </c>
      <c r="EJ22" t="s">
        <v>3800</v>
      </c>
      <c r="EK22" t="s">
        <v>3987</v>
      </c>
      <c r="EL22" t="s">
        <v>3827</v>
      </c>
      <c r="EM22" t="s">
        <v>3881</v>
      </c>
      <c r="EN22" t="s">
        <v>3803</v>
      </c>
      <c r="EO22" t="s">
        <v>3882</v>
      </c>
      <c r="EP22" t="s">
        <v>3827</v>
      </c>
      <c r="EQ22">
        <v>8</v>
      </c>
      <c r="ER22">
        <v>8</v>
      </c>
      <c r="ES22">
        <v>8</v>
      </c>
      <c r="ET22">
        <v>8</v>
      </c>
      <c r="EU22">
        <v>8</v>
      </c>
      <c r="EV22">
        <v>0.1</v>
      </c>
      <c r="EW22">
        <v>0.1</v>
      </c>
      <c r="EX22">
        <v>0.2</v>
      </c>
      <c r="EY22">
        <v>0.3</v>
      </c>
      <c r="EZ22">
        <v>0.3</v>
      </c>
      <c r="FA22">
        <f>EV22*EQ22</f>
        <v>0.8</v>
      </c>
      <c r="FB22">
        <f>EW22*ER22</f>
        <v>0.8</v>
      </c>
      <c r="FC22">
        <f>EX22*ES22</f>
        <v>1.6</v>
      </c>
      <c r="FD22">
        <f>EY22*ET22</f>
        <v>2.4</v>
      </c>
      <c r="FE22">
        <f>EZ22*EU22</f>
        <v>2.4</v>
      </c>
      <c r="FF22">
        <v>16</v>
      </c>
      <c r="FG22">
        <v>0</v>
      </c>
      <c r="FH22">
        <v>8</v>
      </c>
      <c r="FI22">
        <f>FA22+FB22+FC22+FD22+FE22</f>
        <v>8</v>
      </c>
      <c r="FJ22">
        <f>MEDIAN(EQ22:EU22)</f>
        <v>8</v>
      </c>
      <c r="FL22">
        <v>41.28</v>
      </c>
      <c r="FM22">
        <v>7</v>
      </c>
      <c r="FN22" t="s">
        <v>1200</v>
      </c>
      <c r="FO22" t="s">
        <v>1201</v>
      </c>
      <c r="FP22" t="s">
        <v>1202</v>
      </c>
      <c r="FQ22" t="s">
        <v>1203</v>
      </c>
      <c r="FR22" t="s">
        <v>1204</v>
      </c>
      <c r="FS22">
        <v>2.5</v>
      </c>
      <c r="FT22">
        <v>3</v>
      </c>
      <c r="FU22">
        <v>1.5</v>
      </c>
      <c r="FV22">
        <v>4</v>
      </c>
      <c r="FW22">
        <v>6</v>
      </c>
      <c r="FX22">
        <v>0.1</v>
      </c>
      <c r="FY22">
        <v>0.1</v>
      </c>
      <c r="FZ22">
        <v>0.2</v>
      </c>
      <c r="GA22">
        <v>0.3</v>
      </c>
      <c r="GB22">
        <v>0.3</v>
      </c>
      <c r="GC22">
        <f>FS22*FX22</f>
        <v>0.25</v>
      </c>
      <c r="GD22">
        <f>FT22*FY22</f>
        <v>0.30000000000000004</v>
      </c>
      <c r="GE22">
        <f>FU22*FZ22</f>
        <v>0.30000000000000004</v>
      </c>
      <c r="GF22">
        <f>FV22*GA22</f>
        <v>1.2</v>
      </c>
      <c r="GG22">
        <f>FW22*GB22</f>
        <v>1.7999999999999998</v>
      </c>
      <c r="GH22">
        <v>5.5</v>
      </c>
      <c r="GJ22">
        <v>7</v>
      </c>
      <c r="GK22">
        <f>GC22+GD22+GE22+GF22+GG22</f>
        <v>3.8499999999999996</v>
      </c>
      <c r="GL22">
        <f>MEDIAN(FS22:FW22)</f>
        <v>3</v>
      </c>
    </row>
    <row r="23" spans="1:194" x14ac:dyDescent="0.25">
      <c r="A23" s="11">
        <v>1</v>
      </c>
      <c r="B23" t="s">
        <v>2</v>
      </c>
      <c r="C23" s="4">
        <v>76.5</v>
      </c>
      <c r="D23">
        <v>3</v>
      </c>
      <c r="E23" s="1">
        <f>C23/3/D23</f>
        <v>8.5</v>
      </c>
      <c r="G23">
        <v>39.14</v>
      </c>
      <c r="H23">
        <v>8.5</v>
      </c>
      <c r="I23">
        <f>H23*D23*3</f>
        <v>76.5</v>
      </c>
      <c r="J23">
        <v>18.11</v>
      </c>
      <c r="K23">
        <v>9</v>
      </c>
      <c r="L23" s="3">
        <f>K23*3*D23</f>
        <v>81</v>
      </c>
      <c r="M23">
        <v>6.64</v>
      </c>
      <c r="N23">
        <v>5.7</v>
      </c>
      <c r="O23">
        <f>N23*D23*3</f>
        <v>51.300000000000004</v>
      </c>
      <c r="P23" s="5">
        <v>7.6</v>
      </c>
      <c r="Q23" s="5">
        <f>P23*D23*3</f>
        <v>68.399999999999991</v>
      </c>
      <c r="S23" t="s">
        <v>6139</v>
      </c>
      <c r="T23">
        <v>8.1999999999999993</v>
      </c>
      <c r="U23" s="8">
        <f>T23*D23*3</f>
        <v>73.8</v>
      </c>
      <c r="V23">
        <v>38.380000000000003</v>
      </c>
      <c r="W23">
        <v>8.4</v>
      </c>
      <c r="X23" s="5">
        <f>W23*D23*3</f>
        <v>75.600000000000009</v>
      </c>
      <c r="Y23">
        <v>10.19</v>
      </c>
      <c r="Z23">
        <v>8</v>
      </c>
      <c r="AA23">
        <f>Z23*D23*3</f>
        <v>72</v>
      </c>
      <c r="AC23">
        <v>47.25</v>
      </c>
      <c r="AD23">
        <v>7.6</v>
      </c>
      <c r="AE23" s="1">
        <f>AD23*3*D23</f>
        <v>68.399999999999991</v>
      </c>
      <c r="AF23">
        <v>12.82</v>
      </c>
      <c r="AG23" s="5">
        <v>7</v>
      </c>
      <c r="AH23" s="5">
        <f>AG23*D23*3</f>
        <v>63</v>
      </c>
      <c r="AI23" s="13"/>
      <c r="AJ23">
        <v>8.1999999999999993</v>
      </c>
      <c r="AK23" s="8">
        <f>AJ23*D23*3</f>
        <v>73.8</v>
      </c>
      <c r="AL23" s="13"/>
      <c r="AM23">
        <v>43.08</v>
      </c>
      <c r="AN23">
        <v>7</v>
      </c>
      <c r="AO23" s="8">
        <f>AN23*D23*3</f>
        <v>63</v>
      </c>
      <c r="AP23">
        <v>62.87</v>
      </c>
      <c r="AQ23">
        <v>10</v>
      </c>
      <c r="AR23">
        <f>AQ23*D23*3</f>
        <v>90</v>
      </c>
      <c r="AS23">
        <v>15.99</v>
      </c>
      <c r="AT23">
        <v>8.8000000000000007</v>
      </c>
      <c r="AU23">
        <f>AT23*D23*3</f>
        <v>79.2</v>
      </c>
      <c r="AW23">
        <v>26.08</v>
      </c>
      <c r="AX23">
        <v>8.6999999999999993</v>
      </c>
      <c r="AY23">
        <f>AX23*D23*3</f>
        <v>78.3</v>
      </c>
      <c r="AZ23">
        <v>26.08</v>
      </c>
      <c r="BA23">
        <v>9.4</v>
      </c>
      <c r="BB23">
        <f>BA23*D23*3</f>
        <v>84.600000000000009</v>
      </c>
      <c r="BD23">
        <v>9</v>
      </c>
      <c r="BE23">
        <f>BD23*D23*3</f>
        <v>81</v>
      </c>
      <c r="BG23" s="10"/>
      <c r="BH23" s="1">
        <f>CHOOSE(MATCH(MIN(ABS(BP23-C23),ABS(BQ23-C23),ABS(BR23-C23)),CHOOSE({1;2;3},ABS(BP23-C23),ABS(BQ23-C23),ABS(BR23-C23)),0),BP23,BQ23,BR23)</f>
        <v>77.399999999999991</v>
      </c>
      <c r="BJ23" s="1" cm="1">
        <f t="array" ref="BJ23">(INDEX(_xlfn._xlws.SORT(CHOOSE({1;2;3;4;5;6;7},H23,K23,N23)),3) + INDEX(_xlfn._xlws.SORT(CHOOSE({1;2;3;4;5;6},BQ23,BR23,L23,AE23,BO23,BP23)),4))/2</f>
        <v>40.5</v>
      </c>
      <c r="BK23">
        <v>7.2011860338788196</v>
      </c>
      <c r="BL23" s="11" t="s">
        <v>6116</v>
      </c>
      <c r="BM23" s="1">
        <f>BK23*3*D23</f>
        <v>64.810674304909384</v>
      </c>
      <c r="BN23" s="1">
        <f>BM23-C23</f>
        <v>-11.689325695090616</v>
      </c>
      <c r="BO23" s="1">
        <f>GK23*3*D23</f>
        <v>21.599999999999998</v>
      </c>
      <c r="BP23" s="1">
        <f>DO23*3*D23</f>
        <v>77.399999999999991</v>
      </c>
      <c r="BQ23" s="1">
        <f>FJ23*3*D23</f>
        <v>72</v>
      </c>
      <c r="BR23" s="1">
        <f>GL23*3*D23</f>
        <v>27</v>
      </c>
      <c r="BT23">
        <v>39.14</v>
      </c>
      <c r="BU23">
        <v>8.5</v>
      </c>
      <c r="BV23" t="s">
        <v>4976</v>
      </c>
      <c r="BW23" t="s">
        <v>4977</v>
      </c>
      <c r="BX23" t="s">
        <v>4978</v>
      </c>
      <c r="BY23" t="s">
        <v>4979</v>
      </c>
      <c r="BZ23" t="s">
        <v>4980</v>
      </c>
      <c r="CA23" t="s">
        <v>2420</v>
      </c>
      <c r="CC23" t="s">
        <v>2421</v>
      </c>
      <c r="CD23" t="s">
        <v>2422</v>
      </c>
      <c r="CE23" t="s">
        <v>2423</v>
      </c>
      <c r="CG23" t="s">
        <v>2424</v>
      </c>
      <c r="CH23" t="s">
        <v>2425</v>
      </c>
      <c r="CI23" t="s">
        <v>2426</v>
      </c>
      <c r="CJ23" t="s">
        <v>2427</v>
      </c>
      <c r="CK23" t="s">
        <v>2428</v>
      </c>
      <c r="CL23" t="s">
        <v>2429</v>
      </c>
      <c r="CM23" t="s">
        <v>2430</v>
      </c>
      <c r="CO23" t="s">
        <v>2431</v>
      </c>
      <c r="CP23" t="s">
        <v>2432</v>
      </c>
      <c r="CQ23" t="s">
        <v>2433</v>
      </c>
      <c r="CR23" t="s">
        <v>2434</v>
      </c>
      <c r="CS23" t="s">
        <v>2435</v>
      </c>
      <c r="CT23" t="s">
        <v>2436</v>
      </c>
      <c r="CV23">
        <v>9</v>
      </c>
      <c r="CW23">
        <v>9</v>
      </c>
      <c r="CX23">
        <v>8</v>
      </c>
      <c r="CY23">
        <v>9</v>
      </c>
      <c r="CZ23">
        <v>8</v>
      </c>
      <c r="DA23">
        <v>0.1</v>
      </c>
      <c r="DB23">
        <v>0.1</v>
      </c>
      <c r="DC23">
        <v>0.2</v>
      </c>
      <c r="DD23">
        <v>0.3</v>
      </c>
      <c r="DE23">
        <v>0.3</v>
      </c>
      <c r="DF23">
        <v>0.9</v>
      </c>
      <c r="DG23">
        <v>0.9</v>
      </c>
      <c r="DH23">
        <v>1.6</v>
      </c>
      <c r="DI23">
        <v>2.7</v>
      </c>
      <c r="DJ23">
        <v>2.4</v>
      </c>
      <c r="DK23">
        <v>8.5</v>
      </c>
      <c r="DL23">
        <v>0</v>
      </c>
      <c r="DM23">
        <v>8.5</v>
      </c>
      <c r="DN23">
        <v>9</v>
      </c>
      <c r="DO23">
        <f>AVERAGE(CV23:CZ23)</f>
        <v>8.6</v>
      </c>
      <c r="DQ23" t="s">
        <v>27</v>
      </c>
      <c r="DR23" t="s">
        <v>28</v>
      </c>
      <c r="DS23" t="s">
        <v>29</v>
      </c>
      <c r="DT23" t="s">
        <v>30</v>
      </c>
      <c r="DU23" t="s">
        <v>31</v>
      </c>
      <c r="DV23" t="s">
        <v>32</v>
      </c>
      <c r="DW23" t="s">
        <v>3769</v>
      </c>
      <c r="DX23" t="s">
        <v>3770</v>
      </c>
      <c r="DY23" t="s">
        <v>3771</v>
      </c>
      <c r="DZ23" t="s">
        <v>3772</v>
      </c>
      <c r="EA23" t="s">
        <v>3773</v>
      </c>
      <c r="EB23" t="s">
        <v>3774</v>
      </c>
      <c r="EC23" t="s">
        <v>3775</v>
      </c>
      <c r="ED23" t="s">
        <v>3776</v>
      </c>
      <c r="EE23" t="s">
        <v>3777</v>
      </c>
      <c r="EF23" t="s">
        <v>3778</v>
      </c>
      <c r="EG23" t="s">
        <v>3779</v>
      </c>
      <c r="EH23" t="s">
        <v>3780</v>
      </c>
      <c r="EI23" t="s">
        <v>3781</v>
      </c>
      <c r="EJ23" t="s">
        <v>3782</v>
      </c>
      <c r="EK23" t="s">
        <v>3783</v>
      </c>
      <c r="EL23" t="s">
        <v>3784</v>
      </c>
      <c r="EM23" t="s">
        <v>3785</v>
      </c>
      <c r="EN23" t="s">
        <v>3786</v>
      </c>
      <c r="EO23" t="s">
        <v>3787</v>
      </c>
      <c r="EP23" t="s">
        <v>3780</v>
      </c>
      <c r="EQ23">
        <v>7</v>
      </c>
      <c r="ER23">
        <v>8</v>
      </c>
      <c r="ES23">
        <v>8</v>
      </c>
      <c r="ET23">
        <v>8</v>
      </c>
      <c r="EU23">
        <v>7</v>
      </c>
      <c r="EV23">
        <v>0.1</v>
      </c>
      <c r="EW23">
        <v>0.1</v>
      </c>
      <c r="EX23">
        <v>0.2</v>
      </c>
      <c r="EY23">
        <v>0.3</v>
      </c>
      <c r="EZ23">
        <v>0.3</v>
      </c>
      <c r="FA23">
        <f>EV23*EQ23</f>
        <v>0.70000000000000007</v>
      </c>
      <c r="FB23">
        <f>EW23*ER23</f>
        <v>0.8</v>
      </c>
      <c r="FC23">
        <f>EX23*ES23</f>
        <v>1.6</v>
      </c>
      <c r="FD23">
        <f>EY23*ET23</f>
        <v>2.4</v>
      </c>
      <c r="FE23">
        <f>EZ23*EU23</f>
        <v>2.1</v>
      </c>
      <c r="FF23">
        <v>15.5</v>
      </c>
      <c r="FG23">
        <v>0</v>
      </c>
      <c r="FH23">
        <v>15.5</v>
      </c>
      <c r="FI23">
        <f>FA23+FB23+FC23+FD23+FE23</f>
        <v>7.6</v>
      </c>
      <c r="FJ23">
        <f>MEDIAN(EQ23:EU23)</f>
        <v>8</v>
      </c>
      <c r="FL23">
        <v>48.11</v>
      </c>
      <c r="FM23">
        <v>2.6</v>
      </c>
      <c r="FN23" t="s">
        <v>602</v>
      </c>
      <c r="FO23" t="s">
        <v>603</v>
      </c>
      <c r="FP23" t="s">
        <v>604</v>
      </c>
      <c r="FQ23" t="s">
        <v>605</v>
      </c>
      <c r="FR23" t="s">
        <v>606</v>
      </c>
      <c r="FS23">
        <v>5</v>
      </c>
      <c r="FT23">
        <v>4</v>
      </c>
      <c r="FU23">
        <v>3</v>
      </c>
      <c r="FV23">
        <v>2</v>
      </c>
      <c r="FW23">
        <v>1</v>
      </c>
      <c r="FX23">
        <v>0.1</v>
      </c>
      <c r="FY23">
        <v>0.1</v>
      </c>
      <c r="FZ23">
        <v>0.2</v>
      </c>
      <c r="GA23">
        <v>0.3</v>
      </c>
      <c r="GB23">
        <v>0.3</v>
      </c>
      <c r="GC23">
        <f>FS23*FX23</f>
        <v>0.5</v>
      </c>
      <c r="GD23">
        <f>FT23*FY23</f>
        <v>0.4</v>
      </c>
      <c r="GE23">
        <f>FU23*FZ23</f>
        <v>0.60000000000000009</v>
      </c>
      <c r="GF23">
        <f>FV23*GA23</f>
        <v>0.6</v>
      </c>
      <c r="GG23">
        <f>FW23*GB23</f>
        <v>0.3</v>
      </c>
      <c r="GH23">
        <v>2.8</v>
      </c>
      <c r="GI23">
        <v>-0.2</v>
      </c>
      <c r="GJ23">
        <v>2.6</v>
      </c>
      <c r="GK23">
        <f>GC23+GD23+GE23+GF23+GG23</f>
        <v>2.4</v>
      </c>
      <c r="GL23">
        <f>MEDIAN(FS23:FW23)</f>
        <v>3</v>
      </c>
    </row>
    <row r="24" spans="1:194" hidden="1" x14ac:dyDescent="0.25">
      <c r="A24">
        <v>23</v>
      </c>
      <c r="B24" t="s">
        <v>2</v>
      </c>
      <c r="C24" s="4">
        <v>94.05</v>
      </c>
      <c r="D24">
        <v>3.3</v>
      </c>
      <c r="E24" s="1">
        <f>C24/3/D24</f>
        <v>9.5</v>
      </c>
      <c r="G24">
        <v>34.94</v>
      </c>
      <c r="H24">
        <v>8.1999999999999993</v>
      </c>
      <c r="I24">
        <f>H24*D24*3</f>
        <v>81.179999999999978</v>
      </c>
      <c r="J24">
        <v>16.11</v>
      </c>
      <c r="K24">
        <v>9</v>
      </c>
      <c r="L24" s="3">
        <f>K24*3*D24</f>
        <v>89.1</v>
      </c>
      <c r="M24">
        <v>5.55</v>
      </c>
      <c r="N24">
        <v>0</v>
      </c>
      <c r="O24">
        <f>N24*D24*3</f>
        <v>0</v>
      </c>
      <c r="P24" s="5">
        <v>7.5</v>
      </c>
      <c r="Q24" s="5">
        <f>P24*D24*3</f>
        <v>74.25</v>
      </c>
      <c r="S24" t="s">
        <v>6161</v>
      </c>
      <c r="T24">
        <v>7.3</v>
      </c>
      <c r="U24" s="8">
        <f>T24*D24*3</f>
        <v>72.27</v>
      </c>
      <c r="V24">
        <v>32.83</v>
      </c>
      <c r="W24">
        <v>8.4</v>
      </c>
      <c r="X24" s="5">
        <f>W24*D24*3</f>
        <v>83.16</v>
      </c>
      <c r="Y24">
        <v>12.11</v>
      </c>
      <c r="Z24">
        <v>7.5</v>
      </c>
      <c r="AA24">
        <f>Z24*D24*3</f>
        <v>74.25</v>
      </c>
      <c r="AC24">
        <v>44.54</v>
      </c>
      <c r="AD24">
        <v>8</v>
      </c>
      <c r="AE24" s="1">
        <f>AD24*3*D24</f>
        <v>79.199999999999989</v>
      </c>
      <c r="AF24">
        <v>9.5</v>
      </c>
      <c r="AH24" s="5">
        <f>AG24*D24*3</f>
        <v>0</v>
      </c>
      <c r="AI24" s="13"/>
      <c r="AK24" s="8">
        <f>AJ24*D24*3</f>
        <v>0</v>
      </c>
      <c r="AL24" s="13"/>
      <c r="AM24">
        <v>31.07</v>
      </c>
      <c r="AN24">
        <v>7.1</v>
      </c>
      <c r="AO24" s="8">
        <f>AN24*D24*3</f>
        <v>70.289999999999992</v>
      </c>
      <c r="AP24">
        <v>14.46</v>
      </c>
      <c r="AQ24">
        <v>9.5</v>
      </c>
      <c r="AR24">
        <f>AQ24*D24*3</f>
        <v>94.05</v>
      </c>
      <c r="AS24">
        <v>10.55</v>
      </c>
      <c r="AT24">
        <v>8.8000000000000007</v>
      </c>
      <c r="AU24">
        <f>AT24*D24*3</f>
        <v>87.12</v>
      </c>
      <c r="AW24">
        <v>26.59</v>
      </c>
      <c r="AX24">
        <v>9.3000000000000007</v>
      </c>
      <c r="AY24">
        <f>AX24*D24*3</f>
        <v>92.070000000000007</v>
      </c>
      <c r="AZ24">
        <v>26.59</v>
      </c>
      <c r="BA24">
        <v>9</v>
      </c>
      <c r="BB24">
        <f>BA24*D24*3</f>
        <v>89.1</v>
      </c>
      <c r="BD24">
        <v>8.6</v>
      </c>
      <c r="BE24">
        <f>BD24*D24*3</f>
        <v>85.14</v>
      </c>
      <c r="BG24" s="10"/>
      <c r="BH24" s="1">
        <f>CHOOSE(MATCH(MIN(ABS(BP24-C24),ABS(BQ24-C24),ABS(BR24-C24)),CHOOSE({1;2;3},ABS(BP24-C24),ABS(BQ24-C24),ABS(BR24-C24)),0),BP24,BQ24,BR24)</f>
        <v>89.1</v>
      </c>
      <c r="BJ24" s="1" cm="1">
        <f t="array" ref="BJ24">(INDEX(_xlfn._xlws.SORT(CHOOSE({1;2;3;4;5;6},BQ24,BR24,L24,AE24,BO24,BP24)),3) + INDEX(_xlfn._xlws.SORT(CHOOSE({1;2;3;4;5;6},BQ24,BR24,L24,AE24,BO24,BP24)),4))/2</f>
        <v>79.199999999999989</v>
      </c>
      <c r="BK24">
        <v>9.3806064756644805</v>
      </c>
      <c r="BL24" t="s">
        <v>6117</v>
      </c>
      <c r="BM24" s="1">
        <f>BK24*3*D24</f>
        <v>92.868004109078356</v>
      </c>
      <c r="BN24" s="1">
        <f>BM24-C24</f>
        <v>-1.181995890921641</v>
      </c>
      <c r="BO24" s="1">
        <f>GK24*3*D24</f>
        <v>44.55</v>
      </c>
      <c r="BP24" s="1">
        <f>DO24*3*D24</f>
        <v>89.1</v>
      </c>
      <c r="BQ24" s="1">
        <f>FJ24*3*D24</f>
        <v>79.199999999999989</v>
      </c>
      <c r="BR24" s="1">
        <f>GL24*3*D24</f>
        <v>49.5</v>
      </c>
      <c r="BT24">
        <v>34.94</v>
      </c>
      <c r="BU24">
        <v>8.1999999999999993</v>
      </c>
      <c r="BV24" t="s">
        <v>5072</v>
      </c>
      <c r="BW24" t="s">
        <v>5073</v>
      </c>
      <c r="BX24" t="s">
        <v>5074</v>
      </c>
      <c r="BY24" t="s">
        <v>5075</v>
      </c>
      <c r="BZ24" t="s">
        <v>5076</v>
      </c>
      <c r="CA24" t="s">
        <v>2633</v>
      </c>
      <c r="CC24" t="s">
        <v>2634</v>
      </c>
      <c r="CD24" t="s">
        <v>2635</v>
      </c>
      <c r="CE24" t="s">
        <v>2482</v>
      </c>
      <c r="CG24" t="s">
        <v>2636</v>
      </c>
      <c r="CH24" t="s">
        <v>2637</v>
      </c>
      <c r="CI24" t="s">
        <v>2638</v>
      </c>
      <c r="CK24" t="s">
        <v>2639</v>
      </c>
      <c r="CL24" t="s">
        <v>2640</v>
      </c>
      <c r="CM24" t="s">
        <v>2641</v>
      </c>
      <c r="CO24" t="s">
        <v>2642</v>
      </c>
      <c r="CP24" t="s">
        <v>2643</v>
      </c>
      <c r="CQ24" t="s">
        <v>2644</v>
      </c>
      <c r="CS24" t="s">
        <v>2645</v>
      </c>
      <c r="CT24" t="s">
        <v>2646</v>
      </c>
      <c r="CV24">
        <v>9</v>
      </c>
      <c r="CW24">
        <v>9</v>
      </c>
      <c r="CX24">
        <v>9</v>
      </c>
      <c r="CY24">
        <v>9</v>
      </c>
      <c r="CZ24">
        <v>9</v>
      </c>
      <c r="DA24">
        <v>0.1</v>
      </c>
      <c r="DB24">
        <v>0.1</v>
      </c>
      <c r="DC24">
        <v>0.2</v>
      </c>
      <c r="DD24">
        <v>0.3</v>
      </c>
      <c r="DE24">
        <v>0.3</v>
      </c>
      <c r="DF24">
        <v>0.9</v>
      </c>
      <c r="DG24">
        <v>0.9</v>
      </c>
      <c r="DH24">
        <v>1.8</v>
      </c>
      <c r="DI24">
        <v>2.7</v>
      </c>
      <c r="DJ24">
        <v>2.7</v>
      </c>
      <c r="DK24">
        <v>8.1999999999999993</v>
      </c>
      <c r="DL24">
        <v>0</v>
      </c>
      <c r="DM24">
        <v>8.1999999999999993</v>
      </c>
      <c r="DN24">
        <v>9</v>
      </c>
      <c r="DO24">
        <f>AVERAGE(CV24:CZ24)</f>
        <v>9</v>
      </c>
      <c r="DQ24">
        <v>8</v>
      </c>
      <c r="DR24" t="s">
        <v>65</v>
      </c>
      <c r="DS24" t="s">
        <v>66</v>
      </c>
      <c r="DT24" t="s">
        <v>67</v>
      </c>
      <c r="DU24" t="s">
        <v>68</v>
      </c>
      <c r="DV24" t="s">
        <v>69</v>
      </c>
      <c r="DW24" t="s">
        <v>3836</v>
      </c>
      <c r="DX24" t="s">
        <v>3837</v>
      </c>
      <c r="DY24" t="s">
        <v>3875</v>
      </c>
      <c r="DZ24" t="s">
        <v>3827</v>
      </c>
      <c r="EA24" t="s">
        <v>3860</v>
      </c>
      <c r="EB24" t="s">
        <v>3840</v>
      </c>
      <c r="EC24" t="s">
        <v>3876</v>
      </c>
      <c r="ED24" t="s">
        <v>3827</v>
      </c>
      <c r="EE24" t="s">
        <v>3877</v>
      </c>
      <c r="EF24" t="s">
        <v>3797</v>
      </c>
      <c r="EG24" t="s">
        <v>3878</v>
      </c>
      <c r="EH24" t="s">
        <v>3827</v>
      </c>
      <c r="EI24" t="s">
        <v>3879</v>
      </c>
      <c r="EJ24" t="s">
        <v>3800</v>
      </c>
      <c r="EK24" t="s">
        <v>3987</v>
      </c>
      <c r="EL24" t="s">
        <v>3827</v>
      </c>
      <c r="EM24" t="s">
        <v>3881</v>
      </c>
      <c r="EN24" t="s">
        <v>3803</v>
      </c>
      <c r="EO24" t="s">
        <v>3882</v>
      </c>
      <c r="EP24" t="s">
        <v>3827</v>
      </c>
      <c r="EQ24">
        <v>8</v>
      </c>
      <c r="ER24">
        <v>8</v>
      </c>
      <c r="ES24">
        <v>8</v>
      </c>
      <c r="ET24">
        <v>8</v>
      </c>
      <c r="EU24">
        <v>8</v>
      </c>
      <c r="EV24">
        <v>0.1</v>
      </c>
      <c r="EW24">
        <v>0.1</v>
      </c>
      <c r="EX24">
        <v>0.2</v>
      </c>
      <c r="EY24">
        <v>0.3</v>
      </c>
      <c r="EZ24">
        <v>0.3</v>
      </c>
      <c r="FA24">
        <f>EV24*EQ24</f>
        <v>0.8</v>
      </c>
      <c r="FB24">
        <f>EW24*ER24</f>
        <v>0.8</v>
      </c>
      <c r="FC24">
        <f>EX24*ES24</f>
        <v>1.6</v>
      </c>
      <c r="FD24">
        <f>EY24*ET24</f>
        <v>2.4</v>
      </c>
      <c r="FE24">
        <f>EZ24*EU24</f>
        <v>2.4</v>
      </c>
      <c r="FF24">
        <v>16</v>
      </c>
      <c r="FG24">
        <v>0</v>
      </c>
      <c r="FH24">
        <v>8</v>
      </c>
      <c r="FI24">
        <f>FA24+FB24+FC24+FD24+FE24</f>
        <v>8</v>
      </c>
      <c r="FJ24">
        <f>MEDIAN(EQ24:EU24)</f>
        <v>8</v>
      </c>
      <c r="FL24">
        <v>37.729999999999997</v>
      </c>
      <c r="FM24">
        <v>5</v>
      </c>
      <c r="FN24" t="s">
        <v>710</v>
      </c>
      <c r="FO24" t="s">
        <v>711</v>
      </c>
      <c r="FP24" t="s">
        <v>712</v>
      </c>
      <c r="FQ24" t="s">
        <v>713</v>
      </c>
      <c r="FR24" t="s">
        <v>714</v>
      </c>
      <c r="FS24">
        <v>6</v>
      </c>
      <c r="FT24">
        <v>7</v>
      </c>
      <c r="FU24">
        <v>4</v>
      </c>
      <c r="FV24">
        <v>5</v>
      </c>
      <c r="FW24">
        <v>3</v>
      </c>
      <c r="FX24">
        <v>0.1</v>
      </c>
      <c r="FY24">
        <v>0.1</v>
      </c>
      <c r="FZ24">
        <v>0.2</v>
      </c>
      <c r="GA24">
        <v>0.3</v>
      </c>
      <c r="GB24">
        <v>0.3</v>
      </c>
      <c r="GC24">
        <f>FS24*FX24</f>
        <v>0.60000000000000009</v>
      </c>
      <c r="GD24">
        <f>FT24*FY24</f>
        <v>0.70000000000000007</v>
      </c>
      <c r="GE24">
        <f>FU24*FZ24</f>
        <v>0.8</v>
      </c>
      <c r="GF24">
        <f>FV24*GA24</f>
        <v>1.5</v>
      </c>
      <c r="GG24">
        <f>FW24*GB24</f>
        <v>0.89999999999999991</v>
      </c>
      <c r="GH24">
        <v>4.8</v>
      </c>
      <c r="GI24">
        <v>0.2</v>
      </c>
      <c r="GJ24">
        <v>5</v>
      </c>
      <c r="GK24">
        <f>GC24+GD24+GE24+GF24+GG24</f>
        <v>4.5</v>
      </c>
      <c r="GL24">
        <f>MEDIAN(FS24:FW24)</f>
        <v>5</v>
      </c>
    </row>
    <row r="25" spans="1:194" hidden="1" x14ac:dyDescent="0.25">
      <c r="A25">
        <v>24</v>
      </c>
      <c r="B25" t="s">
        <v>2</v>
      </c>
      <c r="C25" s="4">
        <v>94.5</v>
      </c>
      <c r="D25">
        <v>3.5</v>
      </c>
      <c r="E25" s="1">
        <f>C25/3/D25</f>
        <v>9</v>
      </c>
      <c r="G25">
        <v>35.83</v>
      </c>
      <c r="H25">
        <v>8.1999999999999993</v>
      </c>
      <c r="I25">
        <f>H25*D25*3</f>
        <v>86.1</v>
      </c>
      <c r="J25">
        <v>17.46</v>
      </c>
      <c r="K25">
        <v>9.5</v>
      </c>
      <c r="L25" s="3">
        <f>K25*3*D25</f>
        <v>99.75</v>
      </c>
      <c r="M25">
        <v>5.9</v>
      </c>
      <c r="N25">
        <v>7</v>
      </c>
      <c r="O25">
        <f>N25*D25*3</f>
        <v>73.5</v>
      </c>
      <c r="P25" s="5">
        <v>7</v>
      </c>
      <c r="Q25" s="5">
        <f>P25*D25*3</f>
        <v>73.5</v>
      </c>
      <c r="S25" t="s">
        <v>6162</v>
      </c>
      <c r="T25">
        <v>4.9000000000000004</v>
      </c>
      <c r="U25" s="8">
        <f>T25*D25*3</f>
        <v>51.45</v>
      </c>
      <c r="V25">
        <v>33.97</v>
      </c>
      <c r="W25">
        <v>9</v>
      </c>
      <c r="X25" s="5">
        <f>W25*D25*3</f>
        <v>94.5</v>
      </c>
      <c r="Y25">
        <v>11.82</v>
      </c>
      <c r="Z25">
        <v>7.5</v>
      </c>
      <c r="AA25">
        <f>Z25*D25*3</f>
        <v>78.75</v>
      </c>
      <c r="AC25">
        <v>45.89</v>
      </c>
      <c r="AD25">
        <v>8</v>
      </c>
      <c r="AE25" s="1">
        <f>AD25*3*D25</f>
        <v>84</v>
      </c>
      <c r="AF25">
        <v>12.12</v>
      </c>
      <c r="AG25" s="5">
        <v>7</v>
      </c>
      <c r="AH25" s="5">
        <f>AG25*D25*3</f>
        <v>73.5</v>
      </c>
      <c r="AI25" s="13"/>
      <c r="AJ25">
        <v>8.3000000000000007</v>
      </c>
      <c r="AK25" s="8">
        <f>AJ25*D25*3</f>
        <v>87.15</v>
      </c>
      <c r="AL25" s="13"/>
      <c r="AM25">
        <v>30.65</v>
      </c>
      <c r="AN25">
        <v>7</v>
      </c>
      <c r="AO25" s="8">
        <f>AN25*D25*3</f>
        <v>73.5</v>
      </c>
      <c r="AP25">
        <v>14.15</v>
      </c>
      <c r="AQ25">
        <v>10</v>
      </c>
      <c r="AR25">
        <f>AQ25*D25*3</f>
        <v>105</v>
      </c>
      <c r="AS25">
        <v>10.44</v>
      </c>
      <c r="AT25">
        <v>9.3000000000000007</v>
      </c>
      <c r="AU25">
        <f>AT25*D25*3</f>
        <v>97.65</v>
      </c>
      <c r="AW25">
        <v>24.6</v>
      </c>
      <c r="AX25">
        <v>9.6</v>
      </c>
      <c r="AY25">
        <f>AX25*D25*3</f>
        <v>100.80000000000001</v>
      </c>
      <c r="AZ25">
        <v>24.6</v>
      </c>
      <c r="BA25">
        <v>7.6</v>
      </c>
      <c r="BB25">
        <f>BA25*D25*3</f>
        <v>79.8</v>
      </c>
      <c r="BD25">
        <v>8.6</v>
      </c>
      <c r="BE25">
        <f>BD25*D25*3</f>
        <v>90.3</v>
      </c>
      <c r="BG25" s="10"/>
      <c r="BH25" s="1">
        <f>CHOOSE(MATCH(MIN(ABS(BP25-C25),ABS(BQ25-C25),ABS(BR25-C25)),CHOOSE({1;2;3},ABS(BP25-C25),ABS(BQ25-C25),ABS(BR25-C25)),0),BP25,BQ25,BR25)</f>
        <v>94.5</v>
      </c>
      <c r="BJ25" s="1" cm="1">
        <f t="array" ref="BJ25">(INDEX(_xlfn._xlws.SORT(CHOOSE({1;2;3;4;5;6},BQ25,BR25,L25,AE25,BO25,BP25)),3) + INDEX(_xlfn._xlws.SORT(CHOOSE({1;2;3;4;5;6},BQ25,BR25,L25,AE25,BO25,BP25)),4))/2</f>
        <v>84</v>
      </c>
      <c r="BK25">
        <v>8.9779357611128798</v>
      </c>
      <c r="BL25" t="s">
        <v>6117</v>
      </c>
      <c r="BM25" s="1">
        <f>BK25*3*D25</f>
        <v>94.268325491685232</v>
      </c>
      <c r="BN25" s="1">
        <f>BM25-C25</f>
        <v>-0.23167450831476799</v>
      </c>
      <c r="BO25" s="1">
        <f>GK25*3*D25</f>
        <v>61.42499999999999</v>
      </c>
      <c r="BP25" s="1">
        <f>DO25*3*D25</f>
        <v>94.5</v>
      </c>
      <c r="BQ25" s="1">
        <f>FJ25*3*D25</f>
        <v>84</v>
      </c>
      <c r="BR25" s="1">
        <f>GL25*3*D25</f>
        <v>63</v>
      </c>
      <c r="BT25">
        <v>35.83</v>
      </c>
      <c r="BU25">
        <v>8.1999999999999993</v>
      </c>
      <c r="BV25" t="s">
        <v>5077</v>
      </c>
      <c r="BW25" t="s">
        <v>5078</v>
      </c>
      <c r="BX25" t="s">
        <v>5079</v>
      </c>
      <c r="BY25" t="s">
        <v>5080</v>
      </c>
      <c r="BZ25" t="s">
        <v>5081</v>
      </c>
      <c r="CA25" t="s">
        <v>2506</v>
      </c>
      <c r="CC25" t="s">
        <v>2507</v>
      </c>
      <c r="CD25" t="s">
        <v>2508</v>
      </c>
      <c r="CE25" t="s">
        <v>2440</v>
      </c>
      <c r="CG25" t="s">
        <v>2509</v>
      </c>
      <c r="CH25" t="s">
        <v>2510</v>
      </c>
      <c r="CI25" t="s">
        <v>2443</v>
      </c>
      <c r="CK25" t="s">
        <v>2511</v>
      </c>
      <c r="CL25" t="s">
        <v>2512</v>
      </c>
      <c r="CM25" t="s">
        <v>2446</v>
      </c>
      <c r="CO25" t="s">
        <v>2513</v>
      </c>
      <c r="CP25" t="s">
        <v>2514</v>
      </c>
      <c r="CQ25" t="s">
        <v>2449</v>
      </c>
      <c r="CS25" t="s">
        <v>2523</v>
      </c>
      <c r="CT25" t="s">
        <v>2524</v>
      </c>
      <c r="CV25">
        <v>9</v>
      </c>
      <c r="CW25">
        <v>9</v>
      </c>
      <c r="CX25">
        <v>9</v>
      </c>
      <c r="CY25">
        <v>9</v>
      </c>
      <c r="CZ25">
        <v>9</v>
      </c>
      <c r="DA25">
        <v>0.1</v>
      </c>
      <c r="DB25">
        <v>0.1</v>
      </c>
      <c r="DC25">
        <v>0.2</v>
      </c>
      <c r="DD25">
        <v>0.3</v>
      </c>
      <c r="DE25">
        <v>0.3</v>
      </c>
      <c r="DF25">
        <v>0.9</v>
      </c>
      <c r="DG25">
        <v>0.9</v>
      </c>
      <c r="DH25">
        <v>1.8</v>
      </c>
      <c r="DI25">
        <v>2.7</v>
      </c>
      <c r="DJ25">
        <v>2.7</v>
      </c>
      <c r="DK25">
        <v>8.1999999999999993</v>
      </c>
      <c r="DL25">
        <v>0</v>
      </c>
      <c r="DM25">
        <v>8.1999999999999993</v>
      </c>
      <c r="DN25">
        <v>9.5</v>
      </c>
      <c r="DO25">
        <f>AVERAGE(CV25:CZ25)</f>
        <v>9</v>
      </c>
      <c r="DQ25" t="s">
        <v>27</v>
      </c>
      <c r="DR25" t="s">
        <v>65</v>
      </c>
      <c r="DS25" t="s">
        <v>66</v>
      </c>
      <c r="DT25" t="s">
        <v>67</v>
      </c>
      <c r="DU25" t="s">
        <v>68</v>
      </c>
      <c r="DV25" t="s">
        <v>97</v>
      </c>
      <c r="DW25" t="s">
        <v>3836</v>
      </c>
      <c r="DX25" t="s">
        <v>3837</v>
      </c>
      <c r="DY25" t="s">
        <v>3896</v>
      </c>
      <c r="DZ25" t="s">
        <v>3897</v>
      </c>
      <c r="EA25" t="s">
        <v>3860</v>
      </c>
      <c r="EB25" t="s">
        <v>3840</v>
      </c>
      <c r="EC25" t="s">
        <v>3898</v>
      </c>
      <c r="ED25" t="s">
        <v>3899</v>
      </c>
      <c r="EE25" t="s">
        <v>3863</v>
      </c>
      <c r="EF25" t="s">
        <v>3900</v>
      </c>
      <c r="EG25" t="s">
        <v>3901</v>
      </c>
      <c r="EH25" t="s">
        <v>3902</v>
      </c>
      <c r="EI25" t="s">
        <v>3988</v>
      </c>
      <c r="EJ25" t="s">
        <v>3890</v>
      </c>
      <c r="EK25" t="s">
        <v>3905</v>
      </c>
      <c r="EL25" t="s">
        <v>3906</v>
      </c>
      <c r="EM25" t="s">
        <v>3989</v>
      </c>
      <c r="EN25" t="s">
        <v>3990</v>
      </c>
      <c r="EO25" t="s">
        <v>3909</v>
      </c>
      <c r="EP25" t="s">
        <v>3910</v>
      </c>
      <c r="EQ25">
        <v>8</v>
      </c>
      <c r="ER25">
        <v>8</v>
      </c>
      <c r="ES25">
        <v>8</v>
      </c>
      <c r="ET25">
        <v>8</v>
      </c>
      <c r="EU25">
        <v>8</v>
      </c>
      <c r="EV25">
        <v>0.1</v>
      </c>
      <c r="EW25">
        <v>0.1</v>
      </c>
      <c r="EX25">
        <v>0.2</v>
      </c>
      <c r="EY25">
        <v>0.3</v>
      </c>
      <c r="EZ25">
        <v>0.3</v>
      </c>
      <c r="FA25">
        <f>EV25*EQ25</f>
        <v>0.8</v>
      </c>
      <c r="FB25">
        <f>EW25*ER25</f>
        <v>0.8</v>
      </c>
      <c r="FC25">
        <f>EX25*ES25</f>
        <v>1.6</v>
      </c>
      <c r="FD25">
        <f>EY25*ET25</f>
        <v>2.4</v>
      </c>
      <c r="FE25">
        <f>EZ25*EU25</f>
        <v>2.4</v>
      </c>
      <c r="FF25">
        <v>17</v>
      </c>
      <c r="FG25">
        <v>0</v>
      </c>
      <c r="FH25">
        <v>9</v>
      </c>
      <c r="FI25">
        <f>FA25+FB25+FC25+FD25+FE25</f>
        <v>8</v>
      </c>
      <c r="FJ25">
        <f>MEDIAN(EQ25:EU25)</f>
        <v>8</v>
      </c>
      <c r="FL25">
        <v>42.22</v>
      </c>
      <c r="FM25">
        <v>6</v>
      </c>
      <c r="FN25" t="s">
        <v>715</v>
      </c>
      <c r="FO25" t="s">
        <v>716</v>
      </c>
      <c r="FP25" t="s">
        <v>717</v>
      </c>
      <c r="FQ25" t="s">
        <v>718</v>
      </c>
      <c r="FR25" t="s">
        <v>719</v>
      </c>
      <c r="FS25">
        <v>6.5</v>
      </c>
      <c r="FT25">
        <v>7</v>
      </c>
      <c r="FU25">
        <v>4.5</v>
      </c>
      <c r="FV25">
        <v>6</v>
      </c>
      <c r="FW25">
        <v>6</v>
      </c>
      <c r="FX25">
        <v>0.1</v>
      </c>
      <c r="FY25">
        <v>0.1</v>
      </c>
      <c r="FZ25">
        <v>0.2</v>
      </c>
      <c r="GA25">
        <v>0.3</v>
      </c>
      <c r="GB25">
        <v>0.3</v>
      </c>
      <c r="GC25">
        <f>FS25*FX25</f>
        <v>0.65</v>
      </c>
      <c r="GD25">
        <f>FT25*FY25</f>
        <v>0.70000000000000007</v>
      </c>
      <c r="GE25">
        <f>FU25*FZ25</f>
        <v>0.9</v>
      </c>
      <c r="GF25">
        <f>FV25*GA25</f>
        <v>1.7999999999999998</v>
      </c>
      <c r="GG25">
        <f>FW25*GB25</f>
        <v>1.7999999999999998</v>
      </c>
      <c r="GH25">
        <v>6</v>
      </c>
      <c r="GI25">
        <v>0</v>
      </c>
      <c r="GJ25">
        <v>6</v>
      </c>
      <c r="GK25">
        <f>GC25+GD25+GE25+GF25+GG25</f>
        <v>5.85</v>
      </c>
      <c r="GL25">
        <f>MEDIAN(FS25:FW25)</f>
        <v>6</v>
      </c>
    </row>
    <row r="26" spans="1:194" hidden="1" x14ac:dyDescent="0.25">
      <c r="A26">
        <v>25</v>
      </c>
      <c r="B26" t="s">
        <v>2</v>
      </c>
      <c r="C26" s="4">
        <v>81.599999999999994</v>
      </c>
      <c r="D26">
        <v>3.2</v>
      </c>
      <c r="E26" s="1">
        <f>C26/3/D26</f>
        <v>8.5</v>
      </c>
      <c r="G26">
        <v>39.35</v>
      </c>
      <c r="H26">
        <v>8.1999999999999993</v>
      </c>
      <c r="I26">
        <f>H26*D26*3</f>
        <v>78.72</v>
      </c>
      <c r="J26">
        <v>16.82</v>
      </c>
      <c r="K26">
        <v>8.4</v>
      </c>
      <c r="L26" s="3">
        <f>K26*3*D26</f>
        <v>80.640000000000015</v>
      </c>
      <c r="M26">
        <v>4.2300000000000004</v>
      </c>
      <c r="N26">
        <v>9</v>
      </c>
      <c r="O26">
        <f>N26*D26*3</f>
        <v>86.4</v>
      </c>
      <c r="P26" s="5">
        <v>8.9</v>
      </c>
      <c r="Q26" s="5">
        <f>P26*D26*3</f>
        <v>85.440000000000012</v>
      </c>
      <c r="S26" t="s">
        <v>6163</v>
      </c>
      <c r="T26">
        <v>5</v>
      </c>
      <c r="U26" s="8">
        <f>T26*D26*3</f>
        <v>48</v>
      </c>
      <c r="V26">
        <v>31.13</v>
      </c>
      <c r="W26">
        <v>8.6999999999999993</v>
      </c>
      <c r="X26" s="5">
        <f>W26*D26*3</f>
        <v>83.52</v>
      </c>
      <c r="Y26">
        <v>11.43</v>
      </c>
      <c r="Z26">
        <v>7.8</v>
      </c>
      <c r="AA26">
        <f>Z26*D26*3</f>
        <v>74.88</v>
      </c>
      <c r="AC26">
        <v>46.65</v>
      </c>
      <c r="AD26">
        <v>8</v>
      </c>
      <c r="AE26" s="1">
        <f>AD26*3*D26</f>
        <v>76.800000000000011</v>
      </c>
      <c r="AF26">
        <v>11.75</v>
      </c>
      <c r="AG26" s="5">
        <v>4</v>
      </c>
      <c r="AH26" s="5">
        <f>AG26*D26*3</f>
        <v>38.400000000000006</v>
      </c>
      <c r="AI26" s="13"/>
      <c r="AJ26">
        <v>26.5</v>
      </c>
      <c r="AK26" s="8">
        <f>AJ26*D26*3</f>
        <v>254.40000000000003</v>
      </c>
      <c r="AL26" s="13"/>
      <c r="AM26">
        <v>30.5</v>
      </c>
      <c r="AN26">
        <v>7.9</v>
      </c>
      <c r="AO26" s="8">
        <f>AN26*D26*3</f>
        <v>75.84</v>
      </c>
      <c r="AP26">
        <v>12.68</v>
      </c>
      <c r="AQ26">
        <v>9.1999999999999993</v>
      </c>
      <c r="AR26">
        <f>AQ26*D26*3</f>
        <v>88.32</v>
      </c>
      <c r="AS26">
        <v>11.01</v>
      </c>
      <c r="AT26">
        <v>8.8000000000000007</v>
      </c>
      <c r="AU26">
        <f>AT26*D26*3</f>
        <v>84.480000000000018</v>
      </c>
      <c r="AW26">
        <v>23.99</v>
      </c>
      <c r="AX26">
        <v>9.1999999999999993</v>
      </c>
      <c r="AY26">
        <f>AX26*D26*3</f>
        <v>88.32</v>
      </c>
      <c r="AZ26">
        <v>23.99</v>
      </c>
      <c r="BA26">
        <v>9</v>
      </c>
      <c r="BB26">
        <f>BA26*D26*3</f>
        <v>86.4</v>
      </c>
      <c r="BD26">
        <v>9</v>
      </c>
      <c r="BE26">
        <f>BD26*D26*3</f>
        <v>86.4</v>
      </c>
      <c r="BG26" s="10"/>
      <c r="BH26" s="1">
        <f>CHOOSE(MATCH(MIN(ABS(BP26-C26),ABS(BQ26-C26),ABS(BR26-C26)),CHOOSE({1;2;3},ABS(BP26-C26),ABS(BQ26-C26),ABS(BR26-C26)),0),BP26,BQ26,BR26)</f>
        <v>76.800000000000011</v>
      </c>
      <c r="BJ26" s="1" cm="1">
        <f t="array" ref="BJ26">(INDEX(_xlfn._xlws.SORT(CHOOSE({1;2;3;4;5;6},BQ26,BR26,L26,AE26,BO26,BP26)),3) + INDEX(_xlfn._xlws.SORT(CHOOSE({1;2;3;4;5;6},BQ26,BR26,L26,AE26,BO26,BP26)),4))/2</f>
        <v>76.800000000000011</v>
      </c>
      <c r="BK26">
        <v>8.4885671065166601</v>
      </c>
      <c r="BL26" t="s">
        <v>6117</v>
      </c>
      <c r="BM26" s="1">
        <f>BK26*3*D26</f>
        <v>81.490244222559937</v>
      </c>
      <c r="BN26" s="1">
        <f>BM26-C26</f>
        <v>-0.10975577744005705</v>
      </c>
      <c r="BO26" s="1">
        <f>GK26*3*D26</f>
        <v>37.44</v>
      </c>
      <c r="BP26" s="1">
        <f>DO26*3*D26</f>
        <v>86.4</v>
      </c>
      <c r="BQ26" s="1">
        <f>FJ26*3*D26</f>
        <v>76.800000000000011</v>
      </c>
      <c r="BR26" s="1">
        <f>GL26*3*D26</f>
        <v>38.400000000000006</v>
      </c>
      <c r="BT26">
        <v>39.35</v>
      </c>
      <c r="BU26">
        <v>8.1999999999999993</v>
      </c>
      <c r="BV26" t="s">
        <v>5055</v>
      </c>
      <c r="BW26" t="s">
        <v>5082</v>
      </c>
      <c r="BX26" t="s">
        <v>5057</v>
      </c>
      <c r="BY26" t="s">
        <v>5083</v>
      </c>
      <c r="BZ26" t="s">
        <v>5084</v>
      </c>
      <c r="CA26" t="s">
        <v>2437</v>
      </c>
      <c r="CC26" t="s">
        <v>2438</v>
      </c>
      <c r="CD26" t="s">
        <v>2439</v>
      </c>
      <c r="CE26" t="s">
        <v>2440</v>
      </c>
      <c r="CG26" t="s">
        <v>2647</v>
      </c>
      <c r="CH26" t="s">
        <v>2648</v>
      </c>
      <c r="CI26" t="s">
        <v>2535</v>
      </c>
      <c r="CK26" t="s">
        <v>2649</v>
      </c>
      <c r="CL26" t="s">
        <v>2650</v>
      </c>
      <c r="CM26" t="s">
        <v>2446</v>
      </c>
      <c r="CO26" t="s">
        <v>2651</v>
      </c>
      <c r="CP26" t="s">
        <v>2652</v>
      </c>
      <c r="CQ26" t="s">
        <v>2538</v>
      </c>
      <c r="CS26" t="s">
        <v>2653</v>
      </c>
      <c r="CT26" t="s">
        <v>2654</v>
      </c>
      <c r="CV26">
        <v>9</v>
      </c>
      <c r="CW26">
        <v>9</v>
      </c>
      <c r="CX26">
        <v>9</v>
      </c>
      <c r="CY26">
        <v>9</v>
      </c>
      <c r="CZ26">
        <v>9</v>
      </c>
      <c r="DA26">
        <v>0.1</v>
      </c>
      <c r="DB26">
        <v>0.1</v>
      </c>
      <c r="DC26">
        <v>0.2</v>
      </c>
      <c r="DD26">
        <v>0.3</v>
      </c>
      <c r="DE26">
        <v>0.3</v>
      </c>
      <c r="DF26">
        <v>0.9</v>
      </c>
      <c r="DG26">
        <v>0.9</v>
      </c>
      <c r="DH26">
        <v>1.8</v>
      </c>
      <c r="DI26">
        <v>2.7</v>
      </c>
      <c r="DJ26">
        <v>2.7</v>
      </c>
      <c r="DK26">
        <v>8.1999999999999993</v>
      </c>
      <c r="DL26">
        <v>0</v>
      </c>
      <c r="DM26">
        <v>8.1999999999999993</v>
      </c>
      <c r="DN26">
        <v>8.4</v>
      </c>
      <c r="DO26">
        <f>AVERAGE(CV26:CZ26)</f>
        <v>9</v>
      </c>
      <c r="DQ26" t="s">
        <v>27</v>
      </c>
      <c r="DR26" t="s">
        <v>33</v>
      </c>
      <c r="DS26" t="s">
        <v>93</v>
      </c>
      <c r="DT26" t="s">
        <v>98</v>
      </c>
      <c r="DU26" t="s">
        <v>95</v>
      </c>
      <c r="DV26" t="s">
        <v>99</v>
      </c>
      <c r="DW26" t="s">
        <v>3788</v>
      </c>
      <c r="DX26" t="s">
        <v>3991</v>
      </c>
      <c r="DY26" t="s">
        <v>3974</v>
      </c>
      <c r="DZ26" t="s">
        <v>3975</v>
      </c>
      <c r="EA26" t="s">
        <v>3934</v>
      </c>
      <c r="EB26" t="s">
        <v>3793</v>
      </c>
      <c r="EC26" t="s">
        <v>3976</v>
      </c>
      <c r="ED26" t="s">
        <v>3977</v>
      </c>
      <c r="EE26" t="s">
        <v>3978</v>
      </c>
      <c r="EF26" t="s">
        <v>3797</v>
      </c>
      <c r="EG26" t="s">
        <v>3979</v>
      </c>
      <c r="EH26" t="s">
        <v>3980</v>
      </c>
      <c r="EI26" t="s">
        <v>3981</v>
      </c>
      <c r="EJ26" t="s">
        <v>3800</v>
      </c>
      <c r="EK26" t="s">
        <v>3982</v>
      </c>
      <c r="EL26" t="s">
        <v>3983</v>
      </c>
      <c r="EM26" t="s">
        <v>3984</v>
      </c>
      <c r="EN26" t="s">
        <v>3803</v>
      </c>
      <c r="EO26" t="s">
        <v>3985</v>
      </c>
      <c r="EP26" t="s">
        <v>3986</v>
      </c>
      <c r="EQ26">
        <v>8</v>
      </c>
      <c r="ER26">
        <v>8</v>
      </c>
      <c r="ES26">
        <v>8</v>
      </c>
      <c r="ET26">
        <v>8</v>
      </c>
      <c r="EU26">
        <v>8</v>
      </c>
      <c r="EV26">
        <v>0.1</v>
      </c>
      <c r="EW26">
        <v>0.1</v>
      </c>
      <c r="EX26">
        <v>0.2</v>
      </c>
      <c r="EY26">
        <v>0.3</v>
      </c>
      <c r="EZ26">
        <v>0.3</v>
      </c>
      <c r="FA26">
        <f>EV26*EQ26</f>
        <v>0.8</v>
      </c>
      <c r="FB26">
        <f>EW26*ER26</f>
        <v>0.8</v>
      </c>
      <c r="FC26">
        <f>EX26*ES26</f>
        <v>1.6</v>
      </c>
      <c r="FD26">
        <f>EY26*ET26</f>
        <v>2.4</v>
      </c>
      <c r="FE26">
        <f>EZ26*EU26</f>
        <v>2.4</v>
      </c>
      <c r="FF26">
        <v>17</v>
      </c>
      <c r="FG26">
        <v>0</v>
      </c>
      <c r="FH26">
        <v>8</v>
      </c>
      <c r="FI26">
        <f>FA26+FB26+FC26+FD26+FE26</f>
        <v>8</v>
      </c>
      <c r="FJ26">
        <f>MEDIAN(EQ26:EU26)</f>
        <v>8</v>
      </c>
      <c r="FL26">
        <v>35.82</v>
      </c>
      <c r="FM26">
        <v>7.9</v>
      </c>
      <c r="FN26" t="s">
        <v>720</v>
      </c>
      <c r="FO26" t="s">
        <v>721</v>
      </c>
      <c r="FP26" t="s">
        <v>722</v>
      </c>
      <c r="FQ26" t="s">
        <v>723</v>
      </c>
      <c r="FR26" t="s">
        <v>724</v>
      </c>
      <c r="FS26">
        <v>5</v>
      </c>
      <c r="FT26">
        <v>4</v>
      </c>
      <c r="FU26">
        <v>3</v>
      </c>
      <c r="FV26">
        <v>2</v>
      </c>
      <c r="FW26">
        <v>6</v>
      </c>
      <c r="FX26">
        <v>0.1</v>
      </c>
      <c r="FY26">
        <v>0.1</v>
      </c>
      <c r="FZ26">
        <v>0.2</v>
      </c>
      <c r="GA26">
        <v>0.3</v>
      </c>
      <c r="GB26">
        <v>0.3</v>
      </c>
      <c r="GC26">
        <f>FS26*FX26</f>
        <v>0.5</v>
      </c>
      <c r="GD26">
        <f>FT26*FY26</f>
        <v>0.4</v>
      </c>
      <c r="GE26">
        <f>FU26*FZ26</f>
        <v>0.60000000000000009</v>
      </c>
      <c r="GF26">
        <f>FV26*GA26</f>
        <v>0.6</v>
      </c>
      <c r="GG26">
        <f>FW26*GB26</f>
        <v>1.7999999999999998</v>
      </c>
      <c r="GH26">
        <v>7.9</v>
      </c>
      <c r="GI26">
        <v>0</v>
      </c>
      <c r="GJ26">
        <v>7.9</v>
      </c>
      <c r="GK26">
        <f>GC26+GD26+GE26+GF26+GG26</f>
        <v>3.9</v>
      </c>
      <c r="GL26">
        <f>MEDIAN(FS26:FW26)</f>
        <v>4</v>
      </c>
    </row>
    <row r="27" spans="1:194" x14ac:dyDescent="0.25">
      <c r="A27">
        <v>166</v>
      </c>
      <c r="B27" t="s">
        <v>2</v>
      </c>
      <c r="C27" s="4">
        <v>89.1</v>
      </c>
      <c r="D27">
        <v>3.3</v>
      </c>
      <c r="E27" s="1">
        <f>C27/3/D27</f>
        <v>9</v>
      </c>
      <c r="G27">
        <v>39.53</v>
      </c>
      <c r="H27">
        <v>3.8</v>
      </c>
      <c r="I27">
        <f>H27*D27*3</f>
        <v>37.619999999999997</v>
      </c>
      <c r="J27">
        <v>18.010000000000002</v>
      </c>
      <c r="K27">
        <v>9</v>
      </c>
      <c r="L27" s="3">
        <f>K27*3*D27</f>
        <v>89.1</v>
      </c>
      <c r="M27">
        <v>5.24</v>
      </c>
      <c r="N27">
        <v>5</v>
      </c>
      <c r="O27">
        <f>N27*D27*3</f>
        <v>49.5</v>
      </c>
      <c r="P27" s="5">
        <v>7</v>
      </c>
      <c r="Q27" s="5">
        <f>P27*D27*3</f>
        <v>69.3</v>
      </c>
      <c r="S27" t="s">
        <v>6299</v>
      </c>
      <c r="T27">
        <v>5.5</v>
      </c>
      <c r="U27" s="8">
        <f>T27*D27*3</f>
        <v>54.449999999999996</v>
      </c>
      <c r="V27">
        <v>30.75</v>
      </c>
      <c r="W27">
        <v>7.9</v>
      </c>
      <c r="X27" s="5">
        <f>W27*D27*3</f>
        <v>78.210000000000008</v>
      </c>
      <c r="Y27">
        <v>8.9600000000000009</v>
      </c>
      <c r="Z27">
        <v>6</v>
      </c>
      <c r="AA27">
        <f>Z27*D27*3</f>
        <v>59.399999999999991</v>
      </c>
      <c r="AC27">
        <v>46.78</v>
      </c>
      <c r="AD27">
        <v>8</v>
      </c>
      <c r="AE27" s="1">
        <f>AD27*3*D27</f>
        <v>79.199999999999989</v>
      </c>
      <c r="AF27">
        <v>11.76</v>
      </c>
      <c r="AG27" s="5">
        <v>7</v>
      </c>
      <c r="AH27" s="5">
        <f>AG27*D27*3</f>
        <v>69.3</v>
      </c>
      <c r="AI27" s="13"/>
      <c r="AK27" s="8">
        <f>AJ27*D27*3</f>
        <v>0</v>
      </c>
      <c r="AL27" s="13"/>
      <c r="AM27">
        <v>30.75</v>
      </c>
      <c r="AN27">
        <v>7</v>
      </c>
      <c r="AO27" s="8">
        <f>AN27*D27*3</f>
        <v>69.3</v>
      </c>
      <c r="AP27">
        <v>14.78</v>
      </c>
      <c r="AQ27">
        <v>7.3</v>
      </c>
      <c r="AR27">
        <f>AQ27*D27*3</f>
        <v>72.27</v>
      </c>
      <c r="AT27">
        <v>8.8000000000000007</v>
      </c>
      <c r="AU27">
        <f>AT27*D27*3</f>
        <v>87.12</v>
      </c>
      <c r="AW27">
        <v>24.29</v>
      </c>
      <c r="AX27">
        <v>8.8000000000000007</v>
      </c>
      <c r="AY27">
        <f>AX27*D27*3</f>
        <v>87.12</v>
      </c>
      <c r="AZ27">
        <v>24.29</v>
      </c>
      <c r="BA27">
        <v>9.1999999999999993</v>
      </c>
      <c r="BB27">
        <f>BA27*D27*3</f>
        <v>91.079999999999984</v>
      </c>
      <c r="BD27">
        <v>9</v>
      </c>
      <c r="BE27">
        <f>BD27*D27*3</f>
        <v>89.1</v>
      </c>
      <c r="BG27" s="10"/>
      <c r="BH27" s="1">
        <f>CHOOSE(MATCH(MIN(ABS(BP27-C27),ABS(BQ27-C27),ABS(BR27-C27)),CHOOSE({1;2;3},ABS(BP27-C27),ABS(BQ27-C27),ABS(BR27-C27)),0),BP27,BQ27,BR27)</f>
        <v>79.199999999999989</v>
      </c>
      <c r="BJ27" s="1" cm="1">
        <f t="array" ref="BJ27">(INDEX(_xlfn._xlws.SORT(CHOOSE({1;2;3;4;5;6},BQ27,BR27,L27,AE27,BO27,BP27)),3) + INDEX(_xlfn._xlws.SORT(CHOOSE({1;2;3;4;5;6},BQ27,BR27,L27,AE27,BO27,BP27)),4))/2</f>
        <v>79.199999999999989</v>
      </c>
      <c r="BK27">
        <v>8.0547046854241309</v>
      </c>
      <c r="BL27" s="11" t="s">
        <v>6116</v>
      </c>
      <c r="BM27" s="1">
        <f>BK27*3*D27</f>
        <v>79.741576385698892</v>
      </c>
      <c r="BN27" s="1">
        <f>BM27-C27</f>
        <v>-9.3584236143011026</v>
      </c>
      <c r="BO27" s="1">
        <f>GK27*3*D27</f>
        <v>77.219999999999985</v>
      </c>
      <c r="BP27" s="1">
        <f>DO27*3*D27</f>
        <v>63.360000000000007</v>
      </c>
      <c r="BQ27" s="1">
        <f>FJ27*3*D27</f>
        <v>79.199999999999989</v>
      </c>
      <c r="BR27" s="1">
        <f>GL27*3*D27</f>
        <v>79.199999999999989</v>
      </c>
      <c r="BT27">
        <v>39.53</v>
      </c>
      <c r="BU27">
        <v>3.8</v>
      </c>
      <c r="BV27" t="s">
        <v>5543</v>
      </c>
      <c r="BW27" t="s">
        <v>5544</v>
      </c>
      <c r="BX27" t="s">
        <v>5545</v>
      </c>
      <c r="BY27" t="s">
        <v>5546</v>
      </c>
      <c r="BZ27" t="s">
        <v>5547</v>
      </c>
      <c r="CA27" t="s">
        <v>2723</v>
      </c>
      <c r="CC27" t="s">
        <v>2438</v>
      </c>
      <c r="CD27" t="s">
        <v>2744</v>
      </c>
      <c r="CE27" t="s">
        <v>2440</v>
      </c>
      <c r="CG27" t="s">
        <v>2791</v>
      </c>
      <c r="CH27" t="s">
        <v>2823</v>
      </c>
      <c r="CI27" t="s">
        <v>2937</v>
      </c>
      <c r="CJ27" t="s">
        <v>2427</v>
      </c>
      <c r="CK27" t="s">
        <v>2987</v>
      </c>
      <c r="CL27" t="s">
        <v>2988</v>
      </c>
      <c r="CM27" t="s">
        <v>3006</v>
      </c>
      <c r="CN27" t="s">
        <v>3006</v>
      </c>
      <c r="CO27" t="s">
        <v>3215</v>
      </c>
      <c r="CP27" t="s">
        <v>3216</v>
      </c>
      <c r="CQ27" t="s">
        <v>3009</v>
      </c>
      <c r="CR27" t="s">
        <v>3009</v>
      </c>
      <c r="CS27" t="s">
        <v>3217</v>
      </c>
      <c r="CT27" t="s">
        <v>3218</v>
      </c>
      <c r="CV27">
        <v>9</v>
      </c>
      <c r="CW27">
        <v>9</v>
      </c>
      <c r="CX27">
        <v>7</v>
      </c>
      <c r="CY27">
        <v>5</v>
      </c>
      <c r="CZ27">
        <v>2</v>
      </c>
      <c r="DA27">
        <v>0.1</v>
      </c>
      <c r="DB27">
        <v>0.1</v>
      </c>
      <c r="DC27">
        <v>0.2</v>
      </c>
      <c r="DD27">
        <v>0.3</v>
      </c>
      <c r="DE27">
        <v>0.3</v>
      </c>
      <c r="DF27">
        <v>0.9</v>
      </c>
      <c r="DG27">
        <v>0.9</v>
      </c>
      <c r="DH27">
        <v>1.4</v>
      </c>
      <c r="DI27">
        <v>1.5</v>
      </c>
      <c r="DJ27">
        <v>0.6</v>
      </c>
      <c r="DK27">
        <v>4.3</v>
      </c>
      <c r="DL27">
        <v>-0.5</v>
      </c>
      <c r="DM27">
        <v>3.8</v>
      </c>
      <c r="DN27">
        <v>9</v>
      </c>
      <c r="DO27">
        <f>AVERAGE(CV27:CZ27)</f>
        <v>6.4</v>
      </c>
      <c r="DQ27" t="s">
        <v>27</v>
      </c>
      <c r="DR27" t="s">
        <v>33</v>
      </c>
      <c r="DS27" t="s">
        <v>346</v>
      </c>
      <c r="DT27" t="s">
        <v>328</v>
      </c>
      <c r="DU27" t="s">
        <v>347</v>
      </c>
      <c r="DV27" t="s">
        <v>330</v>
      </c>
      <c r="DW27" t="s">
        <v>3788</v>
      </c>
      <c r="DX27" t="s">
        <v>4311</v>
      </c>
      <c r="DY27" t="s">
        <v>4535</v>
      </c>
      <c r="DZ27" t="s">
        <v>3975</v>
      </c>
      <c r="EA27" t="s">
        <v>4536</v>
      </c>
      <c r="EB27" t="s">
        <v>3793</v>
      </c>
      <c r="EC27" t="s">
        <v>4537</v>
      </c>
      <c r="ED27" t="s">
        <v>2936</v>
      </c>
      <c r="EE27" t="s">
        <v>3937</v>
      </c>
      <c r="EF27" t="s">
        <v>3797</v>
      </c>
      <c r="EG27" t="s">
        <v>4538</v>
      </c>
      <c r="EH27" t="s">
        <v>4539</v>
      </c>
      <c r="EI27" t="s">
        <v>4068</v>
      </c>
      <c r="EJ27" t="s">
        <v>3800</v>
      </c>
      <c r="EK27" t="s">
        <v>4540</v>
      </c>
      <c r="EL27" t="s">
        <v>4541</v>
      </c>
      <c r="EM27" t="s">
        <v>4515</v>
      </c>
      <c r="EN27" t="s">
        <v>3803</v>
      </c>
      <c r="EO27" t="s">
        <v>4542</v>
      </c>
      <c r="EP27" t="s">
        <v>4543</v>
      </c>
      <c r="EQ27">
        <v>8</v>
      </c>
      <c r="ER27">
        <v>8</v>
      </c>
      <c r="ES27">
        <v>8</v>
      </c>
      <c r="ET27">
        <v>8</v>
      </c>
      <c r="EU27">
        <v>8</v>
      </c>
      <c r="EV27">
        <v>0.1</v>
      </c>
      <c r="EW27">
        <v>0.1</v>
      </c>
      <c r="EX27">
        <v>0.2</v>
      </c>
      <c r="EY27">
        <v>0.3</v>
      </c>
      <c r="EZ27">
        <v>0.3</v>
      </c>
      <c r="FA27">
        <f>EV27*EQ27</f>
        <v>0.8</v>
      </c>
      <c r="FB27">
        <f>EW27*ER27</f>
        <v>0.8</v>
      </c>
      <c r="FC27">
        <f>EX27*ES27</f>
        <v>1.6</v>
      </c>
      <c r="FD27">
        <f>EY27*ET27</f>
        <v>2.4</v>
      </c>
      <c r="FE27">
        <f>EZ27*EU27</f>
        <v>2.4</v>
      </c>
      <c r="FF27">
        <v>16</v>
      </c>
      <c r="FG27">
        <v>0</v>
      </c>
      <c r="FH27">
        <v>8</v>
      </c>
      <c r="FI27">
        <f>FA27+FB27+FC27+FD27+FE27</f>
        <v>8</v>
      </c>
      <c r="FJ27">
        <f>MEDIAN(EQ27:EU27)</f>
        <v>8</v>
      </c>
      <c r="FL27">
        <v>40.49</v>
      </c>
      <c r="FM27">
        <v>8</v>
      </c>
      <c r="FN27" t="s">
        <v>1387</v>
      </c>
      <c r="FO27" t="s">
        <v>1388</v>
      </c>
      <c r="FP27" t="s">
        <v>1389</v>
      </c>
      <c r="FQ27" t="s">
        <v>1390</v>
      </c>
      <c r="FR27" t="s">
        <v>1391</v>
      </c>
      <c r="FS27">
        <v>7</v>
      </c>
      <c r="FT27">
        <v>8</v>
      </c>
      <c r="FU27">
        <v>9</v>
      </c>
      <c r="FV27">
        <v>8</v>
      </c>
      <c r="FW27">
        <v>7</v>
      </c>
      <c r="FX27">
        <v>0.1</v>
      </c>
      <c r="FY27">
        <v>0.1</v>
      </c>
      <c r="FZ27">
        <v>0.2</v>
      </c>
      <c r="GA27">
        <v>0.3</v>
      </c>
      <c r="GB27">
        <v>0.3</v>
      </c>
      <c r="GC27">
        <f>FS27*FX27</f>
        <v>0.70000000000000007</v>
      </c>
      <c r="GD27">
        <f>FT27*FY27</f>
        <v>0.8</v>
      </c>
      <c r="GE27">
        <f>FU27*FZ27</f>
        <v>1.8</v>
      </c>
      <c r="GF27">
        <f>FV27*GA27</f>
        <v>2.4</v>
      </c>
      <c r="GG27">
        <f>FW27*GB27</f>
        <v>2.1</v>
      </c>
      <c r="GH27">
        <v>8</v>
      </c>
      <c r="GJ27">
        <v>8</v>
      </c>
      <c r="GK27">
        <f>GC27+GD27+GE27+GF27+GG27</f>
        <v>7.7999999999999989</v>
      </c>
      <c r="GL27">
        <f>MEDIAN(FS27:FW27)</f>
        <v>8</v>
      </c>
    </row>
    <row r="28" spans="1:194" hidden="1" x14ac:dyDescent="0.25">
      <c r="A28">
        <v>27</v>
      </c>
      <c r="B28" t="s">
        <v>2</v>
      </c>
      <c r="C28" s="4">
        <v>98.4</v>
      </c>
      <c r="D28">
        <v>4.0999999999999996</v>
      </c>
      <c r="E28" s="1">
        <f>C28/3/D28</f>
        <v>8.0000000000000018</v>
      </c>
      <c r="G28">
        <v>38.299999999999997</v>
      </c>
      <c r="H28">
        <v>7.4</v>
      </c>
      <c r="I28">
        <f>H28*D28*3</f>
        <v>91.02</v>
      </c>
      <c r="J28">
        <v>16.75</v>
      </c>
      <c r="K28">
        <v>8.4</v>
      </c>
      <c r="L28" s="3">
        <f>K28*3*D28</f>
        <v>103.32000000000001</v>
      </c>
      <c r="M28">
        <v>5.0599999999999996</v>
      </c>
      <c r="N28">
        <v>6.8</v>
      </c>
      <c r="O28">
        <f>N28*D28*3</f>
        <v>83.639999999999986</v>
      </c>
      <c r="P28" s="5">
        <v>8.9</v>
      </c>
      <c r="Q28" s="5">
        <f>P28*D28*3</f>
        <v>109.46999999999998</v>
      </c>
      <c r="S28" t="s">
        <v>6165</v>
      </c>
      <c r="T28">
        <v>6.5</v>
      </c>
      <c r="U28" s="8">
        <f>T28*D28*3</f>
        <v>79.949999999999989</v>
      </c>
      <c r="V28">
        <v>32.26</v>
      </c>
      <c r="W28">
        <v>8.4</v>
      </c>
      <c r="X28" s="5">
        <f>W28*D28*3</f>
        <v>103.32</v>
      </c>
      <c r="Y28">
        <v>11.74</v>
      </c>
      <c r="Z28">
        <v>6.8</v>
      </c>
      <c r="AA28">
        <f>Z28*D28*3</f>
        <v>83.639999999999986</v>
      </c>
      <c r="AC28">
        <v>46.9</v>
      </c>
      <c r="AD28">
        <v>8</v>
      </c>
      <c r="AE28" s="1">
        <f>AD28*3*D28</f>
        <v>98.399999999999991</v>
      </c>
      <c r="AF28">
        <v>12.3</v>
      </c>
      <c r="AG28" s="5">
        <v>7</v>
      </c>
      <c r="AH28" s="5">
        <f>AG28*D28*3</f>
        <v>86.1</v>
      </c>
      <c r="AI28" s="13"/>
      <c r="AJ28">
        <v>8.1</v>
      </c>
      <c r="AK28" s="8">
        <f>AJ28*D28*3</f>
        <v>99.629999999999981</v>
      </c>
      <c r="AL28" s="13"/>
      <c r="AM28">
        <v>31.49</v>
      </c>
      <c r="AN28">
        <v>7.2</v>
      </c>
      <c r="AO28" s="8">
        <f>AN28*D28*3</f>
        <v>88.56</v>
      </c>
      <c r="AP28">
        <v>13.74</v>
      </c>
      <c r="AQ28">
        <v>9.5</v>
      </c>
      <c r="AR28">
        <f>AQ28*D28*3</f>
        <v>116.85</v>
      </c>
      <c r="AS28">
        <v>10.61</v>
      </c>
      <c r="AT28">
        <v>9.4</v>
      </c>
      <c r="AU28">
        <f>AT28*D28*3</f>
        <v>115.62</v>
      </c>
      <c r="AW28">
        <v>23.6</v>
      </c>
      <c r="AX28">
        <v>8.8000000000000007</v>
      </c>
      <c r="AY28">
        <f>AX28*D28*3</f>
        <v>108.24</v>
      </c>
      <c r="AZ28">
        <v>23.6</v>
      </c>
      <c r="BA28">
        <v>8.6999999999999993</v>
      </c>
      <c r="BB28">
        <f>BA28*D28*3</f>
        <v>107.00999999999999</v>
      </c>
      <c r="BD28">
        <v>9</v>
      </c>
      <c r="BE28">
        <f>BD28*D28*3</f>
        <v>110.69999999999999</v>
      </c>
      <c r="BG28" s="10"/>
      <c r="BH28" s="1">
        <f>CHOOSE(MATCH(MIN(ABS(BP28-C28),ABS(BQ28-C28),ABS(BR28-C28)),CHOOSE({1;2;3},ABS(BP28-C28),ABS(BQ28-C28),ABS(BR28-C28)),0),BP28,BQ28,BR28)</f>
        <v>98.399999999999991</v>
      </c>
      <c r="BJ28" s="1" cm="1">
        <f t="array" ref="BJ28">(INDEX(_xlfn._xlws.SORT(CHOOSE({1;2;3;4;5;6},BQ28,BR28,L28,AE28,BO28,BP28)),3) + INDEX(_xlfn._xlws.SORT(CHOOSE({1;2;3;4;5;6},BQ28,BR28,L28,AE28,BO28,BP28)),4))/2</f>
        <v>98.399999999999991</v>
      </c>
      <c r="BK28">
        <v>8.0102016579901605</v>
      </c>
      <c r="BL28" t="s">
        <v>6117</v>
      </c>
      <c r="BM28" s="1">
        <f>BK28*3*D28</f>
        <v>98.525480393278968</v>
      </c>
      <c r="BN28" s="1">
        <f>BM28-C28</f>
        <v>0.12548039327896277</v>
      </c>
      <c r="BO28" s="1">
        <f>GK28*3*D28</f>
        <v>97.17</v>
      </c>
      <c r="BP28" s="1">
        <f>DO28*3*D28</f>
        <v>95.939999999999984</v>
      </c>
      <c r="BQ28" s="1">
        <f>FJ28*3*D28</f>
        <v>98.399999999999991</v>
      </c>
      <c r="BR28" s="1">
        <f>GL28*3*D28</f>
        <v>104.55</v>
      </c>
      <c r="BT28">
        <v>38.299999999999997</v>
      </c>
      <c r="BU28">
        <v>7.4</v>
      </c>
      <c r="BV28" t="s">
        <v>5055</v>
      </c>
      <c r="BW28" t="s">
        <v>5056</v>
      </c>
      <c r="BX28" t="s">
        <v>5057</v>
      </c>
      <c r="BY28" t="s">
        <v>5090</v>
      </c>
      <c r="BZ28" t="s">
        <v>5091</v>
      </c>
      <c r="CA28" t="s">
        <v>2437</v>
      </c>
      <c r="CC28" t="s">
        <v>2438</v>
      </c>
      <c r="CD28" t="s">
        <v>2533</v>
      </c>
      <c r="CE28" t="s">
        <v>2440</v>
      </c>
      <c r="CG28" t="s">
        <v>2441</v>
      </c>
      <c r="CH28" t="s">
        <v>2534</v>
      </c>
      <c r="CI28" t="s">
        <v>2535</v>
      </c>
      <c r="CJ28" t="s">
        <v>2427</v>
      </c>
      <c r="CK28" t="s">
        <v>2656</v>
      </c>
      <c r="CL28" t="s">
        <v>2657</v>
      </c>
      <c r="CM28" t="s">
        <v>2658</v>
      </c>
      <c r="CN28" t="s">
        <v>2659</v>
      </c>
      <c r="CO28" t="s">
        <v>2660</v>
      </c>
      <c r="CP28" t="s">
        <v>2661</v>
      </c>
      <c r="CQ28" t="s">
        <v>2662</v>
      </c>
      <c r="CR28" t="s">
        <v>2663</v>
      </c>
      <c r="CS28" t="s">
        <v>2664</v>
      </c>
      <c r="CT28" t="s">
        <v>2665</v>
      </c>
      <c r="CV28">
        <v>9</v>
      </c>
      <c r="CW28">
        <v>9</v>
      </c>
      <c r="CX28">
        <v>7</v>
      </c>
      <c r="CY28">
        <v>8</v>
      </c>
      <c r="CZ28">
        <v>6</v>
      </c>
      <c r="DA28">
        <v>0.1</v>
      </c>
      <c r="DB28">
        <v>0.1</v>
      </c>
      <c r="DC28">
        <v>0.2</v>
      </c>
      <c r="DD28">
        <v>0.3</v>
      </c>
      <c r="DE28">
        <v>0.3</v>
      </c>
      <c r="DF28">
        <v>0.9</v>
      </c>
      <c r="DG28">
        <v>0.9</v>
      </c>
      <c r="DH28">
        <v>1.4</v>
      </c>
      <c r="DI28">
        <v>2.4</v>
      </c>
      <c r="DJ28">
        <v>1.8</v>
      </c>
      <c r="DK28">
        <v>7.4</v>
      </c>
      <c r="DL28">
        <v>0</v>
      </c>
      <c r="DM28">
        <v>7.4</v>
      </c>
      <c r="DN28">
        <v>8.4</v>
      </c>
      <c r="DO28">
        <f>AVERAGE(CV28:CZ28)</f>
        <v>7.8</v>
      </c>
      <c r="DQ28">
        <v>8</v>
      </c>
      <c r="DR28" t="s">
        <v>33</v>
      </c>
      <c r="DS28" t="s">
        <v>104</v>
      </c>
      <c r="DT28" t="s">
        <v>105</v>
      </c>
      <c r="DU28" t="s">
        <v>106</v>
      </c>
      <c r="DV28" t="s">
        <v>107</v>
      </c>
      <c r="DW28" t="s">
        <v>3788</v>
      </c>
      <c r="DX28" t="s">
        <v>3789</v>
      </c>
      <c r="DY28" t="s">
        <v>4004</v>
      </c>
      <c r="DZ28" t="s">
        <v>4005</v>
      </c>
      <c r="EA28" t="s">
        <v>4006</v>
      </c>
      <c r="EB28" t="s">
        <v>3793</v>
      </c>
      <c r="EC28" t="s">
        <v>4007</v>
      </c>
      <c r="ED28" t="s">
        <v>4005</v>
      </c>
      <c r="EE28" t="s">
        <v>4008</v>
      </c>
      <c r="EF28" t="s">
        <v>3797</v>
      </c>
      <c r="EG28" t="s">
        <v>4009</v>
      </c>
      <c r="EH28" t="s">
        <v>4005</v>
      </c>
      <c r="EI28" t="s">
        <v>4010</v>
      </c>
      <c r="EJ28" t="s">
        <v>3800</v>
      </c>
      <c r="EK28" t="s">
        <v>4011</v>
      </c>
      <c r="EL28" t="s">
        <v>4005</v>
      </c>
      <c r="EM28" t="s">
        <v>4012</v>
      </c>
      <c r="EN28" t="s">
        <v>3803</v>
      </c>
      <c r="EO28" t="s">
        <v>4013</v>
      </c>
      <c r="EP28" t="s">
        <v>4005</v>
      </c>
      <c r="EQ28">
        <v>8</v>
      </c>
      <c r="ER28">
        <v>8</v>
      </c>
      <c r="ES28">
        <v>8</v>
      </c>
      <c r="ET28">
        <v>8</v>
      </c>
      <c r="EU28">
        <v>8</v>
      </c>
      <c r="EV28">
        <v>0.1</v>
      </c>
      <c r="EW28">
        <v>0.1</v>
      </c>
      <c r="EX28">
        <v>0.2</v>
      </c>
      <c r="EY28">
        <v>0.3</v>
      </c>
      <c r="EZ28">
        <v>0.3</v>
      </c>
      <c r="FA28">
        <f>EV28*EQ28</f>
        <v>0.8</v>
      </c>
      <c r="FB28">
        <f>EW28*ER28</f>
        <v>0.8</v>
      </c>
      <c r="FC28">
        <f>EX28*ES28</f>
        <v>1.6</v>
      </c>
      <c r="FD28">
        <f>EY28*ET28</f>
        <v>2.4</v>
      </c>
      <c r="FE28">
        <f>EZ28*EU28</f>
        <v>2.4</v>
      </c>
      <c r="FF28">
        <v>16</v>
      </c>
      <c r="FG28">
        <v>0</v>
      </c>
      <c r="FH28">
        <v>8</v>
      </c>
      <c r="FI28">
        <f>FA28+FB28+FC28+FD28+FE28</f>
        <v>8</v>
      </c>
      <c r="FJ28">
        <f>MEDIAN(EQ28:EU28)</f>
        <v>8</v>
      </c>
      <c r="FL28">
        <v>39.69</v>
      </c>
      <c r="FM28">
        <v>6.3</v>
      </c>
      <c r="FN28" t="s">
        <v>730</v>
      </c>
      <c r="FO28" t="s">
        <v>731</v>
      </c>
      <c r="FP28" t="s">
        <v>732</v>
      </c>
      <c r="FQ28" t="s">
        <v>733</v>
      </c>
      <c r="FR28" t="s">
        <v>734</v>
      </c>
      <c r="FS28">
        <v>9</v>
      </c>
      <c r="FT28">
        <v>8.5</v>
      </c>
      <c r="FU28">
        <v>9</v>
      </c>
      <c r="FV28">
        <v>7.5</v>
      </c>
      <c r="FW28">
        <v>7</v>
      </c>
      <c r="FX28">
        <v>0.1</v>
      </c>
      <c r="FY28">
        <v>0.1</v>
      </c>
      <c r="FZ28">
        <v>0.2</v>
      </c>
      <c r="GA28">
        <v>0.3</v>
      </c>
      <c r="GB28">
        <v>0.3</v>
      </c>
      <c r="GC28">
        <f>FS28*FX28</f>
        <v>0.9</v>
      </c>
      <c r="GD28">
        <f>FT28*FY28</f>
        <v>0.85000000000000009</v>
      </c>
      <c r="GE28">
        <f>FU28*FZ28</f>
        <v>1.8</v>
      </c>
      <c r="GF28">
        <f>FV28*GA28</f>
        <v>2.25</v>
      </c>
      <c r="GG28">
        <f>FW28*GB28</f>
        <v>2.1</v>
      </c>
      <c r="GH28">
        <v>6.45</v>
      </c>
      <c r="GI28">
        <v>-0.15</v>
      </c>
      <c r="GJ28">
        <v>6.3</v>
      </c>
      <c r="GK28">
        <f>GC28+GD28+GE28+GF28+GG28</f>
        <v>7.9</v>
      </c>
      <c r="GL28">
        <f>MEDIAN(FS28:FW28)</f>
        <v>8.5</v>
      </c>
    </row>
    <row r="29" spans="1:194" hidden="1" x14ac:dyDescent="0.25">
      <c r="A29">
        <v>28</v>
      </c>
      <c r="B29" t="s">
        <v>2</v>
      </c>
      <c r="C29" s="4">
        <v>86.4</v>
      </c>
      <c r="D29">
        <v>3.2</v>
      </c>
      <c r="E29" s="1">
        <f>C29/3/D29</f>
        <v>9</v>
      </c>
      <c r="G29">
        <v>37.049999999999997</v>
      </c>
      <c r="H29">
        <v>8</v>
      </c>
      <c r="I29">
        <f>H29*D29*3</f>
        <v>76.800000000000011</v>
      </c>
      <c r="J29">
        <v>18.21</v>
      </c>
      <c r="K29">
        <v>8.4</v>
      </c>
      <c r="L29" s="3">
        <f>K29*3*D29</f>
        <v>80.640000000000015</v>
      </c>
      <c r="M29">
        <v>5.08</v>
      </c>
      <c r="N29">
        <v>5.7</v>
      </c>
      <c r="O29">
        <f>N29*D29*3</f>
        <v>54.720000000000006</v>
      </c>
      <c r="P29" s="5">
        <v>7.2</v>
      </c>
      <c r="Q29" s="5">
        <f>P29*D29*3</f>
        <v>69.12</v>
      </c>
      <c r="S29" t="s">
        <v>6166</v>
      </c>
      <c r="T29">
        <v>6.4</v>
      </c>
      <c r="U29" s="8">
        <f>T29*D29*3</f>
        <v>61.440000000000012</v>
      </c>
      <c r="V29">
        <v>32</v>
      </c>
      <c r="W29">
        <v>8.6999999999999993</v>
      </c>
      <c r="X29" s="5">
        <f>W29*D29*3</f>
        <v>83.52</v>
      </c>
      <c r="Y29">
        <v>10.24</v>
      </c>
      <c r="Z29">
        <v>7.8</v>
      </c>
      <c r="AA29">
        <f>Z29*D29*3</f>
        <v>74.88</v>
      </c>
      <c r="AC29">
        <v>47.65</v>
      </c>
      <c r="AD29">
        <v>7.1</v>
      </c>
      <c r="AE29" s="1">
        <f>AD29*3*D29</f>
        <v>68.16</v>
      </c>
      <c r="AF29">
        <v>13.36</v>
      </c>
      <c r="AH29" s="5">
        <f>AG29*D29*3</f>
        <v>0</v>
      </c>
      <c r="AI29" s="13"/>
      <c r="AJ29">
        <v>2.7</v>
      </c>
      <c r="AK29" s="8">
        <f>AJ29*D29*3</f>
        <v>25.92</v>
      </c>
      <c r="AL29" s="13"/>
      <c r="AM29">
        <v>30.6</v>
      </c>
      <c r="AN29">
        <v>7.2</v>
      </c>
      <c r="AO29" s="8">
        <f>AN29*D29*3</f>
        <v>69.12</v>
      </c>
      <c r="AP29">
        <v>14.01</v>
      </c>
      <c r="AQ29">
        <v>10</v>
      </c>
      <c r="AR29">
        <f>AQ29*D29*3</f>
        <v>96</v>
      </c>
      <c r="AS29">
        <v>10.75</v>
      </c>
      <c r="AT29">
        <v>9.4</v>
      </c>
      <c r="AU29">
        <f>AT29*D29*3</f>
        <v>90.240000000000009</v>
      </c>
      <c r="AW29">
        <v>26.13</v>
      </c>
      <c r="AX29">
        <v>9.6</v>
      </c>
      <c r="AY29">
        <f>AX29*D29*3</f>
        <v>92.16</v>
      </c>
      <c r="AZ29">
        <v>26.13</v>
      </c>
      <c r="BA29">
        <v>9.1</v>
      </c>
      <c r="BB29">
        <f>BA29*D29*3</f>
        <v>87.36</v>
      </c>
      <c r="BD29">
        <v>8.6</v>
      </c>
      <c r="BE29">
        <f>BD29*D29*3</f>
        <v>82.56</v>
      </c>
      <c r="BG29" s="10"/>
      <c r="BH29" s="1">
        <f>CHOOSE(MATCH(MIN(ABS(BP29-C29),ABS(BQ29-C29),ABS(BR29-C29)),CHOOSE({1;2;3},ABS(BP29-C29),ABS(BQ29-C29),ABS(BR29-C29)),0),BP29,BQ29,BR29)</f>
        <v>86.4</v>
      </c>
      <c r="BJ29" s="1" cm="1">
        <f t="array" ref="BJ29">(INDEX(_xlfn._xlws.SORT(CHOOSE({1;2;3;4;5;6},BQ29,BR29,L29,AE29,BO29,BP29)),3) + INDEX(_xlfn._xlws.SORT(CHOOSE({1;2;3;4;5;6},BQ29,BR29,L29,AE29,BO29,BP29)),4))/2</f>
        <v>67.680000000000007</v>
      </c>
      <c r="BK29">
        <v>9.0038124655627794</v>
      </c>
      <c r="BL29" t="s">
        <v>6117</v>
      </c>
      <c r="BM29" s="1">
        <f>BK29*3*D29</f>
        <v>86.436599669402682</v>
      </c>
      <c r="BN29" s="1">
        <f>BM29-C29</f>
        <v>3.6599669402676227E-2</v>
      </c>
      <c r="BO29" s="1">
        <f>GK29*3*D29</f>
        <v>54.720000000000006</v>
      </c>
      <c r="BP29" s="1">
        <f>DO29*3*D29</f>
        <v>86.4</v>
      </c>
      <c r="BQ29" s="1">
        <f>FJ29*3*D29</f>
        <v>67.2</v>
      </c>
      <c r="BR29" s="1">
        <f>GL29*3*D29</f>
        <v>57.6</v>
      </c>
      <c r="BT29">
        <v>37.049999999999997</v>
      </c>
      <c r="BU29">
        <v>8</v>
      </c>
      <c r="BV29" t="s">
        <v>5028</v>
      </c>
      <c r="BW29" t="s">
        <v>5004</v>
      </c>
      <c r="BX29" t="s">
        <v>5029</v>
      </c>
      <c r="BY29" t="s">
        <v>5092</v>
      </c>
      <c r="BZ29" t="s">
        <v>5054</v>
      </c>
      <c r="CA29" t="s">
        <v>2437</v>
      </c>
      <c r="CC29" t="s">
        <v>2438</v>
      </c>
      <c r="CD29" t="s">
        <v>2533</v>
      </c>
      <c r="CE29" t="s">
        <v>2440</v>
      </c>
      <c r="CG29" t="s">
        <v>2441</v>
      </c>
      <c r="CH29" t="s">
        <v>2534</v>
      </c>
      <c r="CI29" t="s">
        <v>2535</v>
      </c>
      <c r="CK29" t="s">
        <v>2444</v>
      </c>
      <c r="CL29" t="s">
        <v>2536</v>
      </c>
      <c r="CM29" t="s">
        <v>2446</v>
      </c>
      <c r="CO29" t="s">
        <v>2447</v>
      </c>
      <c r="CP29" t="s">
        <v>2537</v>
      </c>
      <c r="CQ29" t="s">
        <v>2666</v>
      </c>
      <c r="CS29" t="s">
        <v>2450</v>
      </c>
      <c r="CT29" t="s">
        <v>2539</v>
      </c>
      <c r="CV29">
        <v>9</v>
      </c>
      <c r="CW29">
        <v>9</v>
      </c>
      <c r="CX29">
        <v>9</v>
      </c>
      <c r="CY29">
        <v>9</v>
      </c>
      <c r="CZ29">
        <v>9</v>
      </c>
      <c r="DA29">
        <v>0.1</v>
      </c>
      <c r="DB29">
        <v>0.1</v>
      </c>
      <c r="DC29">
        <v>0.2</v>
      </c>
      <c r="DD29">
        <v>0.3</v>
      </c>
      <c r="DE29">
        <v>0.3</v>
      </c>
      <c r="DF29">
        <v>0.9</v>
      </c>
      <c r="DG29">
        <v>0.9</v>
      </c>
      <c r="DH29">
        <v>1.8</v>
      </c>
      <c r="DI29">
        <v>2.7</v>
      </c>
      <c r="DJ29">
        <v>2.7</v>
      </c>
      <c r="DK29">
        <v>8</v>
      </c>
      <c r="DL29">
        <v>0</v>
      </c>
      <c r="DM29">
        <v>8</v>
      </c>
      <c r="DN29">
        <v>8.4</v>
      </c>
      <c r="DO29">
        <f>AVERAGE(CV29:CZ29)</f>
        <v>9</v>
      </c>
      <c r="DQ29">
        <v>7</v>
      </c>
      <c r="DR29" t="s">
        <v>28</v>
      </c>
      <c r="DS29" t="s">
        <v>108</v>
      </c>
      <c r="DT29" t="s">
        <v>109</v>
      </c>
      <c r="DU29" t="s">
        <v>110</v>
      </c>
      <c r="DV29" t="s">
        <v>111</v>
      </c>
      <c r="DW29" t="s">
        <v>3769</v>
      </c>
      <c r="DX29" t="s">
        <v>3770</v>
      </c>
      <c r="DY29" t="s">
        <v>3771</v>
      </c>
      <c r="DZ29" t="s">
        <v>3772</v>
      </c>
      <c r="EA29" t="s">
        <v>3773</v>
      </c>
      <c r="EB29" t="s">
        <v>3774</v>
      </c>
      <c r="EC29" t="s">
        <v>3775</v>
      </c>
      <c r="ED29" t="s">
        <v>3776</v>
      </c>
      <c r="EE29" t="s">
        <v>3777</v>
      </c>
      <c r="EF29" t="s">
        <v>3778</v>
      </c>
      <c r="EG29" t="s">
        <v>4014</v>
      </c>
      <c r="EH29" t="s">
        <v>4015</v>
      </c>
      <c r="EI29" t="s">
        <v>4016</v>
      </c>
      <c r="EJ29" t="s">
        <v>3782</v>
      </c>
      <c r="EK29" t="s">
        <v>4017</v>
      </c>
      <c r="EL29" t="s">
        <v>3815</v>
      </c>
      <c r="EM29" t="s">
        <v>3930</v>
      </c>
      <c r="EN29" t="s">
        <v>3823</v>
      </c>
      <c r="EO29" t="s">
        <v>4018</v>
      </c>
      <c r="EP29" t="s">
        <v>4019</v>
      </c>
      <c r="EQ29">
        <v>7</v>
      </c>
      <c r="ER29">
        <v>8</v>
      </c>
      <c r="ES29">
        <v>7</v>
      </c>
      <c r="ET29">
        <v>7</v>
      </c>
      <c r="EU29">
        <v>7</v>
      </c>
      <c r="EV29">
        <v>0.1</v>
      </c>
      <c r="EW29">
        <v>0.1</v>
      </c>
      <c r="EX29">
        <v>0.2</v>
      </c>
      <c r="EY29">
        <v>0.3</v>
      </c>
      <c r="EZ29">
        <v>0.3</v>
      </c>
      <c r="FA29">
        <f>EV29*EQ29</f>
        <v>0.70000000000000007</v>
      </c>
      <c r="FB29">
        <f>EW29*ER29</f>
        <v>0.8</v>
      </c>
      <c r="FC29">
        <f>EX29*ES29</f>
        <v>1.4000000000000001</v>
      </c>
      <c r="FD29">
        <f>EY29*ET29</f>
        <v>2.1</v>
      </c>
      <c r="FE29">
        <f>EZ29*EU29</f>
        <v>2.1</v>
      </c>
      <c r="FF29">
        <v>17</v>
      </c>
      <c r="FG29">
        <v>0</v>
      </c>
      <c r="FH29">
        <v>7</v>
      </c>
      <c r="FI29">
        <f>FA29+FB29+FC29+FD29+FE29</f>
        <v>7.1</v>
      </c>
      <c r="FJ29">
        <f>MEDIAN(EQ29:EU29)</f>
        <v>7</v>
      </c>
      <c r="FL29">
        <v>35.58</v>
      </c>
      <c r="FM29">
        <v>7</v>
      </c>
      <c r="FN29" t="s">
        <v>735</v>
      </c>
      <c r="FO29" t="s">
        <v>736</v>
      </c>
      <c r="FP29" t="s">
        <v>737</v>
      </c>
      <c r="FQ29" t="s">
        <v>738</v>
      </c>
      <c r="FR29" t="s">
        <v>739</v>
      </c>
      <c r="FS29">
        <v>6</v>
      </c>
      <c r="FT29">
        <v>8</v>
      </c>
      <c r="FU29">
        <v>5</v>
      </c>
      <c r="FV29">
        <v>7</v>
      </c>
      <c r="FW29">
        <v>4</v>
      </c>
      <c r="FX29">
        <v>0.1</v>
      </c>
      <c r="FY29">
        <v>0.1</v>
      </c>
      <c r="FZ29">
        <v>0.2</v>
      </c>
      <c r="GA29">
        <v>0.3</v>
      </c>
      <c r="GB29">
        <v>0.3</v>
      </c>
      <c r="GC29">
        <f>FS29*FX29</f>
        <v>0.60000000000000009</v>
      </c>
      <c r="GD29">
        <f>FT29*FY29</f>
        <v>0.8</v>
      </c>
      <c r="GE29">
        <f>FU29*FZ29</f>
        <v>1</v>
      </c>
      <c r="GF29">
        <f>FV29*GA29</f>
        <v>2.1</v>
      </c>
      <c r="GG29">
        <f>FW29*GB29</f>
        <v>1.2</v>
      </c>
      <c r="GH29">
        <v>6.9</v>
      </c>
      <c r="GI29">
        <v>0.1</v>
      </c>
      <c r="GJ29">
        <v>7</v>
      </c>
      <c r="GK29">
        <f>GC29+GD29+GE29+GF29+GG29</f>
        <v>5.7</v>
      </c>
      <c r="GL29">
        <f>MEDIAN(FS29:FW29)</f>
        <v>6</v>
      </c>
    </row>
    <row r="30" spans="1:194" hidden="1" x14ac:dyDescent="0.25">
      <c r="A30">
        <v>29</v>
      </c>
      <c r="B30" t="s">
        <v>2</v>
      </c>
      <c r="C30" s="4">
        <v>66.5</v>
      </c>
      <c r="D30">
        <v>3.5</v>
      </c>
      <c r="E30" s="1">
        <f>C30/3/D30</f>
        <v>6.3333333333333339</v>
      </c>
      <c r="G30">
        <v>36.32</v>
      </c>
      <c r="H30">
        <v>8</v>
      </c>
      <c r="I30">
        <f>H30*D30*3</f>
        <v>84</v>
      </c>
      <c r="J30">
        <v>18.82</v>
      </c>
      <c r="K30">
        <v>9</v>
      </c>
      <c r="L30" s="3">
        <f>K30*3*D30</f>
        <v>94.5</v>
      </c>
      <c r="M30">
        <v>4.8499999999999996</v>
      </c>
      <c r="N30">
        <v>5.5</v>
      </c>
      <c r="O30">
        <f>N30*D30*3</f>
        <v>57.75</v>
      </c>
      <c r="P30" s="5">
        <v>7.5</v>
      </c>
      <c r="Q30" s="5">
        <f>P30*D30*3</f>
        <v>78.75</v>
      </c>
      <c r="S30" t="s">
        <v>6167</v>
      </c>
      <c r="T30">
        <v>5.3</v>
      </c>
      <c r="U30" s="8">
        <f>T30*D30*3</f>
        <v>55.650000000000006</v>
      </c>
      <c r="V30">
        <v>30.39</v>
      </c>
      <c r="W30">
        <v>9</v>
      </c>
      <c r="X30" s="5">
        <f>W30*D30*3</f>
        <v>94.5</v>
      </c>
      <c r="Y30">
        <v>10.41</v>
      </c>
      <c r="Z30">
        <v>7.8</v>
      </c>
      <c r="AA30">
        <f>Z30*D30*3</f>
        <v>81.900000000000006</v>
      </c>
      <c r="AC30">
        <v>50.28</v>
      </c>
      <c r="AD30">
        <v>7.1</v>
      </c>
      <c r="AE30" s="1">
        <f>AD30*3*D30</f>
        <v>74.549999999999983</v>
      </c>
      <c r="AF30">
        <v>12.07</v>
      </c>
      <c r="AG30" s="5">
        <v>7</v>
      </c>
      <c r="AH30" s="5">
        <f>AG30*D30*3</f>
        <v>73.5</v>
      </c>
      <c r="AI30" s="13"/>
      <c r="AJ30">
        <v>9.8000000000000007</v>
      </c>
      <c r="AK30" s="8">
        <f>AJ30*D30*3</f>
        <v>102.9</v>
      </c>
      <c r="AL30" s="13"/>
      <c r="AM30">
        <v>31.38</v>
      </c>
      <c r="AN30">
        <v>7.7</v>
      </c>
      <c r="AO30" s="8">
        <f>AN30*D30*3</f>
        <v>80.849999999999994</v>
      </c>
      <c r="AP30">
        <v>13.84</v>
      </c>
      <c r="AQ30">
        <v>10</v>
      </c>
      <c r="AR30">
        <f>AQ30*D30*3</f>
        <v>105</v>
      </c>
      <c r="AS30">
        <v>10.76</v>
      </c>
      <c r="AT30">
        <v>8.3000000000000007</v>
      </c>
      <c r="AU30">
        <f>AT30*D30*3</f>
        <v>87.15</v>
      </c>
      <c r="AW30">
        <v>28.08</v>
      </c>
      <c r="AX30">
        <v>9.4</v>
      </c>
      <c r="AY30">
        <f>AX30*D30*3</f>
        <v>98.699999999999989</v>
      </c>
      <c r="AZ30">
        <v>28.08</v>
      </c>
      <c r="BA30">
        <v>8.4</v>
      </c>
      <c r="BB30">
        <f>BA30*D30*3</f>
        <v>88.2</v>
      </c>
      <c r="BD30">
        <v>8.4</v>
      </c>
      <c r="BE30">
        <f>BD30*D30*3</f>
        <v>88.2</v>
      </c>
      <c r="BG30" s="10"/>
      <c r="BH30" s="1">
        <f>CHOOSE(MATCH(MIN(ABS(BP30-C30),ABS(BQ30-C30),ABS(BR30-C30)),CHOOSE({1;2;3},ABS(BP30-C30),ABS(BQ30-C30),ABS(BR30-C30)),0),BP30,BQ30,BR30)</f>
        <v>63</v>
      </c>
      <c r="BJ30" s="1" cm="1">
        <f t="array" ref="BJ30">(INDEX(_xlfn._xlws.SORT(CHOOSE({1;2;3;4;5;6},BQ30,BR30,L30,AE30,BO30,BP30)),3) + INDEX(_xlfn._xlws.SORT(CHOOSE({1;2;3;4;5;6},BQ30,BR30,L30,AE30,BO30,BP30)),4))/2</f>
        <v>74.024999999999991</v>
      </c>
      <c r="BK30">
        <v>6.3495003657501998</v>
      </c>
      <c r="BL30" t="s">
        <v>6117</v>
      </c>
      <c r="BM30" s="1">
        <f>BK30*3*D30</f>
        <v>66.669753840377098</v>
      </c>
      <c r="BN30" s="1">
        <f>BM30-C30</f>
        <v>0.16975384037709773</v>
      </c>
      <c r="BO30" s="1">
        <f>GK30*3*D30</f>
        <v>59.850000000000009</v>
      </c>
      <c r="BP30" s="1">
        <f>DO30*3*D30</f>
        <v>94.5</v>
      </c>
      <c r="BQ30" s="1">
        <f>FJ30*3*D30</f>
        <v>73.5</v>
      </c>
      <c r="BR30" s="1">
        <f>GL30*3*D30</f>
        <v>63</v>
      </c>
      <c r="BT30">
        <v>36.32</v>
      </c>
      <c r="BU30">
        <v>8</v>
      </c>
      <c r="BV30" t="s">
        <v>5093</v>
      </c>
      <c r="BW30" t="s">
        <v>5094</v>
      </c>
      <c r="BX30" t="s">
        <v>5095</v>
      </c>
      <c r="BY30" t="s">
        <v>5096</v>
      </c>
      <c r="BZ30" t="s">
        <v>5097</v>
      </c>
      <c r="CA30" t="s">
        <v>2437</v>
      </c>
      <c r="CC30" t="s">
        <v>2438</v>
      </c>
      <c r="CD30" t="s">
        <v>2533</v>
      </c>
      <c r="CE30" t="s">
        <v>2440</v>
      </c>
      <c r="CG30" t="s">
        <v>2441</v>
      </c>
      <c r="CH30" t="s">
        <v>2534</v>
      </c>
      <c r="CI30" t="s">
        <v>2535</v>
      </c>
      <c r="CK30" t="s">
        <v>2444</v>
      </c>
      <c r="CL30" t="s">
        <v>2536</v>
      </c>
      <c r="CM30" t="s">
        <v>2446</v>
      </c>
      <c r="CO30" t="s">
        <v>2447</v>
      </c>
      <c r="CP30" t="s">
        <v>2537</v>
      </c>
      <c r="CQ30" t="s">
        <v>2666</v>
      </c>
      <c r="CS30" t="s">
        <v>2450</v>
      </c>
      <c r="CT30" t="s">
        <v>2539</v>
      </c>
      <c r="CV30">
        <v>9</v>
      </c>
      <c r="CW30">
        <v>9</v>
      </c>
      <c r="CX30">
        <v>9</v>
      </c>
      <c r="CY30">
        <v>9</v>
      </c>
      <c r="CZ30">
        <v>9</v>
      </c>
      <c r="DA30">
        <v>0.1</v>
      </c>
      <c r="DB30">
        <v>0.1</v>
      </c>
      <c r="DC30">
        <v>0.2</v>
      </c>
      <c r="DD30">
        <v>0.3</v>
      </c>
      <c r="DE30">
        <v>0.3</v>
      </c>
      <c r="DF30">
        <v>0.9</v>
      </c>
      <c r="DG30">
        <v>0.9</v>
      </c>
      <c r="DH30">
        <v>1.8</v>
      </c>
      <c r="DI30">
        <v>2.7</v>
      </c>
      <c r="DJ30">
        <v>2.7</v>
      </c>
      <c r="DK30">
        <v>8</v>
      </c>
      <c r="DL30">
        <v>0</v>
      </c>
      <c r="DM30">
        <v>8</v>
      </c>
      <c r="DN30">
        <v>9</v>
      </c>
      <c r="DO30">
        <f>AVERAGE(CV30:CZ30)</f>
        <v>9</v>
      </c>
      <c r="DQ30">
        <v>14</v>
      </c>
      <c r="DR30" t="s">
        <v>28</v>
      </c>
      <c r="DS30" t="s">
        <v>61</v>
      </c>
      <c r="DT30" t="s">
        <v>90</v>
      </c>
      <c r="DU30" t="s">
        <v>112</v>
      </c>
      <c r="DV30" t="s">
        <v>113</v>
      </c>
      <c r="DW30" t="s">
        <v>3769</v>
      </c>
      <c r="DX30" t="s">
        <v>3770</v>
      </c>
      <c r="DY30" t="s">
        <v>3963</v>
      </c>
      <c r="DZ30" t="s">
        <v>3963</v>
      </c>
      <c r="EA30" t="s">
        <v>3860</v>
      </c>
      <c r="EB30" t="s">
        <v>3964</v>
      </c>
      <c r="EC30" t="s">
        <v>3965</v>
      </c>
      <c r="ED30" t="s">
        <v>3965</v>
      </c>
      <c r="EE30" t="s">
        <v>3966</v>
      </c>
      <c r="EF30" t="s">
        <v>4020</v>
      </c>
      <c r="EG30" t="s">
        <v>3968</v>
      </c>
      <c r="EH30" t="s">
        <v>3968</v>
      </c>
      <c r="EI30" t="s">
        <v>4021</v>
      </c>
      <c r="EJ30" t="s">
        <v>4022</v>
      </c>
      <c r="EK30" t="s">
        <v>4023</v>
      </c>
      <c r="EL30" t="s">
        <v>4023</v>
      </c>
      <c r="EM30" t="s">
        <v>4024</v>
      </c>
      <c r="EN30" t="s">
        <v>4025</v>
      </c>
      <c r="EO30" t="s">
        <v>4026</v>
      </c>
      <c r="EP30" t="s">
        <v>4026</v>
      </c>
      <c r="EQ30">
        <v>7</v>
      </c>
      <c r="ER30">
        <v>8</v>
      </c>
      <c r="ES30">
        <v>7</v>
      </c>
      <c r="ET30">
        <v>7</v>
      </c>
      <c r="EU30">
        <v>7</v>
      </c>
      <c r="EV30">
        <v>0.1</v>
      </c>
      <c r="EW30">
        <v>0.1</v>
      </c>
      <c r="EX30">
        <v>0.2</v>
      </c>
      <c r="EY30">
        <v>0.3</v>
      </c>
      <c r="EZ30">
        <v>0.3</v>
      </c>
      <c r="FA30">
        <f>EV30*EQ30</f>
        <v>0.70000000000000007</v>
      </c>
      <c r="FB30">
        <f>EW30*ER30</f>
        <v>0.8</v>
      </c>
      <c r="FC30">
        <f>EX30*ES30</f>
        <v>1.4000000000000001</v>
      </c>
      <c r="FD30">
        <f>EY30*ET30</f>
        <v>2.1</v>
      </c>
      <c r="FE30">
        <f>EZ30*EU30</f>
        <v>2.1</v>
      </c>
      <c r="FF30">
        <v>14</v>
      </c>
      <c r="FG30">
        <v>0</v>
      </c>
      <c r="FH30">
        <v>14</v>
      </c>
      <c r="FI30">
        <f>FA30+FB30+FC30+FD30+FE30</f>
        <v>7.1</v>
      </c>
      <c r="FJ30">
        <f>MEDIAN(EQ30:EU30)</f>
        <v>7</v>
      </c>
      <c r="FL30">
        <v>40.950000000000003</v>
      </c>
      <c r="FM30">
        <v>5.7</v>
      </c>
      <c r="FN30" t="s">
        <v>740</v>
      </c>
      <c r="FO30" t="s">
        <v>741</v>
      </c>
      <c r="FP30" t="s">
        <v>742</v>
      </c>
      <c r="FQ30" t="s">
        <v>743</v>
      </c>
      <c r="FR30" t="s">
        <v>744</v>
      </c>
      <c r="FS30">
        <v>6</v>
      </c>
      <c r="FT30">
        <v>8</v>
      </c>
      <c r="FU30">
        <v>5</v>
      </c>
      <c r="FV30">
        <v>7</v>
      </c>
      <c r="FW30">
        <v>4</v>
      </c>
      <c r="FX30">
        <v>0.1</v>
      </c>
      <c r="FY30">
        <v>0.1</v>
      </c>
      <c r="FZ30">
        <v>0.2</v>
      </c>
      <c r="GA30">
        <v>0.3</v>
      </c>
      <c r="GB30">
        <v>0.3</v>
      </c>
      <c r="GC30">
        <f>FS30*FX30</f>
        <v>0.60000000000000009</v>
      </c>
      <c r="GD30">
        <f>FT30*FY30</f>
        <v>0.8</v>
      </c>
      <c r="GE30">
        <f>FU30*FZ30</f>
        <v>1</v>
      </c>
      <c r="GF30">
        <f>FV30*GA30</f>
        <v>2.1</v>
      </c>
      <c r="GG30">
        <f>FW30*GB30</f>
        <v>1.2</v>
      </c>
      <c r="GH30">
        <v>5.7</v>
      </c>
      <c r="GJ30">
        <v>5.7</v>
      </c>
      <c r="GK30">
        <f>GC30+GD30+GE30+GF30+GG30</f>
        <v>5.7</v>
      </c>
      <c r="GL30">
        <f>MEDIAN(FS30:FW30)</f>
        <v>6</v>
      </c>
    </row>
    <row r="31" spans="1:194" hidden="1" x14ac:dyDescent="0.25">
      <c r="A31">
        <v>30</v>
      </c>
      <c r="B31" t="s">
        <v>2</v>
      </c>
      <c r="C31" s="4">
        <v>83.25</v>
      </c>
      <c r="D31">
        <v>3.7</v>
      </c>
      <c r="E31" s="1">
        <f>C31/3/D31</f>
        <v>7.5</v>
      </c>
      <c r="G31">
        <v>34.450000000000003</v>
      </c>
      <c r="H31">
        <v>8.1999999999999993</v>
      </c>
      <c r="I31">
        <f>H31*D31*3</f>
        <v>91.02</v>
      </c>
      <c r="J31">
        <v>18.149999999999999</v>
      </c>
      <c r="K31">
        <v>8.6999999999999993</v>
      </c>
      <c r="L31" s="3">
        <f>K31*3*D31</f>
        <v>96.57</v>
      </c>
      <c r="M31">
        <v>5.42</v>
      </c>
      <c r="N31">
        <v>4</v>
      </c>
      <c r="O31">
        <f>N31*D31*3</f>
        <v>44.400000000000006</v>
      </c>
      <c r="P31" s="5">
        <v>8.1999999999999993</v>
      </c>
      <c r="Q31" s="5">
        <f>P31*D31*3</f>
        <v>91.02</v>
      </c>
      <c r="S31" t="s">
        <v>6168</v>
      </c>
      <c r="T31">
        <v>5.6</v>
      </c>
      <c r="U31" s="8">
        <f>T31*D31*3</f>
        <v>62.16</v>
      </c>
      <c r="V31">
        <v>31.36</v>
      </c>
      <c r="W31">
        <v>8.4</v>
      </c>
      <c r="X31" s="5">
        <f>W31*D31*3</f>
        <v>93.240000000000009</v>
      </c>
      <c r="Y31">
        <v>9.4600000000000009</v>
      </c>
      <c r="Z31">
        <v>7.5</v>
      </c>
      <c r="AA31">
        <f>Z31*D31*3</f>
        <v>83.25</v>
      </c>
      <c r="AC31">
        <v>46.76</v>
      </c>
      <c r="AD31">
        <v>7.9</v>
      </c>
      <c r="AE31" s="1">
        <f>AD31*3*D31</f>
        <v>87.690000000000012</v>
      </c>
      <c r="AF31">
        <v>11.89</v>
      </c>
      <c r="AG31" s="5">
        <v>7</v>
      </c>
      <c r="AH31" s="5">
        <f>AG31*D31*3</f>
        <v>77.7</v>
      </c>
      <c r="AI31" s="13"/>
      <c r="AJ31">
        <v>8.1999999999999993</v>
      </c>
      <c r="AK31" s="8">
        <f>AJ31*D31*3</f>
        <v>91.02</v>
      </c>
      <c r="AL31" s="13"/>
      <c r="AM31">
        <v>30.53</v>
      </c>
      <c r="AN31">
        <v>7.3</v>
      </c>
      <c r="AO31" s="8">
        <f>AN31*D31*3</f>
        <v>81.03</v>
      </c>
      <c r="AP31">
        <v>14.6</v>
      </c>
      <c r="AQ31">
        <v>10</v>
      </c>
      <c r="AR31">
        <f>AQ31*D31*3</f>
        <v>111</v>
      </c>
      <c r="AS31">
        <v>10.35</v>
      </c>
      <c r="AT31">
        <v>9</v>
      </c>
      <c r="AU31">
        <f>AT31*D31*3</f>
        <v>99.9</v>
      </c>
      <c r="AW31">
        <v>24.96</v>
      </c>
      <c r="AX31">
        <v>9.1</v>
      </c>
      <c r="AY31">
        <f>AX31*D31*3</f>
        <v>101.01</v>
      </c>
      <c r="AZ31">
        <v>24.96</v>
      </c>
      <c r="BA31">
        <v>8.9</v>
      </c>
      <c r="BB31">
        <f>BA31*D31*3</f>
        <v>98.789999999999992</v>
      </c>
      <c r="BD31">
        <v>8.9</v>
      </c>
      <c r="BE31">
        <f>BD31*D31*3</f>
        <v>98.789999999999992</v>
      </c>
      <c r="BG31" s="10"/>
      <c r="BH31" s="1">
        <f>CHOOSE(MATCH(MIN(ABS(BP31-C31),ABS(BQ31-C31),ABS(BR31-C31)),CHOOSE({1;2;3},ABS(BP31-C31),ABS(BQ31-C31),ABS(BR31-C31)),0),BP31,BQ31,BR31)</f>
        <v>83.25</v>
      </c>
      <c r="BJ31" s="1" cm="1">
        <f t="array" ref="BJ31">(INDEX(_xlfn._xlws.SORT(CHOOSE({1;2;3;4;5;6},BQ31,BR31,L31,AE31,BO31,BP31)),3) + INDEX(_xlfn._xlws.SORT(CHOOSE({1;2;3;4;5;6},BQ31,BR31,L31,AE31,BO31,BP31)),4))/2</f>
        <v>88.245000000000005</v>
      </c>
      <c r="BK31">
        <v>7.5391854082903196</v>
      </c>
      <c r="BL31" t="s">
        <v>6117</v>
      </c>
      <c r="BM31" s="1">
        <f>BK31*3*D31</f>
        <v>83.68495803202255</v>
      </c>
      <c r="BN31" s="1">
        <f>BM31-C31</f>
        <v>0.4349580320225499</v>
      </c>
      <c r="BO31" s="1">
        <f>GK31*3*D31</f>
        <v>74.924999999999997</v>
      </c>
      <c r="BP31" s="1">
        <f>DO31*3*D31</f>
        <v>99.9</v>
      </c>
      <c r="BQ31" s="1">
        <f>FJ31*3*D31</f>
        <v>88.800000000000011</v>
      </c>
      <c r="BR31" s="1">
        <f>GL31*3*D31</f>
        <v>83.25</v>
      </c>
      <c r="BT31">
        <v>34.450000000000003</v>
      </c>
      <c r="BU31">
        <v>8.1999999999999993</v>
      </c>
      <c r="BV31" t="s">
        <v>5098</v>
      </c>
      <c r="BW31" t="s">
        <v>4987</v>
      </c>
      <c r="BX31" t="s">
        <v>5099</v>
      </c>
      <c r="BY31" t="s">
        <v>5100</v>
      </c>
      <c r="BZ31" t="s">
        <v>5101</v>
      </c>
      <c r="CA31" t="s">
        <v>2550</v>
      </c>
      <c r="CC31" t="s">
        <v>2634</v>
      </c>
      <c r="CD31" t="s">
        <v>2635</v>
      </c>
      <c r="CE31" t="s">
        <v>2667</v>
      </c>
      <c r="CG31" t="s">
        <v>2634</v>
      </c>
      <c r="CH31" t="s">
        <v>2637</v>
      </c>
      <c r="CI31" t="s">
        <v>2668</v>
      </c>
      <c r="CK31" t="s">
        <v>2634</v>
      </c>
      <c r="CL31" t="s">
        <v>2669</v>
      </c>
      <c r="CM31" t="s">
        <v>2670</v>
      </c>
      <c r="CO31" t="s">
        <v>2634</v>
      </c>
      <c r="CP31" t="s">
        <v>2671</v>
      </c>
      <c r="CQ31" t="s">
        <v>2672</v>
      </c>
      <c r="CS31" t="s">
        <v>2634</v>
      </c>
      <c r="CT31" t="s">
        <v>2645</v>
      </c>
      <c r="CV31">
        <v>9</v>
      </c>
      <c r="CW31">
        <v>9</v>
      </c>
      <c r="CX31">
        <v>9</v>
      </c>
      <c r="CY31">
        <v>9</v>
      </c>
      <c r="CZ31">
        <v>9</v>
      </c>
      <c r="DA31">
        <v>0.1</v>
      </c>
      <c r="DB31">
        <v>0.1</v>
      </c>
      <c r="DC31">
        <v>0.2</v>
      </c>
      <c r="DD31">
        <v>0.3</v>
      </c>
      <c r="DE31">
        <v>0.3</v>
      </c>
      <c r="DF31">
        <v>0.9</v>
      </c>
      <c r="DG31">
        <v>0.9</v>
      </c>
      <c r="DH31">
        <v>1.8</v>
      </c>
      <c r="DI31">
        <v>2.7</v>
      </c>
      <c r="DJ31">
        <v>2.7</v>
      </c>
      <c r="DK31">
        <v>8.1999999999999993</v>
      </c>
      <c r="DL31">
        <v>0</v>
      </c>
      <c r="DM31">
        <v>8.1999999999999993</v>
      </c>
      <c r="DN31">
        <v>8.6999999999999993</v>
      </c>
      <c r="DO31">
        <f>AVERAGE(CV31:CZ31)</f>
        <v>9</v>
      </c>
      <c r="DQ31">
        <v>8</v>
      </c>
      <c r="DR31" t="s">
        <v>28</v>
      </c>
      <c r="DS31" t="s">
        <v>43</v>
      </c>
      <c r="DT31" t="s">
        <v>44</v>
      </c>
      <c r="DU31" t="s">
        <v>45</v>
      </c>
      <c r="DV31" t="s">
        <v>114</v>
      </c>
      <c r="DW31" t="s">
        <v>3769</v>
      </c>
      <c r="DX31" t="s">
        <v>3770</v>
      </c>
      <c r="DY31" t="s">
        <v>3771</v>
      </c>
      <c r="DZ31" t="s">
        <v>3772</v>
      </c>
      <c r="EA31" t="s">
        <v>3806</v>
      </c>
      <c r="EB31" t="s">
        <v>3807</v>
      </c>
      <c r="EC31" t="s">
        <v>3775</v>
      </c>
      <c r="ED31" t="s">
        <v>3776</v>
      </c>
      <c r="EE31" t="s">
        <v>3819</v>
      </c>
      <c r="EF31" t="s">
        <v>3809</v>
      </c>
      <c r="EG31" t="s">
        <v>3810</v>
      </c>
      <c r="EH31" t="s">
        <v>3811</v>
      </c>
      <c r="EI31" t="s">
        <v>3820</v>
      </c>
      <c r="EJ31" t="s">
        <v>3813</v>
      </c>
      <c r="EK31" t="s">
        <v>3925</v>
      </c>
      <c r="EL31" t="s">
        <v>3926</v>
      </c>
      <c r="EM31" t="s">
        <v>3816</v>
      </c>
      <c r="EN31" t="s">
        <v>3823</v>
      </c>
      <c r="EO31" t="s">
        <v>3824</v>
      </c>
      <c r="EP31" t="s">
        <v>3857</v>
      </c>
      <c r="EQ31">
        <v>7</v>
      </c>
      <c r="ER31">
        <v>8</v>
      </c>
      <c r="ES31">
        <v>8</v>
      </c>
      <c r="ET31">
        <v>8</v>
      </c>
      <c r="EU31">
        <v>8</v>
      </c>
      <c r="EV31">
        <v>0.1</v>
      </c>
      <c r="EW31">
        <v>0.1</v>
      </c>
      <c r="EX31">
        <v>0.2</v>
      </c>
      <c r="EY31">
        <v>0.3</v>
      </c>
      <c r="EZ31">
        <v>0.3</v>
      </c>
      <c r="FA31">
        <f>EV31*EQ31</f>
        <v>0.70000000000000007</v>
      </c>
      <c r="FB31">
        <f>EW31*ER31</f>
        <v>0.8</v>
      </c>
      <c r="FC31">
        <f>EX31*ES31</f>
        <v>1.6</v>
      </c>
      <c r="FD31">
        <f>EY31*ET31</f>
        <v>2.4</v>
      </c>
      <c r="FE31">
        <f>EZ31*EU31</f>
        <v>2.4</v>
      </c>
      <c r="FF31">
        <v>15</v>
      </c>
      <c r="FG31">
        <v>0</v>
      </c>
      <c r="FH31">
        <v>15</v>
      </c>
      <c r="FI31">
        <f>FA31+FB31+FC31+FD31+FE31</f>
        <v>7.9</v>
      </c>
      <c r="FJ31">
        <f>MEDIAN(EQ31:EU31)</f>
        <v>8</v>
      </c>
      <c r="FL31">
        <v>46.93</v>
      </c>
      <c r="FM31">
        <v>8.8000000000000007</v>
      </c>
      <c r="FN31" t="s">
        <v>745</v>
      </c>
      <c r="FO31" t="s">
        <v>746</v>
      </c>
      <c r="FP31" t="s">
        <v>747</v>
      </c>
      <c r="FQ31" t="s">
        <v>748</v>
      </c>
      <c r="FR31" t="s">
        <v>749</v>
      </c>
      <c r="FS31">
        <v>10</v>
      </c>
      <c r="FT31">
        <v>9.5</v>
      </c>
      <c r="FU31">
        <v>7.5</v>
      </c>
      <c r="FV31">
        <v>6.5</v>
      </c>
      <c r="FW31">
        <v>4.5</v>
      </c>
      <c r="FX31">
        <v>0.1</v>
      </c>
      <c r="FY31">
        <v>0.1</v>
      </c>
      <c r="FZ31">
        <v>0.2</v>
      </c>
      <c r="GA31">
        <v>0.3</v>
      </c>
      <c r="GB31">
        <v>0.3</v>
      </c>
      <c r="GC31">
        <f>FS31*FX31</f>
        <v>1</v>
      </c>
      <c r="GD31">
        <f>FT31*FY31</f>
        <v>0.95000000000000007</v>
      </c>
      <c r="GE31">
        <f>FU31*FZ31</f>
        <v>1.5</v>
      </c>
      <c r="GF31">
        <f>FV31*GA31</f>
        <v>1.95</v>
      </c>
      <c r="GG31">
        <f>FW31*GB31</f>
        <v>1.3499999999999999</v>
      </c>
      <c r="GH31">
        <v>8.8000000000000007</v>
      </c>
      <c r="GJ31">
        <v>8.8000000000000007</v>
      </c>
      <c r="GK31">
        <f>GC31+GD31+GE31+GF31+GG31</f>
        <v>6.75</v>
      </c>
      <c r="GL31">
        <f>MEDIAN(FS31:FW31)</f>
        <v>7.5</v>
      </c>
    </row>
    <row r="32" spans="1:194" hidden="1" x14ac:dyDescent="0.25">
      <c r="A32">
        <v>31</v>
      </c>
      <c r="B32" t="s">
        <v>2</v>
      </c>
      <c r="C32" s="4">
        <v>89.1</v>
      </c>
      <c r="D32">
        <v>3.3</v>
      </c>
      <c r="E32" s="1">
        <f>C32/3/D32</f>
        <v>9</v>
      </c>
      <c r="G32">
        <v>35.5</v>
      </c>
      <c r="H32">
        <v>8.1999999999999993</v>
      </c>
      <c r="I32">
        <f>H32*D32*3</f>
        <v>81.179999999999978</v>
      </c>
      <c r="J32">
        <v>16.920000000000002</v>
      </c>
      <c r="K32">
        <v>9</v>
      </c>
      <c r="L32" s="3">
        <f>K32*3*D32</f>
        <v>89.1</v>
      </c>
      <c r="M32">
        <v>4.75</v>
      </c>
      <c r="N32">
        <v>5.4</v>
      </c>
      <c r="O32">
        <f>N32*D32*3</f>
        <v>53.46</v>
      </c>
      <c r="P32" s="5">
        <v>9</v>
      </c>
      <c r="Q32" s="5">
        <f>P32*D32*3</f>
        <v>89.1</v>
      </c>
      <c r="S32" t="s">
        <v>6169</v>
      </c>
      <c r="T32">
        <v>2</v>
      </c>
      <c r="U32" s="8">
        <f>T32*D32*3</f>
        <v>19.799999999999997</v>
      </c>
      <c r="V32">
        <v>38</v>
      </c>
      <c r="W32">
        <v>8.5</v>
      </c>
      <c r="X32" s="5">
        <f>W32*D32*3</f>
        <v>84.149999999999991</v>
      </c>
      <c r="Y32">
        <v>8.9600000000000009</v>
      </c>
      <c r="Z32">
        <v>6</v>
      </c>
      <c r="AA32">
        <f>Z32*D32*3</f>
        <v>59.399999999999991</v>
      </c>
      <c r="AC32">
        <v>46.61</v>
      </c>
      <c r="AD32">
        <v>8</v>
      </c>
      <c r="AE32" s="1">
        <f>AD32*3*D32</f>
        <v>79.199999999999989</v>
      </c>
      <c r="AF32">
        <v>11.84</v>
      </c>
      <c r="AG32" s="5">
        <v>7</v>
      </c>
      <c r="AH32" s="5">
        <f>AG32*D32*3</f>
        <v>69.3</v>
      </c>
      <c r="AI32" s="13"/>
      <c r="AK32" s="8">
        <f>AJ32*D32*3</f>
        <v>0</v>
      </c>
      <c r="AL32" s="13"/>
      <c r="AM32">
        <v>30.84</v>
      </c>
      <c r="AN32">
        <v>7.5</v>
      </c>
      <c r="AO32" s="8">
        <f>AN32*D32*3</f>
        <v>74.25</v>
      </c>
      <c r="AP32">
        <v>13.34</v>
      </c>
      <c r="AQ32">
        <v>8.6</v>
      </c>
      <c r="AR32">
        <f>AQ32*D32*3</f>
        <v>85.14</v>
      </c>
      <c r="AS32">
        <v>9.9</v>
      </c>
      <c r="AT32">
        <v>9</v>
      </c>
      <c r="AU32">
        <f>AT32*D32*3</f>
        <v>89.1</v>
      </c>
      <c r="AW32">
        <v>26.11</v>
      </c>
      <c r="AX32">
        <v>9.3000000000000007</v>
      </c>
      <c r="AY32">
        <f>AX32*D32*3</f>
        <v>92.070000000000007</v>
      </c>
      <c r="AZ32">
        <v>26.11</v>
      </c>
      <c r="BA32">
        <v>9</v>
      </c>
      <c r="BB32">
        <f>BA32*D32*3</f>
        <v>89.1</v>
      </c>
      <c r="BD32">
        <v>9</v>
      </c>
      <c r="BE32">
        <f>BD32*D32*3</f>
        <v>89.1</v>
      </c>
      <c r="BG32" s="10"/>
      <c r="BH32" s="1">
        <f>CHOOSE(MATCH(MIN(ABS(BP32-C32),ABS(BQ32-C32),ABS(BR32-C32)),CHOOSE({1;2;3},ABS(BP32-C32),ABS(BQ32-C32),ABS(BR32-C32)),0),BP32,BQ32,BR32)</f>
        <v>89.1</v>
      </c>
      <c r="BJ32" s="1" cm="1">
        <f t="array" ref="BJ32">(INDEX(_xlfn._xlws.SORT(CHOOSE({1;2;3;4;5;6},BQ32,BR32,L32,AE32,BO32,BP32)),3) + INDEX(_xlfn._xlws.SORT(CHOOSE({1;2;3;4;5;6},BQ32,BR32,L32,AE32,BO32,BP32)),4))/2</f>
        <v>79.199999999999989</v>
      </c>
      <c r="BK32">
        <v>8.9924072197804001</v>
      </c>
      <c r="BL32" t="s">
        <v>6117</v>
      </c>
      <c r="BM32" s="1">
        <f>BK32*3*D32</f>
        <v>89.024831475825962</v>
      </c>
      <c r="BN32" s="1">
        <f>BM32-C32</f>
        <v>-7.5168524174031859E-2</v>
      </c>
      <c r="BO32" s="1">
        <f>GK32*3*D32</f>
        <v>50.984999999999999</v>
      </c>
      <c r="BP32" s="1">
        <f>DO32*3*D32</f>
        <v>89.1</v>
      </c>
      <c r="BQ32" s="1">
        <f>FJ32*3*D32</f>
        <v>79.199999999999989</v>
      </c>
      <c r="BR32" s="1">
        <f>GL32*3*D32</f>
        <v>39.599999999999994</v>
      </c>
      <c r="BT32">
        <v>35.5</v>
      </c>
      <c r="BU32">
        <v>8.1999999999999993</v>
      </c>
      <c r="BV32" t="s">
        <v>5102</v>
      </c>
      <c r="BW32" t="s">
        <v>5103</v>
      </c>
      <c r="BX32" t="s">
        <v>5104</v>
      </c>
      <c r="BY32" t="s">
        <v>5105</v>
      </c>
      <c r="BZ32" t="s">
        <v>5106</v>
      </c>
      <c r="CA32" t="s">
        <v>2480</v>
      </c>
      <c r="CC32" t="s">
        <v>2673</v>
      </c>
      <c r="CD32" t="s">
        <v>2674</v>
      </c>
      <c r="CE32" t="s">
        <v>2565</v>
      </c>
      <c r="CG32" t="s">
        <v>2675</v>
      </c>
      <c r="CH32" t="s">
        <v>2674</v>
      </c>
      <c r="CI32" t="s">
        <v>2496</v>
      </c>
      <c r="CK32" t="s">
        <v>2676</v>
      </c>
      <c r="CL32" t="s">
        <v>2674</v>
      </c>
      <c r="CM32" t="s">
        <v>2670</v>
      </c>
      <c r="CO32" t="s">
        <v>2677</v>
      </c>
      <c r="CP32" t="s">
        <v>2674</v>
      </c>
      <c r="CQ32" t="s">
        <v>2678</v>
      </c>
      <c r="CS32" t="s">
        <v>2679</v>
      </c>
      <c r="CT32" t="s">
        <v>2674</v>
      </c>
      <c r="CV32">
        <v>9</v>
      </c>
      <c r="CW32">
        <v>9</v>
      </c>
      <c r="CX32">
        <v>9</v>
      </c>
      <c r="CY32">
        <v>9</v>
      </c>
      <c r="CZ32">
        <v>9</v>
      </c>
      <c r="DA32">
        <v>0.1</v>
      </c>
      <c r="DB32">
        <v>0.1</v>
      </c>
      <c r="DC32">
        <v>0.2</v>
      </c>
      <c r="DD32">
        <v>0.3</v>
      </c>
      <c r="DE32">
        <v>0.3</v>
      </c>
      <c r="DF32">
        <v>0.9</v>
      </c>
      <c r="DG32">
        <v>0.9</v>
      </c>
      <c r="DH32">
        <v>1.8</v>
      </c>
      <c r="DI32">
        <v>2.7</v>
      </c>
      <c r="DJ32">
        <v>2.7</v>
      </c>
      <c r="DK32">
        <v>8.1999999999999993</v>
      </c>
      <c r="DL32">
        <v>0</v>
      </c>
      <c r="DM32">
        <v>8.1999999999999993</v>
      </c>
      <c r="DN32">
        <v>9</v>
      </c>
      <c r="DO32">
        <f>AVERAGE(CV32:CZ32)</f>
        <v>9</v>
      </c>
      <c r="DQ32">
        <v>8</v>
      </c>
      <c r="DR32" t="s">
        <v>52</v>
      </c>
      <c r="DS32" t="s">
        <v>115</v>
      </c>
      <c r="DT32" t="s">
        <v>116</v>
      </c>
      <c r="DU32" t="s">
        <v>71</v>
      </c>
      <c r="DV32" t="s">
        <v>117</v>
      </c>
      <c r="DW32" t="s">
        <v>3836</v>
      </c>
      <c r="DX32" t="s">
        <v>3837</v>
      </c>
      <c r="DY32" t="s">
        <v>3875</v>
      </c>
      <c r="DZ32" t="s">
        <v>3052</v>
      </c>
      <c r="EA32" t="s">
        <v>3860</v>
      </c>
      <c r="EB32" t="s">
        <v>3840</v>
      </c>
      <c r="EC32" t="s">
        <v>4027</v>
      </c>
      <c r="ED32" t="s">
        <v>2495</v>
      </c>
      <c r="EE32" t="s">
        <v>3877</v>
      </c>
      <c r="EF32" t="s">
        <v>3844</v>
      </c>
      <c r="EG32" t="s">
        <v>4028</v>
      </c>
      <c r="EH32" t="s">
        <v>2498</v>
      </c>
      <c r="EI32" t="s">
        <v>3879</v>
      </c>
      <c r="EJ32" t="s">
        <v>4029</v>
      </c>
      <c r="EK32" t="s">
        <v>4030</v>
      </c>
      <c r="EL32" t="s">
        <v>2501</v>
      </c>
      <c r="EM32" t="s">
        <v>4031</v>
      </c>
      <c r="EN32" t="s">
        <v>3852</v>
      </c>
      <c r="EO32" t="s">
        <v>4032</v>
      </c>
      <c r="EP32" t="s">
        <v>2632</v>
      </c>
      <c r="EQ32">
        <v>8</v>
      </c>
      <c r="ER32">
        <v>8</v>
      </c>
      <c r="ES32">
        <v>8</v>
      </c>
      <c r="ET32">
        <v>8</v>
      </c>
      <c r="EU32">
        <v>8</v>
      </c>
      <c r="EV32">
        <v>0.1</v>
      </c>
      <c r="EW32">
        <v>0.1</v>
      </c>
      <c r="EX32">
        <v>0.2</v>
      </c>
      <c r="EY32">
        <v>0.3</v>
      </c>
      <c r="EZ32">
        <v>0.3</v>
      </c>
      <c r="FA32">
        <f>EV32*EQ32</f>
        <v>0.8</v>
      </c>
      <c r="FB32">
        <f>EW32*ER32</f>
        <v>0.8</v>
      </c>
      <c r="FC32">
        <f>EX32*ES32</f>
        <v>1.6</v>
      </c>
      <c r="FD32">
        <f>EY32*ET32</f>
        <v>2.4</v>
      </c>
      <c r="FE32">
        <f>EZ32*EU32</f>
        <v>2.4</v>
      </c>
      <c r="FF32">
        <v>16</v>
      </c>
      <c r="FG32">
        <v>0</v>
      </c>
      <c r="FH32">
        <v>8</v>
      </c>
      <c r="FI32">
        <f>FA32+FB32+FC32+FD32+FE32</f>
        <v>8</v>
      </c>
      <c r="FJ32">
        <f>MEDIAN(EQ32:EU32)</f>
        <v>8</v>
      </c>
      <c r="FL32">
        <v>40.450000000000003</v>
      </c>
      <c r="FM32">
        <v>9</v>
      </c>
      <c r="FN32" t="s">
        <v>750</v>
      </c>
      <c r="FO32" t="s">
        <v>751</v>
      </c>
      <c r="FP32" t="s">
        <v>752</v>
      </c>
      <c r="FQ32" t="s">
        <v>753</v>
      </c>
      <c r="FR32" t="s">
        <v>754</v>
      </c>
      <c r="FS32">
        <v>4</v>
      </c>
      <c r="FT32">
        <v>2.5</v>
      </c>
      <c r="FU32">
        <v>3</v>
      </c>
      <c r="FV32">
        <v>6</v>
      </c>
      <c r="FW32">
        <v>7</v>
      </c>
      <c r="FX32">
        <v>0.1</v>
      </c>
      <c r="FY32">
        <v>0.1</v>
      </c>
      <c r="FZ32">
        <v>0.2</v>
      </c>
      <c r="GA32">
        <v>0.3</v>
      </c>
      <c r="GB32">
        <v>0.3</v>
      </c>
      <c r="GC32">
        <f>FS32*FX32</f>
        <v>0.4</v>
      </c>
      <c r="GD32">
        <f>FT32*FY32</f>
        <v>0.25</v>
      </c>
      <c r="GE32">
        <f>FU32*FZ32</f>
        <v>0.60000000000000009</v>
      </c>
      <c r="GF32">
        <f>FV32*GA32</f>
        <v>1.7999999999999998</v>
      </c>
      <c r="GG32">
        <f>FW32*GB32</f>
        <v>2.1</v>
      </c>
      <c r="GH32">
        <v>9</v>
      </c>
      <c r="GI32">
        <v>0</v>
      </c>
      <c r="GJ32">
        <v>9</v>
      </c>
      <c r="GK32">
        <f>GC32+GD32+GE32+GF32+GG32</f>
        <v>5.15</v>
      </c>
      <c r="GL32">
        <f>MEDIAN(FS32:FW32)</f>
        <v>4</v>
      </c>
    </row>
    <row r="33" spans="1:194" hidden="1" x14ac:dyDescent="0.25">
      <c r="A33">
        <v>32</v>
      </c>
      <c r="B33" t="s">
        <v>2</v>
      </c>
      <c r="C33" s="4">
        <v>77.55</v>
      </c>
      <c r="D33">
        <v>3.3</v>
      </c>
      <c r="E33" s="1">
        <f>C33/3/D33</f>
        <v>7.833333333333333</v>
      </c>
      <c r="G33">
        <v>38.03</v>
      </c>
      <c r="H33">
        <v>8</v>
      </c>
      <c r="I33">
        <f>H33*D33*3</f>
        <v>79.199999999999989</v>
      </c>
      <c r="J33">
        <v>16.66</v>
      </c>
      <c r="K33">
        <v>9</v>
      </c>
      <c r="L33" s="3">
        <f>K33*3*D33</f>
        <v>89.1</v>
      </c>
      <c r="M33">
        <v>5.08</v>
      </c>
      <c r="N33">
        <v>5</v>
      </c>
      <c r="O33">
        <f>N33*D33*3</f>
        <v>49.5</v>
      </c>
      <c r="P33" s="5">
        <v>7.9</v>
      </c>
      <c r="Q33" s="5">
        <f>P33*D33*3</f>
        <v>78.210000000000008</v>
      </c>
      <c r="S33" t="s">
        <v>6170</v>
      </c>
      <c r="T33">
        <v>6.8</v>
      </c>
      <c r="U33" s="8">
        <f>T33*D33*3</f>
        <v>67.319999999999993</v>
      </c>
      <c r="V33">
        <v>32.619999999999997</v>
      </c>
      <c r="W33">
        <v>8.4</v>
      </c>
      <c r="X33" s="5">
        <f>W33*D33*3</f>
        <v>83.16</v>
      </c>
      <c r="Y33">
        <v>9.09</v>
      </c>
      <c r="Z33">
        <v>7.9</v>
      </c>
      <c r="AA33">
        <f>Z33*D33*3</f>
        <v>78.210000000000008</v>
      </c>
      <c r="AC33">
        <v>51.13</v>
      </c>
      <c r="AD33">
        <v>7.1</v>
      </c>
      <c r="AE33" s="1">
        <f>AD33*3*D33</f>
        <v>70.289999999999992</v>
      </c>
      <c r="AF33">
        <v>11.92</v>
      </c>
      <c r="AG33" s="5">
        <v>7</v>
      </c>
      <c r="AH33" s="5">
        <f>AG33*D33*3</f>
        <v>69.3</v>
      </c>
      <c r="AI33" s="13"/>
      <c r="AJ33">
        <v>8.1999999999999993</v>
      </c>
      <c r="AK33" s="8">
        <f>AJ33*D33*3</f>
        <v>81.179999999999978</v>
      </c>
      <c r="AL33" s="13"/>
      <c r="AM33">
        <v>30.61</v>
      </c>
      <c r="AN33">
        <v>7.2</v>
      </c>
      <c r="AO33" s="8">
        <f>AN33*D33*3</f>
        <v>71.28</v>
      </c>
      <c r="AP33">
        <v>14.4</v>
      </c>
      <c r="AQ33">
        <v>9.5</v>
      </c>
      <c r="AR33">
        <f>AQ33*D33*3</f>
        <v>94.05</v>
      </c>
      <c r="AS33">
        <v>11.09</v>
      </c>
      <c r="AT33">
        <v>8.5</v>
      </c>
      <c r="AU33">
        <f>AT33*D33*3</f>
        <v>84.149999999999991</v>
      </c>
      <c r="AW33">
        <v>24.44</v>
      </c>
      <c r="AX33">
        <v>9.1</v>
      </c>
      <c r="AY33">
        <f>AX33*D33*3</f>
        <v>90.089999999999989</v>
      </c>
      <c r="AZ33">
        <v>24.44</v>
      </c>
      <c r="BA33">
        <v>9</v>
      </c>
      <c r="BB33">
        <f>BA33*D33*3</f>
        <v>89.1</v>
      </c>
      <c r="BD33">
        <v>8.1</v>
      </c>
      <c r="BE33">
        <f>BD33*D33*3</f>
        <v>80.19</v>
      </c>
      <c r="BG33" s="10"/>
      <c r="BH33" s="1">
        <f>CHOOSE(MATCH(MIN(ABS(BP33-C33),ABS(BQ33-C33),ABS(BR33-C33)),CHOOSE({1;2;3},ABS(BP33-C33),ABS(BQ33-C33),ABS(BR33-C33)),0),BP33,BQ33,BR33)</f>
        <v>79.199999999999989</v>
      </c>
      <c r="BJ33" s="1" cm="1">
        <f t="array" ref="BJ33">(INDEX(_xlfn._xlws.SORT(CHOOSE({1;2;3;4;5;6},BQ33,BR33,L33,AE33,BO33,BP33)),3) + INDEX(_xlfn._xlws.SORT(CHOOSE({1;2;3;4;5;6},BQ33,BR33,L33,AE33,BO33,BP33)),4))/2</f>
        <v>79.942499999999995</v>
      </c>
      <c r="BK33">
        <v>7.8318402811412202</v>
      </c>
      <c r="BL33" t="s">
        <v>6117</v>
      </c>
      <c r="BM33" s="1">
        <f>BK33*3*D33</f>
        <v>77.535218783298077</v>
      </c>
      <c r="BN33" s="1">
        <f>BM33-C33</f>
        <v>-1.4781216701919675E-2</v>
      </c>
      <c r="BO33" s="1">
        <f>GK33*3*D33</f>
        <v>80.685000000000002</v>
      </c>
      <c r="BP33" s="1">
        <f>DO33*3*D33</f>
        <v>89.1</v>
      </c>
      <c r="BQ33" s="1">
        <f>FJ33*3*D33</f>
        <v>69.3</v>
      </c>
      <c r="BR33" s="1">
        <f>GL33*3*D33</f>
        <v>79.199999999999989</v>
      </c>
      <c r="BT33">
        <v>38.03</v>
      </c>
      <c r="BU33">
        <v>8</v>
      </c>
      <c r="BV33" t="s">
        <v>5032</v>
      </c>
      <c r="BW33" t="s">
        <v>5107</v>
      </c>
      <c r="BX33" t="s">
        <v>5108</v>
      </c>
      <c r="BY33" t="s">
        <v>5109</v>
      </c>
      <c r="BZ33" t="s">
        <v>5110</v>
      </c>
      <c r="CA33" t="s">
        <v>2680</v>
      </c>
      <c r="CC33" t="s">
        <v>2681</v>
      </c>
      <c r="CD33" t="s">
        <v>2682</v>
      </c>
      <c r="CE33" t="s">
        <v>2683</v>
      </c>
      <c r="CG33" t="s">
        <v>2684</v>
      </c>
      <c r="CH33" t="s">
        <v>2527</v>
      </c>
      <c r="CI33" t="s">
        <v>2685</v>
      </c>
      <c r="CK33" t="s">
        <v>2686</v>
      </c>
      <c r="CL33" t="s">
        <v>2687</v>
      </c>
      <c r="CM33" t="s">
        <v>2688</v>
      </c>
      <c r="CO33" t="s">
        <v>2689</v>
      </c>
      <c r="CP33" t="s">
        <v>2690</v>
      </c>
      <c r="CQ33" t="s">
        <v>2691</v>
      </c>
      <c r="CS33" t="s">
        <v>2692</v>
      </c>
      <c r="CT33" t="s">
        <v>2693</v>
      </c>
      <c r="CV33">
        <v>9</v>
      </c>
      <c r="CW33">
        <v>9</v>
      </c>
      <c r="CX33">
        <v>9</v>
      </c>
      <c r="CY33">
        <v>9</v>
      </c>
      <c r="CZ33">
        <v>9</v>
      </c>
      <c r="DA33">
        <v>0.1</v>
      </c>
      <c r="DB33">
        <v>0.1</v>
      </c>
      <c r="DC33">
        <v>0.2</v>
      </c>
      <c r="DD33">
        <v>0.3</v>
      </c>
      <c r="DE33">
        <v>0.3</v>
      </c>
      <c r="DF33">
        <v>0.9</v>
      </c>
      <c r="DG33">
        <v>0.9</v>
      </c>
      <c r="DH33">
        <v>1.8</v>
      </c>
      <c r="DI33">
        <v>2.7</v>
      </c>
      <c r="DJ33">
        <v>2.7</v>
      </c>
      <c r="DK33">
        <v>8</v>
      </c>
      <c r="DL33">
        <v>0</v>
      </c>
      <c r="DM33">
        <v>8</v>
      </c>
      <c r="DN33">
        <v>9</v>
      </c>
      <c r="DO33">
        <f>AVERAGE(CV33:CZ33)</f>
        <v>9</v>
      </c>
      <c r="DQ33">
        <v>14</v>
      </c>
      <c r="DR33" t="s">
        <v>28</v>
      </c>
      <c r="DS33" t="s">
        <v>61</v>
      </c>
      <c r="DT33" t="s">
        <v>90</v>
      </c>
      <c r="DU33" t="s">
        <v>91</v>
      </c>
      <c r="DV33" t="s">
        <v>113</v>
      </c>
      <c r="DW33" t="s">
        <v>3769</v>
      </c>
      <c r="DX33" t="s">
        <v>3770</v>
      </c>
      <c r="DY33" t="s">
        <v>3963</v>
      </c>
      <c r="DZ33" t="s">
        <v>3963</v>
      </c>
      <c r="EA33" t="s">
        <v>3860</v>
      </c>
      <c r="EB33" t="s">
        <v>3964</v>
      </c>
      <c r="EC33" t="s">
        <v>3965</v>
      </c>
      <c r="ED33" t="s">
        <v>3965</v>
      </c>
      <c r="EE33" t="s">
        <v>3966</v>
      </c>
      <c r="EF33" t="s">
        <v>3967</v>
      </c>
      <c r="EG33" t="s">
        <v>3968</v>
      </c>
      <c r="EH33" t="s">
        <v>3968</v>
      </c>
      <c r="EI33" t="s">
        <v>3246</v>
      </c>
      <c r="EJ33" t="s">
        <v>3969</v>
      </c>
      <c r="EK33" t="s">
        <v>3970</v>
      </c>
      <c r="EL33" t="s">
        <v>3970</v>
      </c>
      <c r="EM33" t="s">
        <v>4024</v>
      </c>
      <c r="EN33" t="s">
        <v>4025</v>
      </c>
      <c r="EO33" t="s">
        <v>4026</v>
      </c>
      <c r="EP33" t="s">
        <v>4026</v>
      </c>
      <c r="EQ33">
        <v>7</v>
      </c>
      <c r="ER33">
        <v>8</v>
      </c>
      <c r="ES33">
        <v>7</v>
      </c>
      <c r="ET33">
        <v>7</v>
      </c>
      <c r="EU33">
        <v>7</v>
      </c>
      <c r="EV33">
        <v>0.1</v>
      </c>
      <c r="EW33">
        <v>0.1</v>
      </c>
      <c r="EX33">
        <v>0.2</v>
      </c>
      <c r="EY33">
        <v>0.3</v>
      </c>
      <c r="EZ33">
        <v>0.3</v>
      </c>
      <c r="FA33">
        <f>EV33*EQ33</f>
        <v>0.70000000000000007</v>
      </c>
      <c r="FB33">
        <f>EW33*ER33</f>
        <v>0.8</v>
      </c>
      <c r="FC33">
        <f>EX33*ES33</f>
        <v>1.4000000000000001</v>
      </c>
      <c r="FD33">
        <f>EY33*ET33</f>
        <v>2.1</v>
      </c>
      <c r="FE33">
        <f>EZ33*EU33</f>
        <v>2.1</v>
      </c>
      <c r="FF33">
        <v>14</v>
      </c>
      <c r="FG33">
        <v>0</v>
      </c>
      <c r="FH33">
        <v>14</v>
      </c>
      <c r="FI33">
        <f>FA33+FB33+FC33+FD33+FE33</f>
        <v>7.1</v>
      </c>
      <c r="FJ33">
        <f>MEDIAN(EQ33:EU33)</f>
        <v>7</v>
      </c>
      <c r="FL33">
        <v>42.06</v>
      </c>
      <c r="FM33">
        <v>7</v>
      </c>
      <c r="FN33" t="s">
        <v>755</v>
      </c>
      <c r="FO33" t="s">
        <v>756</v>
      </c>
      <c r="FP33" t="s">
        <v>757</v>
      </c>
      <c r="FQ33" t="s">
        <v>758</v>
      </c>
      <c r="FR33" t="s">
        <v>759</v>
      </c>
      <c r="FS33">
        <v>8</v>
      </c>
      <c r="FT33">
        <v>7.5</v>
      </c>
      <c r="FU33">
        <v>9</v>
      </c>
      <c r="FV33">
        <v>8.5</v>
      </c>
      <c r="FW33">
        <v>7.5</v>
      </c>
      <c r="FX33">
        <v>0.1</v>
      </c>
      <c r="FY33">
        <v>0.1</v>
      </c>
      <c r="FZ33">
        <v>0.2</v>
      </c>
      <c r="GA33">
        <v>0.3</v>
      </c>
      <c r="GB33">
        <v>0.3</v>
      </c>
      <c r="GC33">
        <f>FS33*FX33</f>
        <v>0.8</v>
      </c>
      <c r="GD33">
        <f>FT33*FY33</f>
        <v>0.75</v>
      </c>
      <c r="GE33">
        <f>FU33*FZ33</f>
        <v>1.8</v>
      </c>
      <c r="GF33">
        <f>FV33*GA33</f>
        <v>2.5499999999999998</v>
      </c>
      <c r="GG33">
        <f>FW33*GB33</f>
        <v>2.25</v>
      </c>
      <c r="GH33">
        <v>6.4</v>
      </c>
      <c r="GI33">
        <v>0.6</v>
      </c>
      <c r="GJ33">
        <v>7</v>
      </c>
      <c r="GK33">
        <f>GC33+GD33+GE33+GF33+GG33</f>
        <v>8.15</v>
      </c>
      <c r="GL33">
        <f>MEDIAN(FS33:FW33)</f>
        <v>8</v>
      </c>
    </row>
    <row r="34" spans="1:194" x14ac:dyDescent="0.25">
      <c r="A34">
        <v>265</v>
      </c>
      <c r="B34" t="s">
        <v>2</v>
      </c>
      <c r="C34" s="4">
        <v>92.8</v>
      </c>
      <c r="D34">
        <v>3.2</v>
      </c>
      <c r="E34" s="1">
        <f>C34/3/D34</f>
        <v>9.6666666666666661</v>
      </c>
      <c r="G34">
        <v>34.85</v>
      </c>
      <c r="H34">
        <v>8.1999999999999993</v>
      </c>
      <c r="I34">
        <f>H34*D34*3</f>
        <v>78.72</v>
      </c>
      <c r="J34">
        <v>15.98</v>
      </c>
      <c r="K34">
        <v>9</v>
      </c>
      <c r="L34" s="3">
        <f>K34*3*D34</f>
        <v>86.4</v>
      </c>
      <c r="M34">
        <v>4.5999999999999996</v>
      </c>
      <c r="N34">
        <v>4</v>
      </c>
      <c r="O34">
        <f>N34*D34*3</f>
        <v>38.400000000000006</v>
      </c>
      <c r="P34" s="5">
        <v>9</v>
      </c>
      <c r="Q34" s="5">
        <f>P34*D34*3</f>
        <v>86.4</v>
      </c>
      <c r="S34" t="s">
        <v>6393</v>
      </c>
      <c r="T34">
        <v>5.6</v>
      </c>
      <c r="U34" s="8">
        <f>T34*D34*3</f>
        <v>53.759999999999991</v>
      </c>
      <c r="V34">
        <v>31.23</v>
      </c>
      <c r="W34">
        <v>8.4</v>
      </c>
      <c r="X34" s="5">
        <f>W34*D34*3</f>
        <v>80.640000000000015</v>
      </c>
      <c r="Y34">
        <v>8.9</v>
      </c>
      <c r="Z34">
        <v>4</v>
      </c>
      <c r="AA34">
        <f>Z34*D34*3</f>
        <v>38.400000000000006</v>
      </c>
      <c r="AC34">
        <v>126.61</v>
      </c>
      <c r="AD34">
        <v>8</v>
      </c>
      <c r="AE34" s="1">
        <f>AD34*3*D34</f>
        <v>76.800000000000011</v>
      </c>
      <c r="AF34">
        <v>11.92</v>
      </c>
      <c r="AG34" s="5">
        <v>7</v>
      </c>
      <c r="AH34" s="5">
        <f>AG34*D34*3</f>
        <v>67.2</v>
      </c>
      <c r="AI34" s="13"/>
      <c r="AK34" s="8">
        <f>AJ34*D34*3</f>
        <v>0</v>
      </c>
      <c r="AL34" s="13"/>
      <c r="AM34">
        <v>31.09</v>
      </c>
      <c r="AN34">
        <v>7.6</v>
      </c>
      <c r="AO34" s="8">
        <f>AN34*D34*3</f>
        <v>72.960000000000008</v>
      </c>
      <c r="AP34">
        <v>12.7</v>
      </c>
      <c r="AQ34">
        <v>9.5</v>
      </c>
      <c r="AR34">
        <f>AQ34*D34*3</f>
        <v>91.2</v>
      </c>
      <c r="AT34">
        <v>8.9</v>
      </c>
      <c r="AU34">
        <f>AT34*D34*3</f>
        <v>85.440000000000012</v>
      </c>
      <c r="AX34">
        <v>9.4</v>
      </c>
      <c r="AY34">
        <f>AX34*D34*3</f>
        <v>90.240000000000009</v>
      </c>
      <c r="BA34">
        <v>9</v>
      </c>
      <c r="BB34">
        <f>BA34*D34*3</f>
        <v>86.4</v>
      </c>
      <c r="BD34">
        <v>7.6</v>
      </c>
      <c r="BE34">
        <f>BD34*D34*3</f>
        <v>72.960000000000008</v>
      </c>
      <c r="BG34" s="10"/>
      <c r="BH34" s="1">
        <f>CHOOSE(MATCH(MIN(ABS(BP34-C34),ABS(BQ34-C34),ABS(BR34-C34)),CHOOSE({1;2;3},ABS(BP34-C34),ABS(BQ34-C34),ABS(BR34-C34)),0),BP34,BQ34,BR34)</f>
        <v>86.4</v>
      </c>
      <c r="BJ34" s="1" cm="1">
        <f t="array" ref="BJ34">(INDEX(_xlfn._xlws.SORT(CHOOSE({1;2;3;4;5;6},BQ34,BR34,L34,AE34,BO34,BP34)),3) + INDEX(_xlfn._xlws.SORT(CHOOSE({1;2;3;4;5;6},BQ34,BR34,L34,AE34,BO34,BP34)),4))/2</f>
        <v>76.800000000000011</v>
      </c>
      <c r="BK34">
        <v>8.7359731227530997</v>
      </c>
      <c r="BL34" s="11" t="s">
        <v>6116</v>
      </c>
      <c r="BM34" s="1">
        <f>BK34*3*D34</f>
        <v>83.865341978429754</v>
      </c>
      <c r="BN34" s="1">
        <f>BM34-C34</f>
        <v>-8.9346580215702431</v>
      </c>
      <c r="BO34" s="1">
        <f>GK34*3*D34</f>
        <v>51.840000000000011</v>
      </c>
      <c r="BP34" s="1">
        <f>DO34*3*D34</f>
        <v>86.4</v>
      </c>
      <c r="BQ34" s="1">
        <f>FJ34*3*D34</f>
        <v>76.800000000000011</v>
      </c>
      <c r="BR34" s="1">
        <f>GL34*3*D34</f>
        <v>48</v>
      </c>
      <c r="BT34">
        <v>34.85</v>
      </c>
      <c r="BU34">
        <v>8.1999999999999993</v>
      </c>
      <c r="BV34" t="s">
        <v>4991</v>
      </c>
      <c r="BW34" t="s">
        <v>5231</v>
      </c>
      <c r="BX34" t="s">
        <v>5232</v>
      </c>
      <c r="BY34" t="s">
        <v>5233</v>
      </c>
      <c r="BZ34" t="s">
        <v>5785</v>
      </c>
      <c r="CA34" t="s">
        <v>3442</v>
      </c>
      <c r="CC34" t="s">
        <v>3443</v>
      </c>
      <c r="CD34" t="s">
        <v>2508</v>
      </c>
      <c r="CE34" t="s">
        <v>2440</v>
      </c>
      <c r="CG34" t="s">
        <v>2519</v>
      </c>
      <c r="CH34" t="s">
        <v>2510</v>
      </c>
      <c r="CI34" t="s">
        <v>3444</v>
      </c>
      <c r="CK34" t="s">
        <v>3445</v>
      </c>
      <c r="CL34" t="s">
        <v>2512</v>
      </c>
      <c r="CM34" t="s">
        <v>3446</v>
      </c>
      <c r="CO34" t="s">
        <v>3447</v>
      </c>
      <c r="CP34" t="s">
        <v>2514</v>
      </c>
      <c r="CQ34" t="s">
        <v>3448</v>
      </c>
      <c r="CR34" t="s">
        <v>3449</v>
      </c>
      <c r="CS34" t="s">
        <v>3450</v>
      </c>
      <c r="CT34" t="s">
        <v>3451</v>
      </c>
      <c r="CV34">
        <v>9</v>
      </c>
      <c r="CW34">
        <v>9</v>
      </c>
      <c r="CX34">
        <v>9</v>
      </c>
      <c r="CY34">
        <v>9</v>
      </c>
      <c r="CZ34">
        <v>9</v>
      </c>
      <c r="DA34">
        <v>0.1</v>
      </c>
      <c r="DB34">
        <v>0.1</v>
      </c>
      <c r="DC34">
        <v>0.2</v>
      </c>
      <c r="DD34">
        <v>0.3</v>
      </c>
      <c r="DE34">
        <v>0.3</v>
      </c>
      <c r="DF34">
        <v>0.9</v>
      </c>
      <c r="DG34">
        <v>0.9</v>
      </c>
      <c r="DH34">
        <v>1.8</v>
      </c>
      <c r="DI34">
        <v>2.7</v>
      </c>
      <c r="DJ34">
        <v>2.7</v>
      </c>
      <c r="DK34">
        <v>8.1999999999999993</v>
      </c>
      <c r="DL34">
        <v>0</v>
      </c>
      <c r="DM34">
        <v>8.1999999999999993</v>
      </c>
      <c r="DN34">
        <v>9</v>
      </c>
      <c r="DO34">
        <f>AVERAGE(CV34:CZ34)</f>
        <v>9</v>
      </c>
      <c r="DQ34" t="s">
        <v>27</v>
      </c>
      <c r="DR34" t="s">
        <v>65</v>
      </c>
      <c r="DS34" t="s">
        <v>66</v>
      </c>
      <c r="DT34" t="s">
        <v>67</v>
      </c>
      <c r="DU34" t="s">
        <v>68</v>
      </c>
      <c r="DV34" t="s">
        <v>97</v>
      </c>
      <c r="DW34" t="s">
        <v>3836</v>
      </c>
      <c r="DX34" t="s">
        <v>3858</v>
      </c>
      <c r="DY34" t="s">
        <v>3859</v>
      </c>
      <c r="DZ34" t="s">
        <v>4774</v>
      </c>
      <c r="EA34" t="s">
        <v>3860</v>
      </c>
      <c r="EB34" t="s">
        <v>3840</v>
      </c>
      <c r="EC34" t="s">
        <v>3598</v>
      </c>
      <c r="ED34" t="s">
        <v>4244</v>
      </c>
      <c r="EE34" t="s">
        <v>3863</v>
      </c>
      <c r="EF34" t="s">
        <v>3900</v>
      </c>
      <c r="EG34" t="s">
        <v>4775</v>
      </c>
      <c r="EH34" t="s">
        <v>4776</v>
      </c>
      <c r="EI34" t="s">
        <v>3867</v>
      </c>
      <c r="EJ34" t="s">
        <v>3904</v>
      </c>
      <c r="EK34" t="s">
        <v>3869</v>
      </c>
      <c r="EL34" t="s">
        <v>4777</v>
      </c>
      <c r="EM34" t="s">
        <v>3989</v>
      </c>
      <c r="EN34" t="s">
        <v>4778</v>
      </c>
      <c r="EO34" t="s">
        <v>3873</v>
      </c>
      <c r="EP34" t="s">
        <v>4779</v>
      </c>
      <c r="EQ34">
        <v>8</v>
      </c>
      <c r="ER34">
        <v>8</v>
      </c>
      <c r="ES34">
        <v>8</v>
      </c>
      <c r="ET34">
        <v>8</v>
      </c>
      <c r="EU34">
        <v>8</v>
      </c>
      <c r="EV34">
        <v>0.1</v>
      </c>
      <c r="EW34">
        <v>0.1</v>
      </c>
      <c r="EX34">
        <v>0.2</v>
      </c>
      <c r="EY34">
        <v>0.3</v>
      </c>
      <c r="EZ34">
        <v>0.3</v>
      </c>
      <c r="FA34">
        <f>EV34*EQ34</f>
        <v>0.8</v>
      </c>
      <c r="FB34">
        <f>EW34*ER34</f>
        <v>0.8</v>
      </c>
      <c r="FC34">
        <f>EX34*ES34</f>
        <v>1.6</v>
      </c>
      <c r="FD34">
        <f>EY34*ET34</f>
        <v>2.4</v>
      </c>
      <c r="FE34">
        <f>EZ34*EU34</f>
        <v>2.4</v>
      </c>
      <c r="FF34">
        <v>16</v>
      </c>
      <c r="FG34">
        <v>0</v>
      </c>
      <c r="FH34">
        <v>9</v>
      </c>
      <c r="FI34">
        <f>FA34+FB34+FC34+FD34+FE34</f>
        <v>8</v>
      </c>
      <c r="FJ34">
        <f>MEDIAN(EQ34:EU34)</f>
        <v>8</v>
      </c>
      <c r="FL34">
        <v>39.1</v>
      </c>
      <c r="FM34">
        <v>9</v>
      </c>
      <c r="FN34" t="s">
        <v>1861</v>
      </c>
      <c r="FO34" t="s">
        <v>1862</v>
      </c>
      <c r="FP34" t="s">
        <v>1863</v>
      </c>
      <c r="FQ34" t="s">
        <v>1864</v>
      </c>
      <c r="FR34" t="s">
        <v>1865</v>
      </c>
      <c r="FS34">
        <v>5</v>
      </c>
      <c r="FT34">
        <v>4</v>
      </c>
      <c r="FU34">
        <v>3</v>
      </c>
      <c r="FV34">
        <v>6</v>
      </c>
      <c r="FW34">
        <v>7</v>
      </c>
      <c r="FX34">
        <v>0.1</v>
      </c>
      <c r="FY34">
        <v>0.1</v>
      </c>
      <c r="FZ34">
        <v>0.2</v>
      </c>
      <c r="GA34">
        <v>0.3</v>
      </c>
      <c r="GB34">
        <v>0.3</v>
      </c>
      <c r="GC34">
        <f>FS34*FX34</f>
        <v>0.5</v>
      </c>
      <c r="GD34">
        <f>FT34*FY34</f>
        <v>0.4</v>
      </c>
      <c r="GE34">
        <f>FU34*FZ34</f>
        <v>0.60000000000000009</v>
      </c>
      <c r="GF34">
        <f>FV34*GA34</f>
        <v>1.7999999999999998</v>
      </c>
      <c r="GG34">
        <f>FW34*GB34</f>
        <v>2.1</v>
      </c>
      <c r="GH34">
        <v>9</v>
      </c>
      <c r="GI34">
        <v>0</v>
      </c>
      <c r="GJ34">
        <v>9</v>
      </c>
      <c r="GK34">
        <f>GC34+GD34+GE34+GF34+GG34</f>
        <v>5.4</v>
      </c>
      <c r="GL34">
        <f>MEDIAN(FS34:FW34)</f>
        <v>5</v>
      </c>
    </row>
    <row r="35" spans="1:194" hidden="1" x14ac:dyDescent="0.25">
      <c r="A35">
        <v>34</v>
      </c>
      <c r="B35" t="s">
        <v>2</v>
      </c>
      <c r="C35" s="4">
        <v>99.9</v>
      </c>
      <c r="D35">
        <v>3.7</v>
      </c>
      <c r="E35" s="1">
        <f>C35/3/D35</f>
        <v>9</v>
      </c>
      <c r="G35">
        <v>35.119999999999997</v>
      </c>
      <c r="H35">
        <v>8.6999999999999993</v>
      </c>
      <c r="I35">
        <f>H35*D35*3</f>
        <v>96.57</v>
      </c>
      <c r="J35">
        <v>18.07</v>
      </c>
      <c r="K35">
        <v>9</v>
      </c>
      <c r="L35" s="3">
        <f>K35*3*D35</f>
        <v>99.9</v>
      </c>
      <c r="M35">
        <v>4.42</v>
      </c>
      <c r="N35">
        <v>8.9</v>
      </c>
      <c r="O35">
        <f>N35*D35*3</f>
        <v>98.789999999999992</v>
      </c>
      <c r="P35" s="5">
        <v>8.5</v>
      </c>
      <c r="Q35" s="5">
        <f>P35*D35*3</f>
        <v>94.350000000000009</v>
      </c>
      <c r="S35" t="s">
        <v>6172</v>
      </c>
      <c r="T35">
        <v>6</v>
      </c>
      <c r="U35" s="8">
        <f>T35*D35*3</f>
        <v>66.600000000000009</v>
      </c>
      <c r="V35">
        <v>31.44</v>
      </c>
      <c r="W35">
        <v>8.4</v>
      </c>
      <c r="X35" s="5">
        <f>W35*D35*3</f>
        <v>93.240000000000009</v>
      </c>
      <c r="Y35">
        <v>9.5399999999999991</v>
      </c>
      <c r="Z35">
        <v>6</v>
      </c>
      <c r="AA35">
        <f>Z35*D35*3</f>
        <v>66.600000000000009</v>
      </c>
      <c r="AC35">
        <v>44.19</v>
      </c>
      <c r="AD35">
        <v>7.9</v>
      </c>
      <c r="AE35" s="1">
        <f>AD35*3*D35</f>
        <v>87.690000000000012</v>
      </c>
      <c r="AF35">
        <v>11.91</v>
      </c>
      <c r="AG35" s="5">
        <v>7</v>
      </c>
      <c r="AH35" s="5">
        <f>AG35*D35*3</f>
        <v>77.7</v>
      </c>
      <c r="AI35" s="13"/>
      <c r="AJ35">
        <v>41</v>
      </c>
      <c r="AK35" s="8">
        <f>AJ35*D35*3</f>
        <v>455.1</v>
      </c>
      <c r="AL35" s="13"/>
      <c r="AM35">
        <v>30.95</v>
      </c>
      <c r="AN35">
        <v>7.5</v>
      </c>
      <c r="AO35" s="8">
        <f>AN35*D35*3</f>
        <v>83.25</v>
      </c>
      <c r="AP35">
        <v>13.36</v>
      </c>
      <c r="AQ35">
        <v>9.4</v>
      </c>
      <c r="AR35">
        <f>AQ35*D35*3</f>
        <v>104.34</v>
      </c>
      <c r="AS35">
        <v>10.26</v>
      </c>
      <c r="AT35">
        <v>8.1999999999999993</v>
      </c>
      <c r="AU35">
        <f>AT35*D35*3</f>
        <v>91.02</v>
      </c>
      <c r="AW35">
        <v>24.15</v>
      </c>
      <c r="AX35">
        <v>8.8000000000000007</v>
      </c>
      <c r="AY35">
        <f>AX35*D35*3</f>
        <v>97.68</v>
      </c>
      <c r="AZ35">
        <v>24.15</v>
      </c>
      <c r="BA35">
        <v>9.1999999999999993</v>
      </c>
      <c r="BB35">
        <f>BA35*D35*3</f>
        <v>102.12</v>
      </c>
      <c r="BD35">
        <v>9</v>
      </c>
      <c r="BE35">
        <f>BD35*D35*3</f>
        <v>99.9</v>
      </c>
      <c r="BG35" s="10"/>
      <c r="BH35" s="1">
        <f>CHOOSE(MATCH(MIN(ABS(BP35-C35),ABS(BQ35-C35),ABS(BR35-C35)),CHOOSE({1;2;3},ABS(BP35-C35),ABS(BQ35-C35),ABS(BR35-C35)),0),BP35,BQ35,BR35)</f>
        <v>97.68</v>
      </c>
      <c r="BJ35" s="1" cm="1">
        <f t="array" ref="BJ35">(INDEX(_xlfn._xlws.SORT(CHOOSE({1;2;3;4;5;6},BQ35,BR35,L35,AE35,BO35,BP35)),3) + INDEX(_xlfn._xlws.SORT(CHOOSE({1;2;3;4;5;6},BQ35,BR35,L35,AE35,BO35,BP35)),4))/2</f>
        <v>88.245000000000005</v>
      </c>
      <c r="BK35">
        <v>8.9600015626802403</v>
      </c>
      <c r="BL35" t="s">
        <v>6117</v>
      </c>
      <c r="BM35" s="1">
        <f>BK35*3*D35</f>
        <v>99.456017345750666</v>
      </c>
      <c r="BN35" s="1">
        <f>BM35-C35</f>
        <v>-0.44398265424933925</v>
      </c>
      <c r="BO35" s="1">
        <f>GK35*3*D35</f>
        <v>85.47</v>
      </c>
      <c r="BP35" s="1">
        <f>DO35*3*D35</f>
        <v>97.68</v>
      </c>
      <c r="BQ35" s="1">
        <f>FJ35*3*D35</f>
        <v>88.800000000000011</v>
      </c>
      <c r="BR35" s="1">
        <f>GL35*3*D35</f>
        <v>77.7</v>
      </c>
      <c r="BT35">
        <v>35.119999999999997</v>
      </c>
      <c r="BU35">
        <v>8.6999999999999993</v>
      </c>
      <c r="BV35" t="s">
        <v>5114</v>
      </c>
      <c r="BW35" t="s">
        <v>5115</v>
      </c>
      <c r="BX35" t="s">
        <v>5116</v>
      </c>
      <c r="BY35" t="s">
        <v>5117</v>
      </c>
      <c r="BZ35" t="s">
        <v>5118</v>
      </c>
      <c r="CA35" t="s">
        <v>2695</v>
      </c>
      <c r="CC35" t="s">
        <v>2696</v>
      </c>
      <c r="CD35" t="s">
        <v>2697</v>
      </c>
      <c r="CE35" t="s">
        <v>2698</v>
      </c>
      <c r="CG35" t="s">
        <v>2699</v>
      </c>
      <c r="CH35" t="s">
        <v>2700</v>
      </c>
      <c r="CI35" t="s">
        <v>2701</v>
      </c>
      <c r="CK35" t="s">
        <v>2702</v>
      </c>
      <c r="CL35" t="s">
        <v>2703</v>
      </c>
      <c r="CM35" t="s">
        <v>2704</v>
      </c>
      <c r="CO35" t="s">
        <v>2705</v>
      </c>
      <c r="CP35" t="s">
        <v>2706</v>
      </c>
      <c r="CQ35" t="s">
        <v>2707</v>
      </c>
      <c r="CR35" t="s">
        <v>2466</v>
      </c>
      <c r="CS35" t="s">
        <v>2708</v>
      </c>
      <c r="CT35" t="s">
        <v>2709</v>
      </c>
      <c r="CV35">
        <v>9</v>
      </c>
      <c r="CW35">
        <v>9</v>
      </c>
      <c r="CX35">
        <v>9</v>
      </c>
      <c r="CY35">
        <v>9</v>
      </c>
      <c r="CZ35">
        <v>8</v>
      </c>
      <c r="DA35">
        <v>0.1</v>
      </c>
      <c r="DB35">
        <v>0.1</v>
      </c>
      <c r="DC35">
        <v>0.2</v>
      </c>
      <c r="DD35">
        <v>0.3</v>
      </c>
      <c r="DE35">
        <v>0.3</v>
      </c>
      <c r="DF35">
        <v>0.9</v>
      </c>
      <c r="DG35">
        <v>0.9</v>
      </c>
      <c r="DH35">
        <v>1.8</v>
      </c>
      <c r="DI35">
        <v>2.7</v>
      </c>
      <c r="DJ35">
        <v>2.4</v>
      </c>
      <c r="DK35">
        <v>8.6999999999999993</v>
      </c>
      <c r="DL35">
        <v>0</v>
      </c>
      <c r="DM35">
        <v>8.6999999999999993</v>
      </c>
      <c r="DN35">
        <v>9</v>
      </c>
      <c r="DO35">
        <f>AVERAGE(CV35:CZ35)</f>
        <v>8.8000000000000007</v>
      </c>
      <c r="DQ35">
        <v>8</v>
      </c>
      <c r="DR35" t="s">
        <v>119</v>
      </c>
      <c r="DS35" t="s">
        <v>61</v>
      </c>
      <c r="DT35" t="s">
        <v>120</v>
      </c>
      <c r="DU35" t="s">
        <v>121</v>
      </c>
      <c r="DV35" t="s">
        <v>122</v>
      </c>
      <c r="DW35" t="s">
        <v>3769</v>
      </c>
      <c r="DX35" t="s">
        <v>3770</v>
      </c>
      <c r="DY35" t="s">
        <v>4042</v>
      </c>
      <c r="DZ35" t="s">
        <v>4043</v>
      </c>
      <c r="EA35" t="s">
        <v>3860</v>
      </c>
      <c r="EB35" t="s">
        <v>3964</v>
      </c>
      <c r="EE35" t="s">
        <v>3886</v>
      </c>
      <c r="EF35" t="s">
        <v>4044</v>
      </c>
      <c r="EI35" t="s">
        <v>4045</v>
      </c>
      <c r="EJ35" t="s">
        <v>4046</v>
      </c>
      <c r="EM35" t="s">
        <v>3989</v>
      </c>
      <c r="EN35" t="s">
        <v>4047</v>
      </c>
      <c r="EQ35">
        <v>7</v>
      </c>
      <c r="ER35">
        <v>8</v>
      </c>
      <c r="ES35">
        <v>8</v>
      </c>
      <c r="ET35">
        <v>8</v>
      </c>
      <c r="EU35">
        <v>8</v>
      </c>
      <c r="EV35">
        <v>0.1</v>
      </c>
      <c r="EW35">
        <v>0.1</v>
      </c>
      <c r="EX35">
        <v>0.2</v>
      </c>
      <c r="EY35">
        <v>0.3</v>
      </c>
      <c r="EZ35">
        <v>0.3</v>
      </c>
      <c r="FA35">
        <f>EV35*EQ35</f>
        <v>0.70000000000000007</v>
      </c>
      <c r="FB35">
        <f>EW35*ER35</f>
        <v>0.8</v>
      </c>
      <c r="FC35">
        <f>EX35*ES35</f>
        <v>1.6</v>
      </c>
      <c r="FD35">
        <f>EY35*ET35</f>
        <v>2.4</v>
      </c>
      <c r="FE35">
        <f>EZ35*EU35</f>
        <v>2.4</v>
      </c>
      <c r="FF35">
        <v>17</v>
      </c>
      <c r="FG35">
        <v>0</v>
      </c>
      <c r="FH35">
        <v>8</v>
      </c>
      <c r="FI35">
        <f>FA35+FB35+FC35+FD35+FE35</f>
        <v>7.9</v>
      </c>
      <c r="FJ35">
        <f>MEDIAN(EQ35:EU35)</f>
        <v>8</v>
      </c>
      <c r="FL35">
        <v>42.54</v>
      </c>
      <c r="FM35">
        <v>9.4</v>
      </c>
      <c r="FN35" t="s">
        <v>765</v>
      </c>
      <c r="FO35" t="s">
        <v>766</v>
      </c>
      <c r="FP35" t="s">
        <v>767</v>
      </c>
      <c r="FQ35" t="s">
        <v>768</v>
      </c>
      <c r="FR35" t="s">
        <v>769</v>
      </c>
      <c r="FS35">
        <v>6</v>
      </c>
      <c r="FT35">
        <v>7</v>
      </c>
      <c r="FU35">
        <v>8</v>
      </c>
      <c r="FV35">
        <v>7</v>
      </c>
      <c r="FW35">
        <v>9</v>
      </c>
      <c r="FX35">
        <v>0.1</v>
      </c>
      <c r="FY35">
        <v>0.1</v>
      </c>
      <c r="FZ35">
        <v>0.2</v>
      </c>
      <c r="GA35">
        <v>0.3</v>
      </c>
      <c r="GB35">
        <v>0.3</v>
      </c>
      <c r="GC35">
        <f>FS35*FX35</f>
        <v>0.60000000000000009</v>
      </c>
      <c r="GD35">
        <f>FT35*FY35</f>
        <v>0.70000000000000007</v>
      </c>
      <c r="GE35">
        <f>FU35*FZ35</f>
        <v>1.6</v>
      </c>
      <c r="GF35">
        <f>FV35*GA35</f>
        <v>2.1</v>
      </c>
      <c r="GG35">
        <f>FW35*GB35</f>
        <v>2.6999999999999997</v>
      </c>
      <c r="GH35">
        <v>9.4</v>
      </c>
      <c r="GI35">
        <v>0</v>
      </c>
      <c r="GJ35">
        <v>9.4</v>
      </c>
      <c r="GK35">
        <f>GC35+GD35+GE35+GF35+GG35</f>
        <v>7.6999999999999993</v>
      </c>
      <c r="GL35">
        <f>MEDIAN(FS35:FW35)</f>
        <v>7</v>
      </c>
    </row>
    <row r="36" spans="1:194" hidden="1" x14ac:dyDescent="0.25">
      <c r="A36">
        <v>35</v>
      </c>
      <c r="B36" t="s">
        <v>2</v>
      </c>
      <c r="C36" s="4">
        <v>91.8</v>
      </c>
      <c r="D36">
        <v>3.6</v>
      </c>
      <c r="E36" s="1">
        <f>C36/3/D36</f>
        <v>8.5</v>
      </c>
      <c r="G36">
        <v>41.27</v>
      </c>
      <c r="H36">
        <v>8.1</v>
      </c>
      <c r="I36">
        <f>H36*D36*3</f>
        <v>87.48</v>
      </c>
      <c r="J36">
        <v>15.02</v>
      </c>
      <c r="K36">
        <v>9</v>
      </c>
      <c r="L36" s="3">
        <f>K36*3*D36</f>
        <v>97.2</v>
      </c>
      <c r="M36">
        <v>4.08</v>
      </c>
      <c r="N36">
        <v>8.9</v>
      </c>
      <c r="O36">
        <f>N36*D36*3</f>
        <v>96.12</v>
      </c>
      <c r="P36" s="5">
        <v>7.6</v>
      </c>
      <c r="Q36" s="5">
        <f>P36*D36*3</f>
        <v>82.08</v>
      </c>
      <c r="S36" t="s">
        <v>6173</v>
      </c>
      <c r="T36">
        <v>7.8</v>
      </c>
      <c r="U36" s="8">
        <f>T36*D36*3</f>
        <v>84.24</v>
      </c>
      <c r="V36">
        <v>31.13</v>
      </c>
      <c r="W36">
        <v>8.4</v>
      </c>
      <c r="X36" s="5">
        <f>W36*D36*3</f>
        <v>90.72</v>
      </c>
      <c r="Y36">
        <v>13.03</v>
      </c>
      <c r="Z36">
        <v>7.6</v>
      </c>
      <c r="AA36">
        <f>Z36*D36*3</f>
        <v>82.08</v>
      </c>
      <c r="AC36">
        <v>45.38</v>
      </c>
      <c r="AD36">
        <v>7.4</v>
      </c>
      <c r="AE36" s="1">
        <f>AD36*3*D36</f>
        <v>79.920000000000016</v>
      </c>
      <c r="AF36">
        <v>12.06</v>
      </c>
      <c r="AG36" s="5">
        <v>7</v>
      </c>
      <c r="AH36" s="5">
        <f>AG36*D36*3</f>
        <v>75.599999999999994</v>
      </c>
      <c r="AI36" s="13"/>
      <c r="AJ36">
        <v>7.2</v>
      </c>
      <c r="AK36" s="8">
        <f>AJ36*D36*3</f>
        <v>77.760000000000005</v>
      </c>
      <c r="AL36" s="13"/>
      <c r="AM36">
        <v>30.23</v>
      </c>
      <c r="AN36">
        <v>8.1</v>
      </c>
      <c r="AO36" s="8">
        <f>AN36*D36*3</f>
        <v>87.48</v>
      </c>
      <c r="AP36">
        <v>11.5</v>
      </c>
      <c r="AQ36">
        <v>9.1999999999999993</v>
      </c>
      <c r="AR36">
        <f>AQ36*D36*3</f>
        <v>99.359999999999985</v>
      </c>
      <c r="AS36">
        <v>11</v>
      </c>
      <c r="AT36">
        <v>8.5</v>
      </c>
      <c r="AU36">
        <f>AT36*D36*3</f>
        <v>91.800000000000011</v>
      </c>
      <c r="AW36">
        <v>23.86</v>
      </c>
      <c r="AX36">
        <v>9.1</v>
      </c>
      <c r="AY36">
        <f>AX36*D36*3</f>
        <v>98.28</v>
      </c>
      <c r="AZ36">
        <v>23.86</v>
      </c>
      <c r="BA36">
        <v>9</v>
      </c>
      <c r="BB36">
        <f>BA36*D36*3</f>
        <v>97.199999999999989</v>
      </c>
      <c r="BD36">
        <v>8.6</v>
      </c>
      <c r="BE36">
        <f>BD36*D36*3</f>
        <v>92.88</v>
      </c>
      <c r="BG36" s="10"/>
      <c r="BH36" s="1">
        <f>CHOOSE(MATCH(MIN(ABS(BP36-C36),ABS(BQ36-C36),ABS(BR36-C36)),CHOOSE({1;2;3},ABS(BP36-C36),ABS(BQ36-C36),ABS(BR36-C36)),0),BP36,BQ36,BR36)</f>
        <v>97.2</v>
      </c>
      <c r="BJ36" s="1" cm="1">
        <f t="array" ref="BJ36">(INDEX(_xlfn._xlws.SORT(CHOOSE({1;2;3;4;5;6},BQ36,BR36,L36,AE36,BO36,BP36)),3) + INDEX(_xlfn._xlws.SORT(CHOOSE({1;2;3;4;5;6},BQ36,BR36,L36,AE36,BO36,BP36)),4))/2</f>
        <v>80.460000000000008</v>
      </c>
      <c r="BK36">
        <v>8.4508823320203508</v>
      </c>
      <c r="BL36" t="s">
        <v>6117</v>
      </c>
      <c r="BM36" s="1">
        <f>BK36*3*D36</f>
        <v>91.269529185819792</v>
      </c>
      <c r="BN36" s="1">
        <f>BM36-C36</f>
        <v>-0.53047081418020525</v>
      </c>
      <c r="BO36" s="1">
        <f>GK36*3*D36</f>
        <v>68.58</v>
      </c>
      <c r="BP36" s="1">
        <f>DO36*3*D36</f>
        <v>97.2</v>
      </c>
      <c r="BQ36" s="1">
        <f>FJ36*3*D36</f>
        <v>75.600000000000009</v>
      </c>
      <c r="BR36" s="1">
        <f>GL36*3*D36</f>
        <v>81</v>
      </c>
      <c r="BT36">
        <v>41.27</v>
      </c>
      <c r="BU36">
        <v>8.1</v>
      </c>
      <c r="BV36" t="s">
        <v>5119</v>
      </c>
      <c r="BW36" t="s">
        <v>5120</v>
      </c>
      <c r="BX36" t="s">
        <v>5121</v>
      </c>
      <c r="BY36" t="s">
        <v>5122</v>
      </c>
      <c r="BZ36" t="s">
        <v>5123</v>
      </c>
      <c r="CA36" t="s">
        <v>2420</v>
      </c>
      <c r="CC36" t="s">
        <v>2710</v>
      </c>
      <c r="CD36" t="s">
        <v>2711</v>
      </c>
      <c r="CE36" t="s">
        <v>2572</v>
      </c>
      <c r="CG36" t="s">
        <v>2712</v>
      </c>
      <c r="CH36" t="s">
        <v>2713</v>
      </c>
      <c r="CI36" t="s">
        <v>2714</v>
      </c>
      <c r="CK36" t="s">
        <v>2715</v>
      </c>
      <c r="CL36" t="s">
        <v>2716</v>
      </c>
      <c r="CM36" t="s">
        <v>2717</v>
      </c>
      <c r="CO36" t="s">
        <v>2718</v>
      </c>
      <c r="CP36" t="s">
        <v>2719</v>
      </c>
      <c r="CQ36" t="s">
        <v>2720</v>
      </c>
      <c r="CS36" t="s">
        <v>2721</v>
      </c>
      <c r="CT36" t="s">
        <v>2722</v>
      </c>
      <c r="CV36">
        <v>9</v>
      </c>
      <c r="CW36">
        <v>9</v>
      </c>
      <c r="CX36">
        <v>9</v>
      </c>
      <c r="CY36">
        <v>9</v>
      </c>
      <c r="CZ36">
        <v>9</v>
      </c>
      <c r="DA36">
        <v>0.1</v>
      </c>
      <c r="DB36">
        <v>0.1</v>
      </c>
      <c r="DC36">
        <v>0.2</v>
      </c>
      <c r="DD36">
        <v>0.3</v>
      </c>
      <c r="DE36">
        <v>0.3</v>
      </c>
      <c r="DF36">
        <v>0.9</v>
      </c>
      <c r="DG36">
        <v>0.9</v>
      </c>
      <c r="DH36">
        <v>1.8</v>
      </c>
      <c r="DI36">
        <v>2.7</v>
      </c>
      <c r="DJ36">
        <v>2.7</v>
      </c>
      <c r="DK36">
        <v>8.1</v>
      </c>
      <c r="DL36">
        <v>0</v>
      </c>
      <c r="DM36">
        <v>8.1</v>
      </c>
      <c r="DN36">
        <v>9</v>
      </c>
      <c r="DO36">
        <f>AVERAGE(CV36:CZ36)</f>
        <v>9</v>
      </c>
      <c r="DQ36">
        <v>8</v>
      </c>
      <c r="DR36" t="s">
        <v>65</v>
      </c>
      <c r="DS36" t="s">
        <v>66</v>
      </c>
      <c r="DT36" t="s">
        <v>123</v>
      </c>
      <c r="DU36" t="s">
        <v>80</v>
      </c>
      <c r="DV36" t="s">
        <v>124</v>
      </c>
      <c r="DW36" t="s">
        <v>3769</v>
      </c>
      <c r="DX36" t="s">
        <v>3770</v>
      </c>
      <c r="DY36" t="s">
        <v>3771</v>
      </c>
      <c r="DZ36" t="s">
        <v>3772</v>
      </c>
      <c r="EA36" t="s">
        <v>3806</v>
      </c>
      <c r="EB36" t="s">
        <v>3807</v>
      </c>
      <c r="EC36" t="s">
        <v>3775</v>
      </c>
      <c r="ED36" t="s">
        <v>3776</v>
      </c>
      <c r="EE36" t="s">
        <v>3819</v>
      </c>
      <c r="EF36" t="s">
        <v>3809</v>
      </c>
      <c r="EG36" t="s">
        <v>4048</v>
      </c>
      <c r="EH36" t="s">
        <v>4015</v>
      </c>
      <c r="EI36" t="s">
        <v>3820</v>
      </c>
      <c r="EJ36" t="s">
        <v>3813</v>
      </c>
      <c r="EK36" t="s">
        <v>4049</v>
      </c>
      <c r="EL36" t="s">
        <v>3815</v>
      </c>
      <c r="EM36" t="s">
        <v>3816</v>
      </c>
      <c r="EN36" t="s">
        <v>4050</v>
      </c>
      <c r="EO36" t="s">
        <v>4018</v>
      </c>
      <c r="EP36" t="s">
        <v>4051</v>
      </c>
      <c r="EQ36">
        <v>7</v>
      </c>
      <c r="ER36">
        <v>8</v>
      </c>
      <c r="ES36">
        <v>7</v>
      </c>
      <c r="ET36">
        <v>7</v>
      </c>
      <c r="EU36">
        <v>8</v>
      </c>
      <c r="EV36">
        <v>0.1</v>
      </c>
      <c r="EW36">
        <v>0.1</v>
      </c>
      <c r="EX36">
        <v>0.2</v>
      </c>
      <c r="EY36">
        <v>0.3</v>
      </c>
      <c r="EZ36">
        <v>0.3</v>
      </c>
      <c r="FA36">
        <f>EV36*EQ36</f>
        <v>0.70000000000000007</v>
      </c>
      <c r="FB36">
        <f>EW36*ER36</f>
        <v>0.8</v>
      </c>
      <c r="FC36">
        <f>EX36*ES36</f>
        <v>1.4000000000000001</v>
      </c>
      <c r="FD36">
        <f>EY36*ET36</f>
        <v>2.1</v>
      </c>
      <c r="FE36">
        <f>EZ36*EU36</f>
        <v>2.4</v>
      </c>
      <c r="FF36">
        <v>20</v>
      </c>
      <c r="FG36">
        <v>0</v>
      </c>
      <c r="FH36">
        <v>8</v>
      </c>
      <c r="FI36">
        <f>FA36+FB36+FC36+FD36+FE36</f>
        <v>7.4</v>
      </c>
      <c r="FJ36">
        <f>MEDIAN(EQ36:EU36)</f>
        <v>7</v>
      </c>
      <c r="FL36">
        <v>40.97</v>
      </c>
      <c r="FM36">
        <v>5</v>
      </c>
      <c r="FN36" t="s">
        <v>770</v>
      </c>
      <c r="FO36" t="s">
        <v>771</v>
      </c>
      <c r="FP36" t="s">
        <v>772</v>
      </c>
      <c r="FQ36" t="s">
        <v>773</v>
      </c>
      <c r="FR36" t="s">
        <v>774</v>
      </c>
      <c r="FS36">
        <v>8</v>
      </c>
      <c r="FT36">
        <v>9</v>
      </c>
      <c r="FU36">
        <v>7.5</v>
      </c>
      <c r="FV36">
        <v>6.5</v>
      </c>
      <c r="FW36">
        <v>4</v>
      </c>
      <c r="FX36">
        <v>0.1</v>
      </c>
      <c r="FY36">
        <v>0.1</v>
      </c>
      <c r="FZ36">
        <v>0.2</v>
      </c>
      <c r="GA36">
        <v>0.3</v>
      </c>
      <c r="GB36">
        <v>0.3</v>
      </c>
      <c r="GC36">
        <f>FS36*FX36</f>
        <v>0.8</v>
      </c>
      <c r="GD36">
        <f>FT36*FY36</f>
        <v>0.9</v>
      </c>
      <c r="GE36">
        <f>FU36*FZ36</f>
        <v>1.5</v>
      </c>
      <c r="GF36">
        <f>FV36*GA36</f>
        <v>1.95</v>
      </c>
      <c r="GG36">
        <f>FW36*GB36</f>
        <v>1.2</v>
      </c>
      <c r="GH36">
        <v>5.55</v>
      </c>
      <c r="GI36">
        <v>-0.5</v>
      </c>
      <c r="GJ36">
        <v>5</v>
      </c>
      <c r="GK36">
        <f>GC36+GD36+GE36+GF36+GG36</f>
        <v>6.3500000000000005</v>
      </c>
      <c r="GL36">
        <f>MEDIAN(FS36:FW36)</f>
        <v>7.5</v>
      </c>
    </row>
    <row r="37" spans="1:194" hidden="1" x14ac:dyDescent="0.25">
      <c r="A37">
        <v>36</v>
      </c>
      <c r="B37" t="s">
        <v>2</v>
      </c>
      <c r="C37" s="4">
        <v>92.4</v>
      </c>
      <c r="D37">
        <v>3.3</v>
      </c>
      <c r="E37" s="1">
        <f>C37/3/D37</f>
        <v>9.3333333333333339</v>
      </c>
      <c r="G37">
        <v>36.67</v>
      </c>
      <c r="H37">
        <v>8</v>
      </c>
      <c r="I37">
        <f>H37*D37*3</f>
        <v>79.199999999999989</v>
      </c>
      <c r="J37">
        <v>17.54</v>
      </c>
      <c r="K37">
        <v>8.6999999999999993</v>
      </c>
      <c r="L37" s="3">
        <f>K37*3*D37</f>
        <v>86.129999999999981</v>
      </c>
      <c r="M37">
        <v>4.6900000000000004</v>
      </c>
      <c r="N37">
        <v>4</v>
      </c>
      <c r="O37">
        <f>N37*D37*3</f>
        <v>39.599999999999994</v>
      </c>
      <c r="P37" s="5">
        <v>7</v>
      </c>
      <c r="Q37" s="5">
        <f>P37*D37*3</f>
        <v>69.3</v>
      </c>
      <c r="S37" t="s">
        <v>6174</v>
      </c>
      <c r="T37">
        <v>7</v>
      </c>
      <c r="U37" s="8">
        <f>T37*D37*3</f>
        <v>69.3</v>
      </c>
      <c r="V37">
        <v>36.380000000000003</v>
      </c>
      <c r="W37">
        <v>8.5</v>
      </c>
      <c r="X37" s="5">
        <f>W37*D37*3</f>
        <v>84.149999999999991</v>
      </c>
      <c r="Y37">
        <v>10.96</v>
      </c>
      <c r="Z37">
        <v>7.5</v>
      </c>
      <c r="AA37">
        <f>Z37*D37*3</f>
        <v>74.25</v>
      </c>
      <c r="AC37">
        <v>48.25</v>
      </c>
      <c r="AD37">
        <v>8</v>
      </c>
      <c r="AE37" s="1">
        <f>AD37*3*D37</f>
        <v>79.199999999999989</v>
      </c>
      <c r="AF37">
        <v>12.21</v>
      </c>
      <c r="AH37" s="5">
        <f>AG37*D37*3</f>
        <v>0</v>
      </c>
      <c r="AI37" s="13"/>
      <c r="AJ37">
        <v>32.5</v>
      </c>
      <c r="AK37" s="8">
        <f>AJ37*D37*3</f>
        <v>321.75</v>
      </c>
      <c r="AL37" s="13"/>
      <c r="AM37">
        <v>30.88</v>
      </c>
      <c r="AN37">
        <v>7.6</v>
      </c>
      <c r="AO37" s="8">
        <f>AN37*D37*3</f>
        <v>75.239999999999995</v>
      </c>
      <c r="AP37">
        <v>13.03</v>
      </c>
      <c r="AQ37">
        <v>10</v>
      </c>
      <c r="AR37">
        <f>AQ37*D37*3</f>
        <v>99</v>
      </c>
      <c r="AS37">
        <v>10.08</v>
      </c>
      <c r="AT37">
        <v>9</v>
      </c>
      <c r="AU37">
        <f>AT37*D37*3</f>
        <v>89.1</v>
      </c>
      <c r="AW37">
        <v>25.61</v>
      </c>
      <c r="AX37">
        <v>8.6</v>
      </c>
      <c r="AY37">
        <f>AX37*D37*3</f>
        <v>85.14</v>
      </c>
      <c r="AZ37">
        <v>25.61</v>
      </c>
      <c r="BA37">
        <v>9.4</v>
      </c>
      <c r="BB37">
        <f>BA37*D37*3</f>
        <v>93.06</v>
      </c>
      <c r="BD37">
        <v>7.8</v>
      </c>
      <c r="BE37">
        <f>BD37*D37*3</f>
        <v>77.22</v>
      </c>
      <c r="BG37" s="10"/>
      <c r="BH37" s="1">
        <f>CHOOSE(MATCH(MIN(ABS(BP37-C37),ABS(BQ37-C37),ABS(BR37-C37)),CHOOSE({1;2;3},ABS(BP37-C37),ABS(BQ37-C37),ABS(BR37-C37)),0),BP37,BQ37,BR37)</f>
        <v>89.1</v>
      </c>
      <c r="BJ37" s="1" cm="1">
        <f t="array" ref="BJ37">(INDEX(_xlfn._xlws.SORT(CHOOSE({1;2;3;4;5;6},BQ37,BR37,L37,AE37,BO37,BP37)),3) + INDEX(_xlfn._xlws.SORT(CHOOSE({1;2;3;4;5;6},BQ37,BR37,L37,AE37,BO37,BP37)),4))/2</f>
        <v>79.199999999999989</v>
      </c>
      <c r="BK37">
        <v>9.2775388021199596</v>
      </c>
      <c r="BL37" t="s">
        <v>6117</v>
      </c>
      <c r="BM37" s="1">
        <f>BK37*3*D37</f>
        <v>91.847634140987594</v>
      </c>
      <c r="BN37" s="1">
        <f>BM37-C37</f>
        <v>-0.55236585901241142</v>
      </c>
      <c r="BO37" s="1">
        <f>GK37*3*D37</f>
        <v>49.5</v>
      </c>
      <c r="BP37" s="1">
        <f>DO37*3*D37</f>
        <v>89.1</v>
      </c>
      <c r="BQ37" s="1">
        <f>FJ37*3*D37</f>
        <v>79.199999999999989</v>
      </c>
      <c r="BR37" s="1">
        <f>GL37*3*D37</f>
        <v>49.5</v>
      </c>
      <c r="BT37">
        <v>36.67</v>
      </c>
      <c r="BU37">
        <v>8</v>
      </c>
      <c r="BV37" t="s">
        <v>5124</v>
      </c>
      <c r="BW37" t="s">
        <v>5125</v>
      </c>
      <c r="BX37" t="s">
        <v>5126</v>
      </c>
      <c r="BY37" t="s">
        <v>5049</v>
      </c>
      <c r="BZ37" t="s">
        <v>5127</v>
      </c>
      <c r="CA37" t="s">
        <v>2723</v>
      </c>
      <c r="CC37" t="s">
        <v>2438</v>
      </c>
      <c r="CD37" t="s">
        <v>2533</v>
      </c>
      <c r="CE37" t="s">
        <v>2440</v>
      </c>
      <c r="CG37" t="s">
        <v>2441</v>
      </c>
      <c r="CH37" t="s">
        <v>2534</v>
      </c>
      <c r="CI37" t="s">
        <v>2535</v>
      </c>
      <c r="CK37" t="s">
        <v>2444</v>
      </c>
      <c r="CL37" t="s">
        <v>2536</v>
      </c>
      <c r="CM37" t="s">
        <v>2446</v>
      </c>
      <c r="CO37" t="s">
        <v>2447</v>
      </c>
      <c r="CP37" t="s">
        <v>2537</v>
      </c>
      <c r="CQ37" t="s">
        <v>2666</v>
      </c>
      <c r="CS37" t="s">
        <v>2450</v>
      </c>
      <c r="CT37" t="s">
        <v>2539</v>
      </c>
      <c r="CV37">
        <v>9</v>
      </c>
      <c r="CW37">
        <v>9</v>
      </c>
      <c r="CX37">
        <v>9</v>
      </c>
      <c r="CY37">
        <v>9</v>
      </c>
      <c r="CZ37">
        <v>9</v>
      </c>
      <c r="DA37">
        <v>0.1</v>
      </c>
      <c r="DB37">
        <v>0.1</v>
      </c>
      <c r="DC37">
        <v>0.2</v>
      </c>
      <c r="DD37">
        <v>0.3</v>
      </c>
      <c r="DE37">
        <v>0.3</v>
      </c>
      <c r="DF37">
        <v>0.9</v>
      </c>
      <c r="DG37">
        <v>0.9</v>
      </c>
      <c r="DH37">
        <v>1.8</v>
      </c>
      <c r="DI37">
        <v>2.7</v>
      </c>
      <c r="DJ37">
        <v>2.7</v>
      </c>
      <c r="DK37">
        <v>8</v>
      </c>
      <c r="DL37">
        <v>0</v>
      </c>
      <c r="DM37">
        <v>8</v>
      </c>
      <c r="DN37">
        <v>8.6999999999999993</v>
      </c>
      <c r="DO37">
        <f>AVERAGE(CV37:CZ37)</f>
        <v>9</v>
      </c>
      <c r="DQ37" t="s">
        <v>125</v>
      </c>
      <c r="DR37" t="s">
        <v>126</v>
      </c>
      <c r="DS37" t="s">
        <v>127</v>
      </c>
      <c r="DT37" t="s">
        <v>128</v>
      </c>
      <c r="DU37" t="s">
        <v>129</v>
      </c>
      <c r="DV37" t="s">
        <v>130</v>
      </c>
      <c r="DW37" t="s">
        <v>3911</v>
      </c>
      <c r="DX37" t="s">
        <v>3912</v>
      </c>
      <c r="DY37" t="s">
        <v>4052</v>
      </c>
      <c r="DZ37" t="s">
        <v>4053</v>
      </c>
      <c r="EA37" t="s">
        <v>4054</v>
      </c>
      <c r="EB37" t="s">
        <v>3840</v>
      </c>
      <c r="EC37" t="s">
        <v>4055</v>
      </c>
      <c r="ED37" t="s">
        <v>4056</v>
      </c>
      <c r="EE37" t="s">
        <v>4057</v>
      </c>
      <c r="EF37" t="s">
        <v>3844</v>
      </c>
      <c r="EG37" t="s">
        <v>4058</v>
      </c>
      <c r="EH37" t="s">
        <v>4059</v>
      </c>
      <c r="EI37" t="s">
        <v>4060</v>
      </c>
      <c r="EJ37" t="s">
        <v>3848</v>
      </c>
      <c r="EK37" t="s">
        <v>4061</v>
      </c>
      <c r="EL37" t="s">
        <v>4062</v>
      </c>
      <c r="EM37" t="s">
        <v>4063</v>
      </c>
      <c r="EN37" t="s">
        <v>3852</v>
      </c>
      <c r="EO37" t="s">
        <v>4064</v>
      </c>
      <c r="EP37" t="s">
        <v>4065</v>
      </c>
      <c r="EQ37">
        <v>8</v>
      </c>
      <c r="ER37">
        <v>8</v>
      </c>
      <c r="ES37">
        <v>8</v>
      </c>
      <c r="ET37">
        <v>8</v>
      </c>
      <c r="EU37">
        <v>8</v>
      </c>
      <c r="EV37">
        <v>0.1</v>
      </c>
      <c r="EW37">
        <v>0.1</v>
      </c>
      <c r="EX37">
        <v>0.2</v>
      </c>
      <c r="EY37">
        <v>0.3</v>
      </c>
      <c r="EZ37">
        <v>0.3</v>
      </c>
      <c r="FA37">
        <f>EV37*EQ37</f>
        <v>0.8</v>
      </c>
      <c r="FB37">
        <f>EW37*ER37</f>
        <v>0.8</v>
      </c>
      <c r="FC37">
        <f>EX37*ES37</f>
        <v>1.6</v>
      </c>
      <c r="FD37">
        <f>EY37*ET37</f>
        <v>2.4</v>
      </c>
      <c r="FE37">
        <f>EZ37*EU37</f>
        <v>2.4</v>
      </c>
      <c r="FF37">
        <v>16</v>
      </c>
      <c r="FG37">
        <v>0</v>
      </c>
      <c r="FH37">
        <v>8</v>
      </c>
      <c r="FI37">
        <f>FA37+FB37+FC37+FD37+FE37</f>
        <v>8</v>
      </c>
      <c r="FJ37">
        <f>MEDIAN(EQ37:EU37)</f>
        <v>8</v>
      </c>
      <c r="FL37">
        <v>41.24</v>
      </c>
      <c r="FM37">
        <v>5</v>
      </c>
      <c r="FN37" t="s">
        <v>775</v>
      </c>
      <c r="FO37" t="s">
        <v>776</v>
      </c>
      <c r="FP37" t="s">
        <v>777</v>
      </c>
      <c r="FQ37" t="s">
        <v>778</v>
      </c>
      <c r="FR37" t="s">
        <v>779</v>
      </c>
      <c r="FS37">
        <v>4</v>
      </c>
      <c r="FT37">
        <v>8</v>
      </c>
      <c r="FU37">
        <v>7</v>
      </c>
      <c r="FV37">
        <v>5</v>
      </c>
      <c r="FW37">
        <v>3</v>
      </c>
      <c r="FX37">
        <v>0.1</v>
      </c>
      <c r="FY37">
        <v>0.1</v>
      </c>
      <c r="FZ37">
        <v>0.2</v>
      </c>
      <c r="GA37">
        <v>0.3</v>
      </c>
      <c r="GB37">
        <v>0.3</v>
      </c>
      <c r="GC37">
        <f>FS37*FX37</f>
        <v>0.4</v>
      </c>
      <c r="GD37">
        <f>FT37*FY37</f>
        <v>0.8</v>
      </c>
      <c r="GE37">
        <f>FU37*FZ37</f>
        <v>1.4000000000000001</v>
      </c>
      <c r="GF37">
        <f>FV37*GA37</f>
        <v>1.5</v>
      </c>
      <c r="GG37">
        <f>FW37*GB37</f>
        <v>0.89999999999999991</v>
      </c>
      <c r="GH37">
        <v>6.2</v>
      </c>
      <c r="GI37">
        <v>-0.2</v>
      </c>
      <c r="GJ37">
        <v>5</v>
      </c>
      <c r="GK37">
        <f>GC37+GD37+GE37+GF37+GG37</f>
        <v>5</v>
      </c>
      <c r="GL37">
        <f>MEDIAN(FS37:FW37)</f>
        <v>5</v>
      </c>
    </row>
    <row r="38" spans="1:194" hidden="1" x14ac:dyDescent="0.25">
      <c r="A38">
        <v>37</v>
      </c>
      <c r="B38" t="s">
        <v>2</v>
      </c>
      <c r="C38" s="4">
        <v>79.2</v>
      </c>
      <c r="D38">
        <v>3.3</v>
      </c>
      <c r="E38" s="1">
        <f>C38/3/D38</f>
        <v>8.0000000000000018</v>
      </c>
      <c r="G38">
        <v>35.71</v>
      </c>
      <c r="H38">
        <v>8.1999999999999993</v>
      </c>
      <c r="I38">
        <f>H38*D38*3</f>
        <v>81.179999999999978</v>
      </c>
      <c r="J38">
        <v>16.96</v>
      </c>
      <c r="K38">
        <v>8.6999999999999993</v>
      </c>
      <c r="L38" s="3">
        <f>K38*3*D38</f>
        <v>86.129999999999981</v>
      </c>
      <c r="M38">
        <v>4.82</v>
      </c>
      <c r="N38">
        <v>9</v>
      </c>
      <c r="O38">
        <f>N38*D38*3</f>
        <v>89.1</v>
      </c>
      <c r="P38" s="5">
        <v>8.5</v>
      </c>
      <c r="Q38" s="5">
        <f>P38*D38*3</f>
        <v>84.149999999999991</v>
      </c>
      <c r="S38" t="s">
        <v>6175</v>
      </c>
      <c r="T38">
        <v>6.5</v>
      </c>
      <c r="U38" s="8">
        <f>T38*D38*3</f>
        <v>64.349999999999994</v>
      </c>
      <c r="V38">
        <v>28.47</v>
      </c>
      <c r="W38">
        <v>9</v>
      </c>
      <c r="X38" s="5">
        <f>W38*D38*3</f>
        <v>89.1</v>
      </c>
      <c r="Y38">
        <v>9.06</v>
      </c>
      <c r="Z38">
        <v>6</v>
      </c>
      <c r="AA38">
        <f>Z38*D38*3</f>
        <v>59.399999999999991</v>
      </c>
      <c r="AC38">
        <v>41.87</v>
      </c>
      <c r="AD38">
        <v>8</v>
      </c>
      <c r="AE38" s="1">
        <f>AD38*3*D38</f>
        <v>79.199999999999989</v>
      </c>
      <c r="AF38">
        <v>12.26</v>
      </c>
      <c r="AG38" s="5">
        <v>7</v>
      </c>
      <c r="AH38" s="5">
        <f>AG38*D38*3</f>
        <v>69.3</v>
      </c>
      <c r="AI38" s="13"/>
      <c r="AJ38">
        <v>7.2</v>
      </c>
      <c r="AK38" s="8">
        <f>AJ38*D38*3</f>
        <v>71.28</v>
      </c>
      <c r="AL38" s="13"/>
      <c r="AM38">
        <v>31.34</v>
      </c>
      <c r="AN38">
        <v>7.7</v>
      </c>
      <c r="AO38" s="8">
        <f>AN38*D38*3</f>
        <v>76.23</v>
      </c>
      <c r="AP38">
        <v>14.69</v>
      </c>
      <c r="AQ38">
        <v>9.5</v>
      </c>
      <c r="AR38">
        <f>AQ38*D38*3</f>
        <v>94.05</v>
      </c>
      <c r="AS38">
        <v>10.5</v>
      </c>
      <c r="AT38">
        <v>8.6</v>
      </c>
      <c r="AU38">
        <f>AT38*D38*3</f>
        <v>85.14</v>
      </c>
      <c r="AW38">
        <v>24.34</v>
      </c>
      <c r="AX38">
        <v>9.4</v>
      </c>
      <c r="AY38">
        <f>AX38*D38*3</f>
        <v>93.06</v>
      </c>
      <c r="AZ38">
        <v>24.34</v>
      </c>
      <c r="BA38">
        <v>8.4</v>
      </c>
      <c r="BB38">
        <f>BA38*D38*3</f>
        <v>83.16</v>
      </c>
      <c r="BD38">
        <v>8.9</v>
      </c>
      <c r="BE38">
        <f>BD38*D38*3</f>
        <v>88.11</v>
      </c>
      <c r="BG38" s="10"/>
      <c r="BH38" s="1">
        <f>CHOOSE(MATCH(MIN(ABS(BP38-C38),ABS(BQ38-C38),ABS(BR38-C38)),CHOOSE({1;2;3},ABS(BP38-C38),ABS(BQ38-C38),ABS(BR38-C38)),0),BP38,BQ38,BR38)</f>
        <v>79.199999999999989</v>
      </c>
      <c r="BJ38" s="1" cm="1">
        <f t="array" ref="BJ38">(INDEX(_xlfn._xlws.SORT(CHOOSE({1;2;3;4;5;6},BQ38,BR38,L38,AE38,BO38,BP38)),3) + INDEX(_xlfn._xlws.SORT(CHOOSE({1;2;3;4;5;6},BQ38,BR38,L38,AE38,BO38,BP38)),4))/2</f>
        <v>79.199999999999989</v>
      </c>
      <c r="BK38">
        <v>7.9622590244485396</v>
      </c>
      <c r="BL38" t="s">
        <v>6117</v>
      </c>
      <c r="BM38" s="1">
        <f>BK38*3*D38</f>
        <v>78.826364342040534</v>
      </c>
      <c r="BN38" s="1">
        <f>BM38-C38</f>
        <v>-0.3736356579594684</v>
      </c>
      <c r="BO38" s="1">
        <f>GK38*3*D38</f>
        <v>66.825000000000003</v>
      </c>
      <c r="BP38" s="1">
        <f>DO38*3*D38</f>
        <v>89.1</v>
      </c>
      <c r="BQ38" s="1">
        <f>FJ38*3*D38</f>
        <v>79.199999999999989</v>
      </c>
      <c r="BR38" s="1">
        <f>GL38*3*D38</f>
        <v>74.25</v>
      </c>
      <c r="BT38">
        <v>35.71</v>
      </c>
      <c r="BU38">
        <v>8.1999999999999993</v>
      </c>
      <c r="BV38" t="s">
        <v>5128</v>
      </c>
      <c r="BW38" t="s">
        <v>5129</v>
      </c>
      <c r="BX38" t="s">
        <v>5130</v>
      </c>
      <c r="BY38" t="s">
        <v>5131</v>
      </c>
      <c r="BZ38" t="s">
        <v>5132</v>
      </c>
      <c r="CA38" t="s">
        <v>2506</v>
      </c>
      <c r="CC38" t="s">
        <v>2724</v>
      </c>
      <c r="CD38" t="s">
        <v>2508</v>
      </c>
      <c r="CE38" t="s">
        <v>2440</v>
      </c>
      <c r="CG38" t="s">
        <v>2509</v>
      </c>
      <c r="CH38" t="s">
        <v>2510</v>
      </c>
      <c r="CI38" t="s">
        <v>2443</v>
      </c>
      <c r="CK38" t="s">
        <v>2511</v>
      </c>
      <c r="CL38" t="s">
        <v>2512</v>
      </c>
      <c r="CM38" t="s">
        <v>2446</v>
      </c>
      <c r="CO38" t="s">
        <v>2513</v>
      </c>
      <c r="CP38" t="s">
        <v>2514</v>
      </c>
      <c r="CQ38" t="s">
        <v>2449</v>
      </c>
      <c r="CS38" t="s">
        <v>2523</v>
      </c>
      <c r="CT38" t="s">
        <v>2524</v>
      </c>
      <c r="CV38">
        <v>9</v>
      </c>
      <c r="CW38">
        <v>9</v>
      </c>
      <c r="CX38">
        <v>9</v>
      </c>
      <c r="CY38">
        <v>9</v>
      </c>
      <c r="CZ38">
        <v>9</v>
      </c>
      <c r="DA38">
        <v>0.1</v>
      </c>
      <c r="DB38">
        <v>0.1</v>
      </c>
      <c r="DC38">
        <v>0.2</v>
      </c>
      <c r="DD38">
        <v>0.3</v>
      </c>
      <c r="DE38">
        <v>0.3</v>
      </c>
      <c r="DF38">
        <v>0.9</v>
      </c>
      <c r="DG38">
        <v>0.9</v>
      </c>
      <c r="DH38">
        <v>1.8</v>
      </c>
      <c r="DI38">
        <v>2.7</v>
      </c>
      <c r="DJ38">
        <v>2.7</v>
      </c>
      <c r="DK38">
        <v>8.1999999999999993</v>
      </c>
      <c r="DL38">
        <v>0</v>
      </c>
      <c r="DM38">
        <v>8.1999999999999993</v>
      </c>
      <c r="DN38">
        <v>8.6999999999999993</v>
      </c>
      <c r="DO38">
        <f>AVERAGE(CV38:CZ38)</f>
        <v>9</v>
      </c>
      <c r="DQ38" t="s">
        <v>27</v>
      </c>
      <c r="DR38" t="s">
        <v>131</v>
      </c>
      <c r="DS38" t="s">
        <v>132</v>
      </c>
      <c r="DT38" t="s">
        <v>133</v>
      </c>
      <c r="DU38" t="s">
        <v>134</v>
      </c>
      <c r="DV38" t="s">
        <v>135</v>
      </c>
      <c r="DW38" t="s">
        <v>3788</v>
      </c>
      <c r="DX38" t="s">
        <v>3789</v>
      </c>
      <c r="DY38" t="s">
        <v>4066</v>
      </c>
      <c r="DZ38" t="s">
        <v>4005</v>
      </c>
      <c r="EA38" t="s">
        <v>3934</v>
      </c>
      <c r="EB38" t="s">
        <v>3793</v>
      </c>
      <c r="EC38" t="s">
        <v>4007</v>
      </c>
      <c r="ED38" t="s">
        <v>4005</v>
      </c>
      <c r="EE38" t="s">
        <v>3937</v>
      </c>
      <c r="EF38" t="s">
        <v>3797</v>
      </c>
      <c r="EG38" t="s">
        <v>4067</v>
      </c>
      <c r="EH38" t="s">
        <v>4005</v>
      </c>
      <c r="EI38" t="s">
        <v>4068</v>
      </c>
      <c r="EJ38" t="s">
        <v>3800</v>
      </c>
      <c r="EK38" t="s">
        <v>4069</v>
      </c>
      <c r="EL38" t="s">
        <v>4005</v>
      </c>
      <c r="EM38" t="s">
        <v>3984</v>
      </c>
      <c r="EN38" t="s">
        <v>3803</v>
      </c>
      <c r="EO38" t="s">
        <v>4070</v>
      </c>
      <c r="EP38" t="s">
        <v>4005</v>
      </c>
      <c r="EQ38">
        <v>8</v>
      </c>
      <c r="ER38">
        <v>8</v>
      </c>
      <c r="ES38">
        <v>8</v>
      </c>
      <c r="ET38">
        <v>8</v>
      </c>
      <c r="EU38">
        <v>8</v>
      </c>
      <c r="EV38">
        <v>0.1</v>
      </c>
      <c r="EW38">
        <v>0.1</v>
      </c>
      <c r="EX38">
        <v>0.2</v>
      </c>
      <c r="EY38">
        <v>0.3</v>
      </c>
      <c r="EZ38">
        <v>0.3</v>
      </c>
      <c r="FA38">
        <f>EV38*EQ38</f>
        <v>0.8</v>
      </c>
      <c r="FB38">
        <f>EW38*ER38</f>
        <v>0.8</v>
      </c>
      <c r="FC38">
        <f>EX38*ES38</f>
        <v>1.6</v>
      </c>
      <c r="FD38">
        <f>EY38*ET38</f>
        <v>2.4</v>
      </c>
      <c r="FE38">
        <f>EZ38*EU38</f>
        <v>2.4</v>
      </c>
      <c r="FF38">
        <v>16</v>
      </c>
      <c r="FG38">
        <v>0</v>
      </c>
      <c r="FH38">
        <v>8</v>
      </c>
      <c r="FI38">
        <f>FA38+FB38+FC38+FD38+FE38</f>
        <v>8</v>
      </c>
      <c r="FJ38">
        <f>MEDIAN(EQ38:EU38)</f>
        <v>8</v>
      </c>
      <c r="FL38">
        <v>41.16</v>
      </c>
      <c r="FM38">
        <v>9</v>
      </c>
      <c r="FN38" t="s">
        <v>780</v>
      </c>
      <c r="FO38" t="s">
        <v>781</v>
      </c>
      <c r="FP38" t="s">
        <v>782</v>
      </c>
      <c r="FQ38" t="s">
        <v>783</v>
      </c>
      <c r="FR38" t="s">
        <v>784</v>
      </c>
      <c r="FS38">
        <v>10</v>
      </c>
      <c r="FT38">
        <v>9.5</v>
      </c>
      <c r="FU38">
        <v>7.5</v>
      </c>
      <c r="FV38">
        <v>6.5</v>
      </c>
      <c r="FW38">
        <v>4.5</v>
      </c>
      <c r="FX38">
        <v>0.1</v>
      </c>
      <c r="FY38">
        <v>0.1</v>
      </c>
      <c r="FZ38">
        <v>0.2</v>
      </c>
      <c r="GA38">
        <v>0.3</v>
      </c>
      <c r="GB38">
        <v>0.3</v>
      </c>
      <c r="GC38">
        <f>FS38*FX38</f>
        <v>1</v>
      </c>
      <c r="GD38">
        <f>FT38*FY38</f>
        <v>0.95000000000000007</v>
      </c>
      <c r="GE38">
        <f>FU38*FZ38</f>
        <v>1.5</v>
      </c>
      <c r="GF38">
        <f>FV38*GA38</f>
        <v>1.95</v>
      </c>
      <c r="GG38">
        <f>FW38*GB38</f>
        <v>1.3499999999999999</v>
      </c>
      <c r="GH38">
        <v>8.8000000000000007</v>
      </c>
      <c r="GI38">
        <v>0.2</v>
      </c>
      <c r="GJ38">
        <v>9</v>
      </c>
      <c r="GK38">
        <f>GC38+GD38+GE38+GF38+GG38</f>
        <v>6.75</v>
      </c>
      <c r="GL38">
        <f>MEDIAN(FS38:FW38)</f>
        <v>7.5</v>
      </c>
    </row>
    <row r="39" spans="1:194" x14ac:dyDescent="0.25">
      <c r="A39">
        <v>206</v>
      </c>
      <c r="B39" t="s">
        <v>2</v>
      </c>
      <c r="C39" s="4">
        <v>86.4</v>
      </c>
      <c r="D39">
        <v>3.2</v>
      </c>
      <c r="E39" s="1">
        <f>C39/3/D39</f>
        <v>9</v>
      </c>
      <c r="G39">
        <v>82.82</v>
      </c>
      <c r="H39">
        <v>8.1999999999999993</v>
      </c>
      <c r="I39">
        <f>H39*D39*3</f>
        <v>78.72</v>
      </c>
      <c r="J39">
        <v>16.5</v>
      </c>
      <c r="K39">
        <v>8.4</v>
      </c>
      <c r="L39" s="3">
        <f>K39*3*D39</f>
        <v>80.640000000000015</v>
      </c>
      <c r="M39">
        <v>4.3499999999999996</v>
      </c>
      <c r="N39">
        <v>8.8000000000000007</v>
      </c>
      <c r="O39">
        <f>N39*D39*3</f>
        <v>84.480000000000018</v>
      </c>
      <c r="P39" s="5">
        <v>8.9</v>
      </c>
      <c r="Q39" s="5">
        <f>P39*D39*3</f>
        <v>85.440000000000012</v>
      </c>
      <c r="S39" t="s">
        <v>6338</v>
      </c>
      <c r="T39">
        <v>5.3</v>
      </c>
      <c r="U39" s="8">
        <f>T39*D39*3</f>
        <v>50.88</v>
      </c>
      <c r="V39">
        <v>29.45</v>
      </c>
      <c r="W39">
        <v>8.6999999999999993</v>
      </c>
      <c r="X39" s="5">
        <f>W39*D39*3</f>
        <v>83.52</v>
      </c>
      <c r="Y39">
        <v>11.97</v>
      </c>
      <c r="Z39">
        <v>7.5</v>
      </c>
      <c r="AA39">
        <f>Z39*D39*3</f>
        <v>72</v>
      </c>
      <c r="AC39">
        <v>51.08</v>
      </c>
      <c r="AD39">
        <v>7.1</v>
      </c>
      <c r="AE39" s="1">
        <f>AD39*3*D39</f>
        <v>68.16</v>
      </c>
      <c r="AF39">
        <v>12.3</v>
      </c>
      <c r="AG39" s="5">
        <v>7</v>
      </c>
      <c r="AH39" s="5">
        <f>AG39*D39*3</f>
        <v>67.2</v>
      </c>
      <c r="AI39" s="13"/>
      <c r="AJ39">
        <v>2.7</v>
      </c>
      <c r="AK39" s="8">
        <f>AJ39*D39*3</f>
        <v>25.92</v>
      </c>
      <c r="AL39" s="13"/>
      <c r="AM39">
        <v>30.39</v>
      </c>
      <c r="AN39">
        <v>7.2</v>
      </c>
      <c r="AO39" s="8">
        <f>AN39*D39*3</f>
        <v>69.12</v>
      </c>
      <c r="AP39">
        <v>14.68</v>
      </c>
      <c r="AQ39">
        <v>10</v>
      </c>
      <c r="AR39">
        <f>AQ39*D39*3</f>
        <v>96</v>
      </c>
      <c r="AT39">
        <v>9</v>
      </c>
      <c r="AU39">
        <f>AT39*D39*3</f>
        <v>86.4</v>
      </c>
      <c r="AW39">
        <v>22.77</v>
      </c>
      <c r="AX39">
        <v>9.4</v>
      </c>
      <c r="AY39">
        <f>AX39*D39*3</f>
        <v>90.240000000000009</v>
      </c>
      <c r="AZ39">
        <v>22.77</v>
      </c>
      <c r="BA39">
        <v>9.4</v>
      </c>
      <c r="BB39">
        <f>BA39*D39*3</f>
        <v>90.240000000000009</v>
      </c>
      <c r="BD39">
        <v>7.8</v>
      </c>
      <c r="BE39">
        <f>BD39*D39*3</f>
        <v>74.88</v>
      </c>
      <c r="BG39" s="10"/>
      <c r="BH39" s="1">
        <f>CHOOSE(MATCH(MIN(ABS(BP39-C39),ABS(BQ39-C39),ABS(BR39-C39)),CHOOSE({1;2;3},ABS(BP39-C39),ABS(BQ39-C39),ABS(BR39-C39)),0),BP39,BQ39,BR39)</f>
        <v>86.4</v>
      </c>
      <c r="BJ39" s="1" cm="1">
        <f t="array" ref="BJ39">(INDEX(_xlfn._xlws.SORT(CHOOSE({1;2;3;4;5;6},BQ39,BR39,L39,AE39,BO39,BP39)),3) + INDEX(_xlfn._xlws.SORT(CHOOSE({1;2;3;4;5;6},BQ39,BR39,L39,AE39,BO39,BP39)),4))/2</f>
        <v>67.680000000000007</v>
      </c>
      <c r="BK39">
        <v>8.0843333540331894</v>
      </c>
      <c r="BL39" s="11" t="s">
        <v>6116</v>
      </c>
      <c r="BM39" s="1">
        <f>BK39*3*D39</f>
        <v>77.609600198718624</v>
      </c>
      <c r="BN39" s="1">
        <f>BM39-C39</f>
        <v>-8.7903998012813815</v>
      </c>
      <c r="BO39" s="1">
        <f>GK39*3*D39</f>
        <v>56.160000000000004</v>
      </c>
      <c r="BP39" s="1">
        <f>DO39*3*D39</f>
        <v>86.4</v>
      </c>
      <c r="BQ39" s="1">
        <f>FJ39*3*D39</f>
        <v>67.2</v>
      </c>
      <c r="BR39" s="1">
        <f>GL39*3*D39</f>
        <v>62.400000000000006</v>
      </c>
      <c r="BT39">
        <v>82.82</v>
      </c>
      <c r="BU39">
        <v>8.1999999999999993</v>
      </c>
      <c r="BV39" t="s">
        <v>5055</v>
      </c>
      <c r="BW39" t="s">
        <v>5056</v>
      </c>
      <c r="BX39" t="s">
        <v>5057</v>
      </c>
      <c r="BY39" t="s">
        <v>5368</v>
      </c>
      <c r="BZ39" t="s">
        <v>5084</v>
      </c>
      <c r="CA39" t="s">
        <v>2506</v>
      </c>
      <c r="CC39" t="s">
        <v>2758</v>
      </c>
      <c r="CD39" t="s">
        <v>2508</v>
      </c>
      <c r="CE39" t="s">
        <v>2440</v>
      </c>
      <c r="CG39" t="s">
        <v>2761</v>
      </c>
      <c r="CH39" t="s">
        <v>2510</v>
      </c>
      <c r="CI39" t="s">
        <v>2443</v>
      </c>
      <c r="CK39" t="s">
        <v>2795</v>
      </c>
      <c r="CL39" t="s">
        <v>2512</v>
      </c>
      <c r="CM39" t="s">
        <v>2521</v>
      </c>
      <c r="CO39" t="s">
        <v>3312</v>
      </c>
      <c r="CP39" t="s">
        <v>2514</v>
      </c>
      <c r="CQ39" t="s">
        <v>2449</v>
      </c>
      <c r="CS39" t="s">
        <v>2679</v>
      </c>
      <c r="CT39" t="s">
        <v>2524</v>
      </c>
      <c r="CV39">
        <v>9</v>
      </c>
      <c r="CW39">
        <v>9</v>
      </c>
      <c r="CX39">
        <v>9</v>
      </c>
      <c r="CY39">
        <v>9</v>
      </c>
      <c r="CZ39">
        <v>9</v>
      </c>
      <c r="DA39">
        <v>0.1</v>
      </c>
      <c r="DB39">
        <v>0.1</v>
      </c>
      <c r="DC39">
        <v>0.2</v>
      </c>
      <c r="DD39">
        <v>0.3</v>
      </c>
      <c r="DE39">
        <v>0.3</v>
      </c>
      <c r="DF39">
        <v>0.9</v>
      </c>
      <c r="DG39">
        <v>0.9</v>
      </c>
      <c r="DH39">
        <v>1.8</v>
      </c>
      <c r="DI39">
        <v>2.7</v>
      </c>
      <c r="DJ39">
        <v>2.7</v>
      </c>
      <c r="DK39">
        <v>8.1999999999999993</v>
      </c>
      <c r="DL39">
        <v>0</v>
      </c>
      <c r="DM39">
        <v>8.1999999999999993</v>
      </c>
      <c r="DN39">
        <v>8.4</v>
      </c>
      <c r="DO39">
        <f>AVERAGE(CV39:CZ39)</f>
        <v>9</v>
      </c>
      <c r="DQ39">
        <v>14</v>
      </c>
      <c r="DR39" t="s">
        <v>28</v>
      </c>
      <c r="DS39" t="s">
        <v>61</v>
      </c>
      <c r="DT39" t="s">
        <v>90</v>
      </c>
      <c r="DU39" t="s">
        <v>112</v>
      </c>
      <c r="DV39" t="s">
        <v>397</v>
      </c>
      <c r="DW39" t="s">
        <v>3769</v>
      </c>
      <c r="DX39" t="s">
        <v>3770</v>
      </c>
      <c r="DY39" t="s">
        <v>3963</v>
      </c>
      <c r="DZ39" t="s">
        <v>3963</v>
      </c>
      <c r="EA39" t="s">
        <v>3860</v>
      </c>
      <c r="EB39" t="s">
        <v>3964</v>
      </c>
      <c r="EC39" t="s">
        <v>3965</v>
      </c>
      <c r="ED39" t="s">
        <v>3965</v>
      </c>
      <c r="EE39" t="s">
        <v>3966</v>
      </c>
      <c r="EF39" t="s">
        <v>4020</v>
      </c>
      <c r="EG39" t="s">
        <v>3968</v>
      </c>
      <c r="EH39" t="s">
        <v>3968</v>
      </c>
      <c r="EI39" t="s">
        <v>4021</v>
      </c>
      <c r="EJ39" t="s">
        <v>4022</v>
      </c>
      <c r="EK39" t="s">
        <v>4023</v>
      </c>
      <c r="EL39" t="s">
        <v>4023</v>
      </c>
      <c r="EM39" t="s">
        <v>4024</v>
      </c>
      <c r="EN39" t="s">
        <v>3823</v>
      </c>
      <c r="EO39" t="s">
        <v>4625</v>
      </c>
      <c r="EP39" t="s">
        <v>4625</v>
      </c>
      <c r="EQ39">
        <v>7</v>
      </c>
      <c r="ER39">
        <v>8</v>
      </c>
      <c r="ES39">
        <v>7</v>
      </c>
      <c r="ET39">
        <v>7</v>
      </c>
      <c r="EU39">
        <v>7</v>
      </c>
      <c r="EV39">
        <v>0.1</v>
      </c>
      <c r="EW39">
        <v>0.1</v>
      </c>
      <c r="EX39">
        <v>0.2</v>
      </c>
      <c r="EY39">
        <v>0.3</v>
      </c>
      <c r="EZ39">
        <v>0.3</v>
      </c>
      <c r="FA39">
        <f>EV39*EQ39</f>
        <v>0.70000000000000007</v>
      </c>
      <c r="FB39">
        <f>EW39*ER39</f>
        <v>0.8</v>
      </c>
      <c r="FC39">
        <f>EX39*ES39</f>
        <v>1.4000000000000001</v>
      </c>
      <c r="FD39">
        <f>EY39*ET39</f>
        <v>2.1</v>
      </c>
      <c r="FE39">
        <f>EZ39*EU39</f>
        <v>2.1</v>
      </c>
      <c r="FF39">
        <v>14</v>
      </c>
      <c r="FG39">
        <v>0</v>
      </c>
      <c r="FH39">
        <v>14</v>
      </c>
      <c r="FI39">
        <f>FA39+FB39+FC39+FD39+FE39</f>
        <v>7.1</v>
      </c>
      <c r="FJ39">
        <f>MEDIAN(EQ39:EU39)</f>
        <v>7</v>
      </c>
      <c r="FL39">
        <v>73.58</v>
      </c>
      <c r="FM39">
        <v>6</v>
      </c>
      <c r="FN39" t="s">
        <v>1577</v>
      </c>
      <c r="FO39" t="s">
        <v>1578</v>
      </c>
      <c r="FP39" t="s">
        <v>1579</v>
      </c>
      <c r="FQ39" t="s">
        <v>1580</v>
      </c>
      <c r="FR39" t="s">
        <v>1581</v>
      </c>
      <c r="FS39">
        <v>6.5</v>
      </c>
      <c r="FT39">
        <v>8</v>
      </c>
      <c r="FU39">
        <v>7</v>
      </c>
      <c r="FV39">
        <v>6</v>
      </c>
      <c r="FW39">
        <v>4</v>
      </c>
      <c r="FX39">
        <v>0.1</v>
      </c>
      <c r="FY39">
        <v>0.1</v>
      </c>
      <c r="FZ39">
        <v>0.2</v>
      </c>
      <c r="GA39">
        <v>0.3</v>
      </c>
      <c r="GB39">
        <v>0.3</v>
      </c>
      <c r="GC39">
        <f>FS39*FX39</f>
        <v>0.65</v>
      </c>
      <c r="GD39">
        <f>FT39*FY39</f>
        <v>0.8</v>
      </c>
      <c r="GE39">
        <f>FU39*FZ39</f>
        <v>1.4000000000000001</v>
      </c>
      <c r="GF39">
        <f>FV39*GA39</f>
        <v>1.7999999999999998</v>
      </c>
      <c r="GG39">
        <f>FW39*GB39</f>
        <v>1.2</v>
      </c>
      <c r="GH39">
        <v>6</v>
      </c>
      <c r="GI39">
        <v>0</v>
      </c>
      <c r="GJ39">
        <v>6</v>
      </c>
      <c r="GK39">
        <f>GC39+GD39+GE39+GF39+GG39</f>
        <v>5.8500000000000005</v>
      </c>
      <c r="GL39">
        <f>MEDIAN(FS39:FW39)</f>
        <v>6.5</v>
      </c>
    </row>
    <row r="40" spans="1:194" hidden="1" x14ac:dyDescent="0.25">
      <c r="A40">
        <v>39</v>
      </c>
      <c r="B40" t="s">
        <v>2</v>
      </c>
      <c r="C40" s="4">
        <v>81</v>
      </c>
      <c r="D40">
        <v>3.6</v>
      </c>
      <c r="E40" s="1">
        <f>C40/3/D40</f>
        <v>7.5</v>
      </c>
      <c r="G40">
        <v>35.44</v>
      </c>
      <c r="H40">
        <v>8.1999999999999993</v>
      </c>
      <c r="I40">
        <f>H40*D40*3</f>
        <v>88.56</v>
      </c>
      <c r="J40">
        <v>17.68</v>
      </c>
      <c r="K40">
        <v>9</v>
      </c>
      <c r="L40" s="3">
        <f>K40*3*D40</f>
        <v>97.2</v>
      </c>
      <c r="M40">
        <v>5.68</v>
      </c>
      <c r="N40">
        <v>7.5</v>
      </c>
      <c r="O40">
        <f>N40*D40*3</f>
        <v>81</v>
      </c>
      <c r="P40" s="5">
        <v>9</v>
      </c>
      <c r="Q40" s="5">
        <f>P40*D40*3</f>
        <v>97.199999999999989</v>
      </c>
      <c r="S40" t="s">
        <v>6177</v>
      </c>
      <c r="T40">
        <v>5.3</v>
      </c>
      <c r="U40" s="8">
        <f>T40*D40*3</f>
        <v>57.239999999999995</v>
      </c>
      <c r="V40">
        <v>30.78</v>
      </c>
      <c r="W40">
        <v>9</v>
      </c>
      <c r="X40" s="5">
        <f>W40*D40*3</f>
        <v>97.199999999999989</v>
      </c>
      <c r="Y40">
        <v>11.17</v>
      </c>
      <c r="Z40">
        <v>7.5</v>
      </c>
      <c r="AA40">
        <f>Z40*D40*3</f>
        <v>81</v>
      </c>
      <c r="AC40">
        <v>50.55</v>
      </c>
      <c r="AD40">
        <v>7.1</v>
      </c>
      <c r="AE40" s="1">
        <f>AD40*3*D40</f>
        <v>76.679999999999993</v>
      </c>
      <c r="AF40">
        <v>12.03</v>
      </c>
      <c r="AG40" s="5">
        <v>7</v>
      </c>
      <c r="AH40" s="5">
        <f>AG40*D40*3</f>
        <v>75.599999999999994</v>
      </c>
      <c r="AI40" s="13"/>
      <c r="AJ40">
        <v>9</v>
      </c>
      <c r="AK40" s="8">
        <f>AJ40*D40*3</f>
        <v>97.199999999999989</v>
      </c>
      <c r="AL40" s="13"/>
      <c r="AM40">
        <v>30.72</v>
      </c>
      <c r="AN40">
        <v>7</v>
      </c>
      <c r="AO40" s="8">
        <f>AN40*D40*3</f>
        <v>75.599999999999994</v>
      </c>
      <c r="AP40">
        <v>12.54</v>
      </c>
      <c r="AQ40">
        <v>9.1999999999999993</v>
      </c>
      <c r="AR40">
        <f>AQ40*D40*3</f>
        <v>99.359999999999985</v>
      </c>
      <c r="AS40">
        <v>10.220000000000001</v>
      </c>
      <c r="AT40">
        <v>8.3000000000000007</v>
      </c>
      <c r="AU40">
        <f>AT40*D40*3</f>
        <v>89.640000000000015</v>
      </c>
      <c r="AW40">
        <v>22.79</v>
      </c>
      <c r="AX40">
        <v>9.1</v>
      </c>
      <c r="AY40">
        <f>AX40*D40*3</f>
        <v>98.28</v>
      </c>
      <c r="AZ40">
        <v>22.79</v>
      </c>
      <c r="BA40">
        <v>9.6</v>
      </c>
      <c r="BB40">
        <f>BA40*D40*3</f>
        <v>103.68</v>
      </c>
      <c r="BD40">
        <v>8.6</v>
      </c>
      <c r="BE40">
        <f>BD40*D40*3</f>
        <v>92.88</v>
      </c>
      <c r="BG40" s="10"/>
      <c r="BH40" s="1">
        <f>CHOOSE(MATCH(MIN(ABS(BP40-C40),ABS(BQ40-C40),ABS(BR40-C40)),CHOOSE({1;2;3},ABS(BP40-C40),ABS(BQ40-C40),ABS(BR40-C40)),0),BP40,BQ40,BR40)</f>
        <v>75.600000000000009</v>
      </c>
      <c r="BJ40" s="1" cm="1">
        <f t="array" ref="BJ40">(INDEX(_xlfn._xlws.SORT(CHOOSE({1;2;3;4;5;6},BQ40,BR40,L40,AE40,BO40,BP40)),3) + INDEX(_xlfn._xlws.SORT(CHOOSE({1;2;3;4;5;6},BQ40,BR40,L40,AE40,BO40,BP40)),4))/2</f>
        <v>76.14</v>
      </c>
      <c r="BK40">
        <v>7.56818853713016</v>
      </c>
      <c r="BL40" t="s">
        <v>6117</v>
      </c>
      <c r="BM40" s="1">
        <f>BK40*3*D40</f>
        <v>81.736436201005731</v>
      </c>
      <c r="BN40" s="1">
        <f>BM40-C40</f>
        <v>0.7364362010057306</v>
      </c>
      <c r="BO40" s="1">
        <f>GK40*3*D40</f>
        <v>61.560000000000009</v>
      </c>
      <c r="BP40" s="1">
        <f>DO40*3*D40</f>
        <v>97.2</v>
      </c>
      <c r="BQ40" s="1">
        <f>FJ40*3*D40</f>
        <v>75.600000000000009</v>
      </c>
      <c r="BR40" s="1">
        <f>GL40*3*D40</f>
        <v>64.8</v>
      </c>
      <c r="BT40">
        <v>35.44</v>
      </c>
      <c r="BU40">
        <v>8.1999999999999993</v>
      </c>
      <c r="BV40" t="s">
        <v>5134</v>
      </c>
      <c r="BW40" t="s">
        <v>5135</v>
      </c>
      <c r="BX40" t="s">
        <v>5136</v>
      </c>
      <c r="BY40" t="s">
        <v>5137</v>
      </c>
      <c r="BZ40" t="s">
        <v>5138</v>
      </c>
      <c r="CA40" t="s">
        <v>2437</v>
      </c>
      <c r="CC40" t="s">
        <v>2507</v>
      </c>
      <c r="CD40" t="s">
        <v>2508</v>
      </c>
      <c r="CE40" t="s">
        <v>2440</v>
      </c>
      <c r="CG40" t="s">
        <v>2509</v>
      </c>
      <c r="CH40" t="s">
        <v>2510</v>
      </c>
      <c r="CI40" t="s">
        <v>2443</v>
      </c>
      <c r="CK40" t="s">
        <v>2511</v>
      </c>
      <c r="CL40" t="s">
        <v>2512</v>
      </c>
      <c r="CM40" t="s">
        <v>2446</v>
      </c>
      <c r="CO40" t="s">
        <v>2513</v>
      </c>
      <c r="CP40" t="s">
        <v>2514</v>
      </c>
      <c r="CQ40" t="s">
        <v>2449</v>
      </c>
      <c r="CS40" t="s">
        <v>2523</v>
      </c>
      <c r="CT40" t="s">
        <v>2524</v>
      </c>
      <c r="CV40">
        <v>9</v>
      </c>
      <c r="CW40">
        <v>9</v>
      </c>
      <c r="CX40">
        <v>9</v>
      </c>
      <c r="CY40">
        <v>9</v>
      </c>
      <c r="CZ40">
        <v>9</v>
      </c>
      <c r="DA40">
        <v>0.1</v>
      </c>
      <c r="DB40">
        <v>0.1</v>
      </c>
      <c r="DC40">
        <v>0.2</v>
      </c>
      <c r="DD40">
        <v>0.3</v>
      </c>
      <c r="DE40">
        <v>0.3</v>
      </c>
      <c r="DF40">
        <v>0.9</v>
      </c>
      <c r="DG40">
        <v>0.9</v>
      </c>
      <c r="DH40">
        <v>1.8</v>
      </c>
      <c r="DI40">
        <v>2.7</v>
      </c>
      <c r="DJ40">
        <v>2.7</v>
      </c>
      <c r="DK40">
        <v>8.1999999999999993</v>
      </c>
      <c r="DL40">
        <v>0</v>
      </c>
      <c r="DM40">
        <v>8.1999999999999993</v>
      </c>
      <c r="DN40">
        <v>9</v>
      </c>
      <c r="DO40">
        <f>AVERAGE(CV40:CZ40)</f>
        <v>9</v>
      </c>
      <c r="DQ40" t="s">
        <v>27</v>
      </c>
      <c r="DR40" t="s">
        <v>28</v>
      </c>
      <c r="DS40" t="s">
        <v>61</v>
      </c>
      <c r="DT40" t="s">
        <v>140</v>
      </c>
      <c r="DU40" t="s">
        <v>91</v>
      </c>
      <c r="DV40" t="s">
        <v>141</v>
      </c>
      <c r="DW40" t="s">
        <v>3769</v>
      </c>
      <c r="DX40" t="s">
        <v>3770</v>
      </c>
      <c r="DY40" t="s">
        <v>3963</v>
      </c>
      <c r="DZ40" t="s">
        <v>3963</v>
      </c>
      <c r="EA40" t="s">
        <v>3860</v>
      </c>
      <c r="EB40" t="s">
        <v>3964</v>
      </c>
      <c r="EC40" t="s">
        <v>3965</v>
      </c>
      <c r="ED40" t="s">
        <v>3965</v>
      </c>
      <c r="EE40" t="s">
        <v>3886</v>
      </c>
      <c r="EF40" t="s">
        <v>4020</v>
      </c>
      <c r="EG40" t="s">
        <v>4088</v>
      </c>
      <c r="EH40" t="s">
        <v>4088</v>
      </c>
      <c r="EI40" t="s">
        <v>4045</v>
      </c>
      <c r="EJ40" t="s">
        <v>3928</v>
      </c>
      <c r="EK40" t="s">
        <v>3970</v>
      </c>
      <c r="EL40" t="s">
        <v>3970</v>
      </c>
      <c r="EM40" t="s">
        <v>4089</v>
      </c>
      <c r="EN40" t="s">
        <v>4090</v>
      </c>
      <c r="EO40" t="s">
        <v>4091</v>
      </c>
      <c r="EP40" t="s">
        <v>4091</v>
      </c>
      <c r="EQ40">
        <v>7</v>
      </c>
      <c r="ER40">
        <v>8</v>
      </c>
      <c r="ES40">
        <v>7</v>
      </c>
      <c r="ET40">
        <v>7</v>
      </c>
      <c r="EU40">
        <v>7</v>
      </c>
      <c r="EV40">
        <v>0.1</v>
      </c>
      <c r="EW40">
        <v>0.1</v>
      </c>
      <c r="EX40">
        <v>0.2</v>
      </c>
      <c r="EY40">
        <v>0.3</v>
      </c>
      <c r="EZ40">
        <v>0.3</v>
      </c>
      <c r="FA40">
        <f>EV40*EQ40</f>
        <v>0.70000000000000007</v>
      </c>
      <c r="FB40">
        <f>EW40*ER40</f>
        <v>0.8</v>
      </c>
      <c r="FC40">
        <f>EX40*ES40</f>
        <v>1.4000000000000001</v>
      </c>
      <c r="FD40">
        <f>EY40*ET40</f>
        <v>2.1</v>
      </c>
      <c r="FE40">
        <f>EZ40*EU40</f>
        <v>2.1</v>
      </c>
      <c r="FF40">
        <v>14</v>
      </c>
      <c r="FG40">
        <v>0</v>
      </c>
      <c r="FH40">
        <v>14</v>
      </c>
      <c r="FI40">
        <f>FA40+FB40+FC40+FD40+FE40</f>
        <v>7.1</v>
      </c>
      <c r="FJ40">
        <f>MEDIAN(EQ40:EU40)</f>
        <v>7</v>
      </c>
      <c r="FL40">
        <v>36.44</v>
      </c>
      <c r="FM40">
        <v>7</v>
      </c>
      <c r="FN40" t="s">
        <v>790</v>
      </c>
      <c r="FO40" t="s">
        <v>791</v>
      </c>
      <c r="FP40" t="s">
        <v>792</v>
      </c>
      <c r="FQ40" t="s">
        <v>793</v>
      </c>
      <c r="FR40" t="s">
        <v>794</v>
      </c>
      <c r="FS40">
        <v>6</v>
      </c>
      <c r="FT40">
        <v>8</v>
      </c>
      <c r="FU40">
        <v>5</v>
      </c>
      <c r="FV40">
        <v>7</v>
      </c>
      <c r="FW40">
        <v>4</v>
      </c>
      <c r="FX40">
        <v>0.1</v>
      </c>
      <c r="FY40">
        <v>0.1</v>
      </c>
      <c r="FZ40">
        <v>0.2</v>
      </c>
      <c r="GA40">
        <v>0.3</v>
      </c>
      <c r="GB40">
        <v>0.3</v>
      </c>
      <c r="GC40">
        <f>FS40*FX40</f>
        <v>0.60000000000000009</v>
      </c>
      <c r="GD40">
        <f>FT40*FY40</f>
        <v>0.8</v>
      </c>
      <c r="GE40">
        <f>FU40*FZ40</f>
        <v>1</v>
      </c>
      <c r="GF40">
        <f>FV40*GA40</f>
        <v>2.1</v>
      </c>
      <c r="GG40">
        <f>FW40*GB40</f>
        <v>1.2</v>
      </c>
      <c r="GH40">
        <v>6.9</v>
      </c>
      <c r="GI40">
        <v>0.1</v>
      </c>
      <c r="GJ40">
        <v>7</v>
      </c>
      <c r="GK40">
        <f>GC40+GD40+GE40+GF40+GG40</f>
        <v>5.7</v>
      </c>
      <c r="GL40">
        <f>MEDIAN(FS40:FW40)</f>
        <v>6</v>
      </c>
    </row>
    <row r="41" spans="1:194" hidden="1" x14ac:dyDescent="0.25">
      <c r="A41">
        <v>40</v>
      </c>
      <c r="B41" t="s">
        <v>2</v>
      </c>
      <c r="C41" s="4">
        <v>96.9</v>
      </c>
      <c r="D41">
        <v>3.4</v>
      </c>
      <c r="E41" s="1">
        <f>C41/3/D41</f>
        <v>9.5000000000000018</v>
      </c>
      <c r="G41">
        <v>36.130000000000003</v>
      </c>
      <c r="H41">
        <v>8.1999999999999993</v>
      </c>
      <c r="I41">
        <f>H41*D41*3</f>
        <v>83.639999999999986</v>
      </c>
      <c r="J41">
        <v>18.03</v>
      </c>
      <c r="K41">
        <v>8.4</v>
      </c>
      <c r="L41" s="3">
        <f>K41*3*D41</f>
        <v>85.68</v>
      </c>
      <c r="M41">
        <v>4.75</v>
      </c>
      <c r="N41">
        <v>6.5</v>
      </c>
      <c r="O41">
        <f>N41*D41*3</f>
        <v>66.3</v>
      </c>
      <c r="P41" s="5">
        <v>8.6999999999999993</v>
      </c>
      <c r="Q41" s="5">
        <f>P41*D41*3</f>
        <v>88.74</v>
      </c>
      <c r="S41" t="s">
        <v>6178</v>
      </c>
      <c r="T41">
        <v>6.5</v>
      </c>
      <c r="U41" s="8">
        <f>T41*D41*3</f>
        <v>66.3</v>
      </c>
      <c r="V41">
        <v>28.19</v>
      </c>
      <c r="W41">
        <v>8.6999999999999993</v>
      </c>
      <c r="X41" s="5">
        <f>W41*D41*3</f>
        <v>88.74</v>
      </c>
      <c r="Y41">
        <v>11.16</v>
      </c>
      <c r="Z41">
        <v>7.6</v>
      </c>
      <c r="AA41">
        <f>Z41*D41*3</f>
        <v>77.52</v>
      </c>
      <c r="AC41">
        <v>44.03</v>
      </c>
      <c r="AD41">
        <v>8</v>
      </c>
      <c r="AE41" s="1">
        <f>AD41*3*D41</f>
        <v>81.599999999999994</v>
      </c>
      <c r="AF41">
        <v>9.5399999999999991</v>
      </c>
      <c r="AH41" s="5">
        <f>AG41*D41*3</f>
        <v>0</v>
      </c>
      <c r="AI41" s="13"/>
      <c r="AK41" s="8">
        <f>AJ41*D41*3</f>
        <v>0</v>
      </c>
      <c r="AL41" s="13"/>
      <c r="AM41">
        <v>30.02</v>
      </c>
      <c r="AN41">
        <v>7.2</v>
      </c>
      <c r="AO41" s="8">
        <f>AN41*D41*3</f>
        <v>73.44</v>
      </c>
      <c r="AP41">
        <v>14.91</v>
      </c>
      <c r="AQ41">
        <v>9.5</v>
      </c>
      <c r="AR41">
        <f>AQ41*D41*3</f>
        <v>96.899999999999991</v>
      </c>
      <c r="AS41">
        <v>10.06</v>
      </c>
      <c r="AT41">
        <v>9</v>
      </c>
      <c r="AU41">
        <f>AT41*D41*3</f>
        <v>91.8</v>
      </c>
      <c r="AW41">
        <v>24.02</v>
      </c>
      <c r="AX41">
        <v>9.3000000000000007</v>
      </c>
      <c r="AY41">
        <f>AX41*D41*3</f>
        <v>94.86</v>
      </c>
      <c r="AZ41">
        <v>24.02</v>
      </c>
      <c r="BA41">
        <v>8.4</v>
      </c>
      <c r="BB41">
        <f>BA41*D41*3</f>
        <v>85.679999999999993</v>
      </c>
      <c r="BD41">
        <v>8.9</v>
      </c>
      <c r="BE41">
        <f>BD41*D41*3</f>
        <v>90.78</v>
      </c>
      <c r="BG41" s="10"/>
      <c r="BH41" s="1">
        <f>CHOOSE(MATCH(MIN(ABS(BP41-C41),ABS(BQ41-C41),ABS(BR41-C41)),CHOOSE({1;2;3},ABS(BP41-C41),ABS(BQ41-C41),ABS(BR41-C41)),0),BP41,BQ41,BR41)</f>
        <v>91.8</v>
      </c>
      <c r="BJ41" s="1" cm="1">
        <f t="array" ref="BJ41">(INDEX(_xlfn._xlws.SORT(CHOOSE({1;2;3;4;5;6},BQ41,BR41,L41,AE41,BO41,BP41)),3) + INDEX(_xlfn._xlws.SORT(CHOOSE({1;2;3;4;5;6},BQ41,BR41,L41,AE41,BO41,BP41)),4))/2</f>
        <v>81.599999999999994</v>
      </c>
      <c r="BK41">
        <v>9.3737863529982501</v>
      </c>
      <c r="BL41" t="s">
        <v>6117</v>
      </c>
      <c r="BM41" s="1">
        <f>BK41*3*D41</f>
        <v>95.61262080058215</v>
      </c>
      <c r="BN41" s="1">
        <f>BM41-C41</f>
        <v>-1.2873791994178561</v>
      </c>
      <c r="BO41" s="1">
        <f>GK41*3*D41</f>
        <v>70.89</v>
      </c>
      <c r="BP41" s="1">
        <f>DO41*3*D41</f>
        <v>91.8</v>
      </c>
      <c r="BQ41" s="1">
        <f>FJ41*3*D41</f>
        <v>81.599999999999994</v>
      </c>
      <c r="BR41" s="1">
        <f>GL41*3*D41</f>
        <v>76.5</v>
      </c>
      <c r="BT41">
        <v>36.130000000000003</v>
      </c>
      <c r="BU41">
        <v>8.1999999999999993</v>
      </c>
      <c r="BV41" t="s">
        <v>5046</v>
      </c>
      <c r="BW41" t="s">
        <v>5139</v>
      </c>
      <c r="BX41" t="s">
        <v>5140</v>
      </c>
      <c r="BY41" t="s">
        <v>5141</v>
      </c>
      <c r="BZ41" t="s">
        <v>5142</v>
      </c>
      <c r="CA41" t="s">
        <v>2437</v>
      </c>
      <c r="CC41" t="s">
        <v>2518</v>
      </c>
      <c r="CD41" t="s">
        <v>2508</v>
      </c>
      <c r="CE41" t="s">
        <v>2440</v>
      </c>
      <c r="CG41" t="s">
        <v>2509</v>
      </c>
      <c r="CH41" t="s">
        <v>2510</v>
      </c>
      <c r="CI41" t="s">
        <v>2443</v>
      </c>
      <c r="CK41" t="s">
        <v>2511</v>
      </c>
      <c r="CL41" t="s">
        <v>2512</v>
      </c>
      <c r="CM41" t="s">
        <v>2446</v>
      </c>
      <c r="CO41" t="s">
        <v>2513</v>
      </c>
      <c r="CP41" t="s">
        <v>2514</v>
      </c>
      <c r="CQ41" t="s">
        <v>2449</v>
      </c>
      <c r="CS41" t="s">
        <v>2523</v>
      </c>
      <c r="CT41" t="s">
        <v>2524</v>
      </c>
      <c r="CV41">
        <v>9</v>
      </c>
      <c r="CW41">
        <v>9</v>
      </c>
      <c r="CX41">
        <v>9</v>
      </c>
      <c r="CY41">
        <v>9</v>
      </c>
      <c r="CZ41">
        <v>9</v>
      </c>
      <c r="DA41">
        <v>0.1</v>
      </c>
      <c r="DB41">
        <v>0.1</v>
      </c>
      <c r="DC41">
        <v>0.2</v>
      </c>
      <c r="DD41">
        <v>0.3</v>
      </c>
      <c r="DE41">
        <v>0.3</v>
      </c>
      <c r="DF41">
        <v>0.9</v>
      </c>
      <c r="DG41">
        <v>0.9</v>
      </c>
      <c r="DH41">
        <v>1.8</v>
      </c>
      <c r="DI41">
        <v>2.7</v>
      </c>
      <c r="DJ41">
        <v>2.7</v>
      </c>
      <c r="DK41">
        <v>8.1999999999999993</v>
      </c>
      <c r="DL41">
        <v>0</v>
      </c>
      <c r="DM41">
        <v>8.1999999999999993</v>
      </c>
      <c r="DN41">
        <v>8.4</v>
      </c>
      <c r="DO41">
        <f>AVERAGE(CV41:CZ41)</f>
        <v>9</v>
      </c>
      <c r="DQ41" t="s">
        <v>27</v>
      </c>
      <c r="DR41" t="s">
        <v>142</v>
      </c>
      <c r="DS41" t="s">
        <v>143</v>
      </c>
      <c r="DT41" t="s">
        <v>144</v>
      </c>
      <c r="DU41" t="s">
        <v>145</v>
      </c>
      <c r="DV41" t="s">
        <v>146</v>
      </c>
      <c r="DW41" t="s">
        <v>3788</v>
      </c>
      <c r="DX41" t="s">
        <v>3789</v>
      </c>
      <c r="DY41" t="s">
        <v>4004</v>
      </c>
      <c r="DZ41" t="s">
        <v>4005</v>
      </c>
      <c r="EA41" t="s">
        <v>3934</v>
      </c>
      <c r="EB41" t="s">
        <v>3793</v>
      </c>
      <c r="EC41" t="s">
        <v>4092</v>
      </c>
      <c r="ED41" t="s">
        <v>4093</v>
      </c>
      <c r="EE41" t="s">
        <v>3937</v>
      </c>
      <c r="EF41" t="s">
        <v>3797</v>
      </c>
      <c r="EG41" t="s">
        <v>4094</v>
      </c>
      <c r="EH41" t="s">
        <v>4095</v>
      </c>
      <c r="EI41" t="s">
        <v>4096</v>
      </c>
      <c r="EJ41" t="s">
        <v>3800</v>
      </c>
      <c r="EK41" t="s">
        <v>4097</v>
      </c>
      <c r="EL41" t="s">
        <v>4098</v>
      </c>
      <c r="EM41" t="s">
        <v>4099</v>
      </c>
      <c r="EN41" t="s">
        <v>3803</v>
      </c>
      <c r="EO41" t="s">
        <v>4100</v>
      </c>
      <c r="EP41" t="s">
        <v>4101</v>
      </c>
      <c r="EQ41">
        <v>8</v>
      </c>
      <c r="ER41">
        <v>8</v>
      </c>
      <c r="ES41">
        <v>8</v>
      </c>
      <c r="ET41">
        <v>8</v>
      </c>
      <c r="EU41">
        <v>8</v>
      </c>
      <c r="EV41">
        <v>0.1</v>
      </c>
      <c r="EW41">
        <v>0.1</v>
      </c>
      <c r="EX41">
        <v>0.2</v>
      </c>
      <c r="EY41">
        <v>0.3</v>
      </c>
      <c r="EZ41">
        <v>0.3</v>
      </c>
      <c r="FA41">
        <f>EV41*EQ41</f>
        <v>0.8</v>
      </c>
      <c r="FB41">
        <f>EW41*ER41</f>
        <v>0.8</v>
      </c>
      <c r="FC41">
        <f>EX41*ES41</f>
        <v>1.6</v>
      </c>
      <c r="FD41">
        <f>EY41*ET41</f>
        <v>2.4</v>
      </c>
      <c r="FE41">
        <f>EZ41*EU41</f>
        <v>2.4</v>
      </c>
      <c r="FF41">
        <v>16</v>
      </c>
      <c r="FG41">
        <v>0</v>
      </c>
      <c r="FH41">
        <v>8</v>
      </c>
      <c r="FI41">
        <f>FA41+FB41+FC41+FD41+FE41</f>
        <v>8</v>
      </c>
      <c r="FJ41">
        <f>MEDIAN(EQ41:EU41)</f>
        <v>8</v>
      </c>
      <c r="FL41">
        <v>65.14</v>
      </c>
      <c r="FM41">
        <v>8.6999999999999993</v>
      </c>
      <c r="FN41" t="s">
        <v>795</v>
      </c>
      <c r="FO41" t="s">
        <v>796</v>
      </c>
      <c r="FP41" t="s">
        <v>797</v>
      </c>
      <c r="FQ41" t="s">
        <v>798</v>
      </c>
      <c r="FR41" t="s">
        <v>799</v>
      </c>
      <c r="FS41">
        <v>1</v>
      </c>
      <c r="FT41">
        <v>9.5</v>
      </c>
      <c r="FU41">
        <v>8.5</v>
      </c>
      <c r="FV41">
        <v>7.5</v>
      </c>
      <c r="FW41">
        <v>6.5</v>
      </c>
      <c r="FX41">
        <v>0.1</v>
      </c>
      <c r="FY41">
        <v>0.1</v>
      </c>
      <c r="FZ41">
        <v>0.2</v>
      </c>
      <c r="GA41">
        <v>0.3</v>
      </c>
      <c r="GB41">
        <v>0.3</v>
      </c>
      <c r="GC41">
        <f>FS41*FX41</f>
        <v>0.1</v>
      </c>
      <c r="GD41">
        <f>FT41*FY41</f>
        <v>0.95000000000000007</v>
      </c>
      <c r="GE41">
        <f>FU41*FZ41</f>
        <v>1.7000000000000002</v>
      </c>
      <c r="GF41">
        <f>FV41*GA41</f>
        <v>2.25</v>
      </c>
      <c r="GG41">
        <f>FW41*GB41</f>
        <v>1.95</v>
      </c>
      <c r="GH41">
        <v>8.6999999999999993</v>
      </c>
      <c r="GI41">
        <v>0</v>
      </c>
      <c r="GJ41">
        <v>8.6999999999999993</v>
      </c>
      <c r="GK41">
        <f>GC41+GD41+GE41+GF41+GG41</f>
        <v>6.95</v>
      </c>
      <c r="GL41">
        <f>MEDIAN(FS41:FW41)</f>
        <v>7.5</v>
      </c>
    </row>
    <row r="42" spans="1:194" hidden="1" x14ac:dyDescent="0.25">
      <c r="A42">
        <v>41</v>
      </c>
      <c r="B42" t="s">
        <v>2</v>
      </c>
      <c r="C42" s="4">
        <v>97.2</v>
      </c>
      <c r="D42">
        <v>3.6</v>
      </c>
      <c r="E42" s="1">
        <f>C42/3/D42</f>
        <v>9</v>
      </c>
      <c r="G42">
        <v>38.51</v>
      </c>
      <c r="H42">
        <v>8.1999999999999993</v>
      </c>
      <c r="I42">
        <f>H42*D42*3</f>
        <v>88.56</v>
      </c>
      <c r="J42">
        <v>16.14</v>
      </c>
      <c r="K42">
        <v>9</v>
      </c>
      <c r="L42" s="3">
        <f>K42*3*D42</f>
        <v>97.2</v>
      </c>
      <c r="M42">
        <v>4.83</v>
      </c>
      <c r="N42">
        <v>6.8</v>
      </c>
      <c r="O42">
        <f>N42*D42*3</f>
        <v>73.44</v>
      </c>
      <c r="P42" s="5">
        <v>7.4</v>
      </c>
      <c r="Q42" s="5">
        <f>P42*D42*3</f>
        <v>79.92</v>
      </c>
      <c r="S42" t="s">
        <v>6179</v>
      </c>
      <c r="T42">
        <v>7.4</v>
      </c>
      <c r="U42" s="8">
        <f>T42*D42*3</f>
        <v>79.92</v>
      </c>
      <c r="V42">
        <v>29.75</v>
      </c>
      <c r="W42">
        <v>8.4</v>
      </c>
      <c r="X42" s="5">
        <f>W42*D42*3</f>
        <v>90.72</v>
      </c>
      <c r="Y42">
        <v>9.6</v>
      </c>
      <c r="Z42">
        <v>7.5</v>
      </c>
      <c r="AA42">
        <f>Z42*D42*3</f>
        <v>81</v>
      </c>
      <c r="AC42">
        <v>46.41</v>
      </c>
      <c r="AD42">
        <v>8</v>
      </c>
      <c r="AE42" s="1">
        <f>AD42*3*D42</f>
        <v>86.4</v>
      </c>
      <c r="AF42">
        <v>11.85</v>
      </c>
      <c r="AG42" s="5">
        <v>7</v>
      </c>
      <c r="AH42" s="5">
        <f>AG42*D42*3</f>
        <v>75.599999999999994</v>
      </c>
      <c r="AI42" s="13"/>
      <c r="AK42" s="8">
        <f>AJ42*D42*3</f>
        <v>0</v>
      </c>
      <c r="AL42" s="13"/>
      <c r="AM42">
        <v>30.11</v>
      </c>
      <c r="AN42">
        <v>8.1</v>
      </c>
      <c r="AO42" s="8">
        <f>AN42*D42*3</f>
        <v>87.48</v>
      </c>
      <c r="AP42">
        <v>13.93</v>
      </c>
      <c r="AQ42">
        <v>9.5</v>
      </c>
      <c r="AR42">
        <f>AQ42*D42*3</f>
        <v>102.60000000000001</v>
      </c>
      <c r="AS42">
        <v>11.34</v>
      </c>
      <c r="AT42">
        <v>8.8000000000000007</v>
      </c>
      <c r="AU42">
        <f>AT42*D42*3</f>
        <v>95.04</v>
      </c>
      <c r="AW42">
        <v>23.38</v>
      </c>
      <c r="AX42">
        <v>9.1999999999999993</v>
      </c>
      <c r="AY42">
        <f>AX42*D42*3</f>
        <v>99.359999999999985</v>
      </c>
      <c r="AZ42">
        <v>23.38</v>
      </c>
      <c r="BA42">
        <v>8.4</v>
      </c>
      <c r="BB42">
        <f>BA42*D42*3</f>
        <v>90.72</v>
      </c>
      <c r="BD42">
        <v>9</v>
      </c>
      <c r="BE42">
        <f>BD42*D42*3</f>
        <v>97.199999999999989</v>
      </c>
      <c r="BG42" s="10"/>
      <c r="BH42" s="1">
        <f>CHOOSE(MATCH(MIN(ABS(BP42-C42),ABS(BQ42-C42),ABS(BR42-C42)),CHOOSE({1;2;3},ABS(BP42-C42),ABS(BQ42-C42),ABS(BR42-C42)),0),BP42,BQ42,BR42)</f>
        <v>90.720000000000013</v>
      </c>
      <c r="BJ42" s="1" cm="1">
        <f t="array" ref="BJ42">(INDEX(_xlfn._xlws.SORT(CHOOSE({1;2;3;4;5;6},BQ42,BR42,L42,AE42,BO42,BP42)),3) + INDEX(_xlfn._xlws.SORT(CHOOSE({1;2;3;4;5;6},BQ42,BR42,L42,AE42,BO42,BP42)),4))/2</f>
        <v>86.4</v>
      </c>
      <c r="BK42">
        <v>8.9770649068005195</v>
      </c>
      <c r="BL42" t="s">
        <v>6117</v>
      </c>
      <c r="BM42" s="1">
        <f>BK42*3*D42</f>
        <v>96.952300993445604</v>
      </c>
      <c r="BN42" s="1">
        <f>BM42-C42</f>
        <v>-0.24769900655439869</v>
      </c>
      <c r="BO42" s="1">
        <f>GK42*3*D42</f>
        <v>41.58</v>
      </c>
      <c r="BP42" s="1">
        <f>DO42*3*D42</f>
        <v>90.720000000000013</v>
      </c>
      <c r="BQ42" s="1">
        <f>FJ42*3*D42</f>
        <v>86.4</v>
      </c>
      <c r="BR42" s="1">
        <f>GL42*3*D42</f>
        <v>32.4</v>
      </c>
      <c r="BT42">
        <v>38.51</v>
      </c>
      <c r="BU42">
        <v>8.1999999999999993</v>
      </c>
      <c r="BV42" t="s">
        <v>4991</v>
      </c>
      <c r="BW42" t="s">
        <v>5143</v>
      </c>
      <c r="BX42" t="s">
        <v>5060</v>
      </c>
      <c r="BY42" t="s">
        <v>5144</v>
      </c>
      <c r="BZ42" t="s">
        <v>5062</v>
      </c>
      <c r="CA42" t="s">
        <v>2420</v>
      </c>
      <c r="CC42" t="s">
        <v>2491</v>
      </c>
      <c r="CD42" t="s">
        <v>2492</v>
      </c>
      <c r="CE42" t="s">
        <v>2572</v>
      </c>
      <c r="CG42" t="s">
        <v>2573</v>
      </c>
      <c r="CH42" t="s">
        <v>2574</v>
      </c>
      <c r="CI42" t="s">
        <v>2575</v>
      </c>
      <c r="CJ42" t="s">
        <v>2427</v>
      </c>
      <c r="CK42" t="s">
        <v>2609</v>
      </c>
      <c r="CL42" t="s">
        <v>2729</v>
      </c>
      <c r="CM42" t="s">
        <v>2578</v>
      </c>
      <c r="CN42" t="s">
        <v>2579</v>
      </c>
      <c r="CO42" t="s">
        <v>2611</v>
      </c>
      <c r="CP42" t="s">
        <v>2581</v>
      </c>
      <c r="CQ42" t="s">
        <v>2730</v>
      </c>
      <c r="CR42" t="s">
        <v>2731</v>
      </c>
      <c r="CS42" t="s">
        <v>2732</v>
      </c>
      <c r="CT42" t="s">
        <v>2733</v>
      </c>
      <c r="CV42">
        <v>9</v>
      </c>
      <c r="CW42">
        <v>9</v>
      </c>
      <c r="CX42">
        <v>8</v>
      </c>
      <c r="CY42">
        <v>8</v>
      </c>
      <c r="CZ42">
        <v>8</v>
      </c>
      <c r="DA42">
        <v>0.1</v>
      </c>
      <c r="DB42">
        <v>0.1</v>
      </c>
      <c r="DC42">
        <v>0.2</v>
      </c>
      <c r="DD42">
        <v>0.3</v>
      </c>
      <c r="DE42">
        <v>0.3</v>
      </c>
      <c r="DF42">
        <v>0.9</v>
      </c>
      <c r="DG42">
        <v>0.9</v>
      </c>
      <c r="DH42">
        <v>1.6</v>
      </c>
      <c r="DI42">
        <v>2.4</v>
      </c>
      <c r="DJ42">
        <v>2.4</v>
      </c>
      <c r="DK42">
        <v>8.1999999999999993</v>
      </c>
      <c r="DL42">
        <v>0</v>
      </c>
      <c r="DM42">
        <v>8.1999999999999993</v>
      </c>
      <c r="DN42">
        <v>9</v>
      </c>
      <c r="DO42">
        <f>AVERAGE(CV42:CZ42)</f>
        <v>8.4</v>
      </c>
      <c r="DQ42">
        <v>8</v>
      </c>
      <c r="DR42" t="s">
        <v>47</v>
      </c>
      <c r="DS42" t="s">
        <v>48</v>
      </c>
      <c r="DT42" t="s">
        <v>147</v>
      </c>
      <c r="DU42" t="s">
        <v>148</v>
      </c>
      <c r="DV42" t="s">
        <v>51</v>
      </c>
      <c r="DW42" t="s">
        <v>3769</v>
      </c>
      <c r="DX42" t="s">
        <v>3789</v>
      </c>
      <c r="DY42" t="s">
        <v>3826</v>
      </c>
      <c r="DZ42" t="s">
        <v>3827</v>
      </c>
      <c r="EA42" t="s">
        <v>3828</v>
      </c>
      <c r="EB42" t="s">
        <v>3793</v>
      </c>
      <c r="EC42" t="s">
        <v>3829</v>
      </c>
      <c r="ED42" t="s">
        <v>3827</v>
      </c>
      <c r="EE42" t="s">
        <v>4102</v>
      </c>
      <c r="EF42" t="s">
        <v>3797</v>
      </c>
      <c r="EG42" t="s">
        <v>3831</v>
      </c>
      <c r="EH42" t="s">
        <v>3827</v>
      </c>
      <c r="EI42" t="s">
        <v>4103</v>
      </c>
      <c r="EJ42" t="s">
        <v>3800</v>
      </c>
      <c r="EK42" t="s">
        <v>3833</v>
      </c>
      <c r="EL42" t="s">
        <v>3827</v>
      </c>
      <c r="EM42" t="s">
        <v>3834</v>
      </c>
      <c r="EN42" t="s">
        <v>3803</v>
      </c>
      <c r="EO42" t="s">
        <v>3835</v>
      </c>
      <c r="EP42" t="s">
        <v>3827</v>
      </c>
      <c r="EQ42">
        <v>8</v>
      </c>
      <c r="ER42">
        <v>8</v>
      </c>
      <c r="ES42">
        <v>8</v>
      </c>
      <c r="ET42">
        <v>8</v>
      </c>
      <c r="EU42">
        <v>8</v>
      </c>
      <c r="EV42">
        <v>0.1</v>
      </c>
      <c r="EW42">
        <v>0.1</v>
      </c>
      <c r="EX42">
        <v>0.2</v>
      </c>
      <c r="EY42">
        <v>0.3</v>
      </c>
      <c r="EZ42">
        <v>0.3</v>
      </c>
      <c r="FA42">
        <f>EV42*EQ42</f>
        <v>0.8</v>
      </c>
      <c r="FB42">
        <f>EW42*ER42</f>
        <v>0.8</v>
      </c>
      <c r="FC42">
        <f>EX42*ES42</f>
        <v>1.6</v>
      </c>
      <c r="FD42">
        <f>EY42*ET42</f>
        <v>2.4</v>
      </c>
      <c r="FE42">
        <f>EZ42*EU42</f>
        <v>2.4</v>
      </c>
      <c r="FF42">
        <v>17</v>
      </c>
      <c r="FG42">
        <v>0</v>
      </c>
      <c r="FH42">
        <v>8</v>
      </c>
      <c r="FI42">
        <f>FA42+FB42+FC42+FD42+FE42</f>
        <v>8</v>
      </c>
      <c r="FJ42">
        <f>MEDIAN(EQ42:EU42)</f>
        <v>8</v>
      </c>
      <c r="FL42">
        <v>39.92</v>
      </c>
      <c r="FM42">
        <v>7.5</v>
      </c>
      <c r="FN42" t="s">
        <v>800</v>
      </c>
      <c r="FO42" t="s">
        <v>801</v>
      </c>
      <c r="FP42" t="s">
        <v>802</v>
      </c>
      <c r="FQ42" t="s">
        <v>803</v>
      </c>
      <c r="FR42" t="s">
        <v>804</v>
      </c>
      <c r="FS42">
        <v>2.5</v>
      </c>
      <c r="FT42">
        <v>3</v>
      </c>
      <c r="FU42">
        <v>1.5</v>
      </c>
      <c r="FV42">
        <v>4</v>
      </c>
      <c r="FW42">
        <v>6</v>
      </c>
      <c r="FX42">
        <v>0.1</v>
      </c>
      <c r="FY42">
        <v>0.1</v>
      </c>
      <c r="FZ42">
        <v>0.2</v>
      </c>
      <c r="GA42">
        <v>0.3</v>
      </c>
      <c r="GB42">
        <v>0.3</v>
      </c>
      <c r="GC42">
        <f>FS42*FX42</f>
        <v>0.25</v>
      </c>
      <c r="GD42">
        <f>FT42*FY42</f>
        <v>0.30000000000000004</v>
      </c>
      <c r="GE42">
        <f>FU42*FZ42</f>
        <v>0.30000000000000004</v>
      </c>
      <c r="GF42">
        <f>FV42*GA42</f>
        <v>1.2</v>
      </c>
      <c r="GG42">
        <f>FW42*GB42</f>
        <v>1.7999999999999998</v>
      </c>
      <c r="GH42">
        <v>7.5</v>
      </c>
      <c r="GI42">
        <v>0</v>
      </c>
      <c r="GJ42">
        <v>7.5</v>
      </c>
      <c r="GK42">
        <f>GC42+GD42+GE42+GF42+GG42</f>
        <v>3.8499999999999996</v>
      </c>
      <c r="GL42">
        <f>MEDIAN(FS42:FW42)</f>
        <v>3</v>
      </c>
    </row>
    <row r="43" spans="1:194" hidden="1" x14ac:dyDescent="0.25">
      <c r="A43">
        <v>42</v>
      </c>
      <c r="B43" t="s">
        <v>2</v>
      </c>
      <c r="C43" s="4">
        <v>79.2</v>
      </c>
      <c r="D43">
        <v>3.3</v>
      </c>
      <c r="E43" s="1">
        <f>C43/3/D43</f>
        <v>8.0000000000000018</v>
      </c>
      <c r="G43">
        <v>38.369999999999997</v>
      </c>
      <c r="H43">
        <v>8</v>
      </c>
      <c r="I43">
        <f>H43*D43*3</f>
        <v>79.199999999999989</v>
      </c>
      <c r="J43">
        <v>17.55</v>
      </c>
      <c r="K43">
        <v>9</v>
      </c>
      <c r="L43" s="3">
        <f>K43*3*D43</f>
        <v>89.1</v>
      </c>
      <c r="M43">
        <v>4.37</v>
      </c>
      <c r="N43">
        <v>9</v>
      </c>
      <c r="O43">
        <f>N43*D43*3</f>
        <v>89.1</v>
      </c>
      <c r="P43" s="5">
        <v>7.2</v>
      </c>
      <c r="Q43" s="5">
        <f>P43*D43*3</f>
        <v>71.28</v>
      </c>
      <c r="S43" t="s">
        <v>6180</v>
      </c>
      <c r="T43">
        <v>3.2</v>
      </c>
      <c r="U43" s="8">
        <f>T43*D43*3</f>
        <v>31.68</v>
      </c>
      <c r="V43">
        <v>28.6</v>
      </c>
      <c r="W43">
        <v>8</v>
      </c>
      <c r="X43" s="5">
        <f>W43*D43*3</f>
        <v>79.199999999999989</v>
      </c>
      <c r="Y43">
        <v>13</v>
      </c>
      <c r="Z43">
        <v>7.5</v>
      </c>
      <c r="AA43">
        <f>Z43*D43*3</f>
        <v>74.25</v>
      </c>
      <c r="AC43">
        <v>45.09</v>
      </c>
      <c r="AD43">
        <v>7.4</v>
      </c>
      <c r="AE43" s="1">
        <f>AD43*3*D43</f>
        <v>73.260000000000005</v>
      </c>
      <c r="AF43">
        <v>12.1</v>
      </c>
      <c r="AG43" s="5">
        <v>7</v>
      </c>
      <c r="AH43" s="5">
        <f>AG43*D43*3</f>
        <v>69.3</v>
      </c>
      <c r="AI43" s="13"/>
      <c r="AJ43">
        <v>27</v>
      </c>
      <c r="AK43" s="8">
        <f>AJ43*D43*3</f>
        <v>267.29999999999995</v>
      </c>
      <c r="AL43" s="13"/>
      <c r="AM43">
        <v>29.71</v>
      </c>
      <c r="AN43">
        <v>8.1</v>
      </c>
      <c r="AO43" s="8">
        <f>AN43*D43*3</f>
        <v>80.19</v>
      </c>
      <c r="AP43">
        <v>12</v>
      </c>
      <c r="AQ43">
        <v>9.4</v>
      </c>
      <c r="AR43">
        <f>AQ43*D43*3</f>
        <v>93.06</v>
      </c>
      <c r="AS43">
        <v>10.46</v>
      </c>
      <c r="AT43">
        <v>9</v>
      </c>
      <c r="AU43">
        <f>AT43*D43*3</f>
        <v>89.1</v>
      </c>
      <c r="AW43">
        <v>26.7</v>
      </c>
      <c r="AX43">
        <v>9.4</v>
      </c>
      <c r="AY43">
        <f>AX43*D43*3</f>
        <v>93.06</v>
      </c>
      <c r="AZ43">
        <v>26.7</v>
      </c>
      <c r="BA43">
        <v>8.4</v>
      </c>
      <c r="BB43">
        <f>BA43*D43*3</f>
        <v>83.16</v>
      </c>
      <c r="BD43">
        <v>8.9</v>
      </c>
      <c r="BE43">
        <f>BD43*D43*3</f>
        <v>88.11</v>
      </c>
      <c r="BG43" s="10"/>
      <c r="BH43" s="1">
        <f>CHOOSE(MATCH(MIN(ABS(BP43-C43),ABS(BQ43-C43),ABS(BR43-C43)),CHOOSE({1;2;3},ABS(BP43-C43),ABS(BQ43-C43),ABS(BR43-C43)),0),BP43,BQ43,BR43)</f>
        <v>81.179999999999993</v>
      </c>
      <c r="BJ43" s="1" cm="1">
        <f t="array" ref="BJ43">(INDEX(_xlfn._xlws.SORT(CHOOSE({1;2;3;4;5;6},BQ43,BR43,L43,AE43,BO43,BP43)),3) + INDEX(_xlfn._xlws.SORT(CHOOSE({1;2;3;4;5;6},BQ43,BR43,L43,AE43,BO43,BP43)),4))/2</f>
        <v>71.28</v>
      </c>
      <c r="BK43">
        <v>8.0499636110008002</v>
      </c>
      <c r="BL43" t="s">
        <v>6117</v>
      </c>
      <c r="BM43" s="1">
        <f>BK43*3*D43</f>
        <v>79.694639748907917</v>
      </c>
      <c r="BN43" s="1">
        <f>BM43-C43</f>
        <v>0.49463974890791462</v>
      </c>
      <c r="BO43" s="1">
        <f>GK43*3*D43</f>
        <v>63.360000000000007</v>
      </c>
      <c r="BP43" s="1">
        <f>DO43*3*D43</f>
        <v>81.179999999999993</v>
      </c>
      <c r="BQ43" s="1">
        <f>FJ43*3*D43</f>
        <v>69.3</v>
      </c>
      <c r="BR43" s="1">
        <f>GL43*3*D43</f>
        <v>69.3</v>
      </c>
      <c r="BT43">
        <v>38.369999999999997</v>
      </c>
      <c r="BU43">
        <v>8</v>
      </c>
      <c r="BV43" t="s">
        <v>5145</v>
      </c>
      <c r="BW43" t="s">
        <v>5047</v>
      </c>
      <c r="BX43" t="s">
        <v>5146</v>
      </c>
      <c r="BY43" t="s">
        <v>5147</v>
      </c>
      <c r="BZ43" t="s">
        <v>5148</v>
      </c>
      <c r="CA43" t="s">
        <v>2420</v>
      </c>
      <c r="CC43" t="s">
        <v>2525</v>
      </c>
      <c r="CD43" t="s">
        <v>2526</v>
      </c>
      <c r="CE43" t="s">
        <v>2572</v>
      </c>
      <c r="CG43" t="s">
        <v>2573</v>
      </c>
      <c r="CH43" t="s">
        <v>2510</v>
      </c>
      <c r="CI43" t="s">
        <v>2575</v>
      </c>
      <c r="CJ43" t="s">
        <v>2427</v>
      </c>
      <c r="CK43" t="s">
        <v>2734</v>
      </c>
      <c r="CL43" t="s">
        <v>2729</v>
      </c>
      <c r="CM43" t="s">
        <v>2578</v>
      </c>
      <c r="CN43" t="s">
        <v>2579</v>
      </c>
      <c r="CO43" t="s">
        <v>2735</v>
      </c>
      <c r="CP43" t="s">
        <v>2581</v>
      </c>
      <c r="CQ43" t="s">
        <v>2582</v>
      </c>
      <c r="CR43" t="s">
        <v>2434</v>
      </c>
      <c r="CS43" t="s">
        <v>2736</v>
      </c>
      <c r="CT43" t="s">
        <v>2584</v>
      </c>
      <c r="CV43">
        <v>9</v>
      </c>
      <c r="CW43">
        <v>9</v>
      </c>
      <c r="CX43">
        <v>8</v>
      </c>
      <c r="CY43">
        <v>8</v>
      </c>
      <c r="CZ43">
        <v>7</v>
      </c>
      <c r="DA43">
        <v>0.1</v>
      </c>
      <c r="DB43">
        <v>0.1</v>
      </c>
      <c r="DC43">
        <v>0.2</v>
      </c>
      <c r="DD43">
        <v>0.3</v>
      </c>
      <c r="DE43">
        <v>0.3</v>
      </c>
      <c r="DF43">
        <v>0.9</v>
      </c>
      <c r="DG43">
        <v>0.9</v>
      </c>
      <c r="DH43">
        <v>1.6</v>
      </c>
      <c r="DI43">
        <v>2.4</v>
      </c>
      <c r="DJ43">
        <v>2.1</v>
      </c>
      <c r="DK43">
        <v>7.9</v>
      </c>
      <c r="DL43">
        <v>0.1</v>
      </c>
      <c r="DM43">
        <v>8</v>
      </c>
      <c r="DN43">
        <v>9</v>
      </c>
      <c r="DO43">
        <f>AVERAGE(CV43:CZ43)</f>
        <v>8.1999999999999993</v>
      </c>
      <c r="DQ43">
        <v>8</v>
      </c>
      <c r="DR43" t="s">
        <v>65</v>
      </c>
      <c r="DS43" t="s">
        <v>66</v>
      </c>
      <c r="DT43" t="s">
        <v>123</v>
      </c>
      <c r="DU43" t="s">
        <v>80</v>
      </c>
      <c r="DV43" t="s">
        <v>124</v>
      </c>
      <c r="DW43" t="s">
        <v>3769</v>
      </c>
      <c r="DX43" t="s">
        <v>3770</v>
      </c>
      <c r="DY43" t="s">
        <v>3771</v>
      </c>
      <c r="DZ43" t="s">
        <v>3772</v>
      </c>
      <c r="EA43" t="s">
        <v>3806</v>
      </c>
      <c r="EB43" t="s">
        <v>3807</v>
      </c>
      <c r="EC43" t="s">
        <v>3775</v>
      </c>
      <c r="ED43" t="s">
        <v>3776</v>
      </c>
      <c r="EE43" t="s">
        <v>3819</v>
      </c>
      <c r="EF43" t="s">
        <v>4104</v>
      </c>
      <c r="EG43" t="s">
        <v>4048</v>
      </c>
      <c r="EH43" t="s">
        <v>4015</v>
      </c>
      <c r="EI43" t="s">
        <v>4105</v>
      </c>
      <c r="EJ43" t="s">
        <v>3813</v>
      </c>
      <c r="EK43" t="s">
        <v>4049</v>
      </c>
      <c r="EL43" t="s">
        <v>3815</v>
      </c>
      <c r="EM43" t="s">
        <v>3816</v>
      </c>
      <c r="EN43" t="s">
        <v>4050</v>
      </c>
      <c r="EO43" t="s">
        <v>4018</v>
      </c>
      <c r="EP43" t="s">
        <v>4051</v>
      </c>
      <c r="EQ43">
        <v>7</v>
      </c>
      <c r="ER43">
        <v>8</v>
      </c>
      <c r="ES43">
        <v>7</v>
      </c>
      <c r="ET43">
        <v>7</v>
      </c>
      <c r="EU43">
        <v>8</v>
      </c>
      <c r="EV43">
        <v>0.1</v>
      </c>
      <c r="EW43">
        <v>0.1</v>
      </c>
      <c r="EX43">
        <v>0.2</v>
      </c>
      <c r="EY43">
        <v>0.3</v>
      </c>
      <c r="EZ43">
        <v>0.3</v>
      </c>
      <c r="FA43">
        <f>EV43*EQ43</f>
        <v>0.70000000000000007</v>
      </c>
      <c r="FB43">
        <f>EW43*ER43</f>
        <v>0.8</v>
      </c>
      <c r="FC43">
        <f>EX43*ES43</f>
        <v>1.4000000000000001</v>
      </c>
      <c r="FD43">
        <f>EY43*ET43</f>
        <v>2.1</v>
      </c>
      <c r="FE43">
        <f>EZ43*EU43</f>
        <v>2.4</v>
      </c>
      <c r="FF43">
        <v>20</v>
      </c>
      <c r="FG43">
        <v>0</v>
      </c>
      <c r="FH43">
        <v>8</v>
      </c>
      <c r="FI43">
        <f>FA43+FB43+FC43+FD43+FE43</f>
        <v>7.4</v>
      </c>
      <c r="FJ43">
        <f>MEDIAN(EQ43:EU43)</f>
        <v>7</v>
      </c>
      <c r="FL43">
        <v>32.17</v>
      </c>
      <c r="FM43">
        <v>5.5</v>
      </c>
      <c r="FN43" t="s">
        <v>805</v>
      </c>
      <c r="FO43" t="s">
        <v>806</v>
      </c>
      <c r="FP43" t="s">
        <v>807</v>
      </c>
      <c r="FQ43" t="s">
        <v>808</v>
      </c>
      <c r="FR43" t="s">
        <v>606</v>
      </c>
      <c r="FS43">
        <v>8</v>
      </c>
      <c r="FT43">
        <v>9</v>
      </c>
      <c r="FU43">
        <v>7</v>
      </c>
      <c r="FV43">
        <v>6</v>
      </c>
      <c r="FW43">
        <v>5</v>
      </c>
      <c r="FX43">
        <v>0.1</v>
      </c>
      <c r="FY43">
        <v>0.1</v>
      </c>
      <c r="FZ43">
        <v>0.2</v>
      </c>
      <c r="GA43">
        <v>0.3</v>
      </c>
      <c r="GB43">
        <v>0.3</v>
      </c>
      <c r="GC43">
        <f>FS43*FX43</f>
        <v>0.8</v>
      </c>
      <c r="GD43">
        <f>FT43*FY43</f>
        <v>0.9</v>
      </c>
      <c r="GE43">
        <f>FU43*FZ43</f>
        <v>1.4000000000000001</v>
      </c>
      <c r="GF43">
        <f>FV43*GA43</f>
        <v>1.7999999999999998</v>
      </c>
      <c r="GG43">
        <f>FW43*GB43</f>
        <v>1.5</v>
      </c>
      <c r="GH43">
        <v>6</v>
      </c>
      <c r="GI43">
        <v>-0.5</v>
      </c>
      <c r="GJ43">
        <v>5.5</v>
      </c>
      <c r="GK43">
        <f>GC43+GD43+GE43+GF43+GG43</f>
        <v>6.4</v>
      </c>
      <c r="GL43">
        <f>MEDIAN(FS43:FW43)</f>
        <v>7</v>
      </c>
    </row>
    <row r="44" spans="1:194" hidden="1" x14ac:dyDescent="0.25">
      <c r="A44">
        <v>43</v>
      </c>
      <c r="B44" t="s">
        <v>2</v>
      </c>
      <c r="C44" s="4">
        <v>81</v>
      </c>
      <c r="D44">
        <v>3.6</v>
      </c>
      <c r="E44" s="1">
        <f>C44/3/D44</f>
        <v>7.5</v>
      </c>
      <c r="G44">
        <v>35.25</v>
      </c>
      <c r="H44">
        <v>8</v>
      </c>
      <c r="I44">
        <f>H44*D44*3</f>
        <v>86.4</v>
      </c>
      <c r="J44">
        <v>16.899999999999999</v>
      </c>
      <c r="K44">
        <v>8.4</v>
      </c>
      <c r="L44" s="3">
        <f>K44*3*D44</f>
        <v>90.720000000000013</v>
      </c>
      <c r="M44">
        <v>4.72</v>
      </c>
      <c r="N44">
        <v>5.5</v>
      </c>
      <c r="O44">
        <f>N44*D44*3</f>
        <v>59.400000000000006</v>
      </c>
      <c r="P44" s="5">
        <v>8.6999999999999993</v>
      </c>
      <c r="Q44" s="5">
        <f>P44*D44*3</f>
        <v>93.96</v>
      </c>
      <c r="S44" t="s">
        <v>6181</v>
      </c>
      <c r="T44">
        <v>5</v>
      </c>
      <c r="U44" s="8">
        <f>T44*D44*3</f>
        <v>54</v>
      </c>
      <c r="V44">
        <v>29.46</v>
      </c>
      <c r="W44">
        <v>9</v>
      </c>
      <c r="X44" s="5">
        <f>W44*D44*3</f>
        <v>97.199999999999989</v>
      </c>
      <c r="Y44">
        <v>12.12</v>
      </c>
      <c r="Z44">
        <v>7.8</v>
      </c>
      <c r="AA44">
        <f>Z44*D44*3</f>
        <v>84.24</v>
      </c>
      <c r="AC44">
        <v>46.12</v>
      </c>
      <c r="AD44">
        <v>7.3000000000000007</v>
      </c>
      <c r="AE44" s="1">
        <f>AD44*3*D44</f>
        <v>78.84</v>
      </c>
      <c r="AF44">
        <v>12.13</v>
      </c>
      <c r="AG44" s="5">
        <v>7</v>
      </c>
      <c r="AH44" s="5">
        <f>AG44*D44*3</f>
        <v>75.599999999999994</v>
      </c>
      <c r="AI44" s="13"/>
      <c r="AJ44">
        <v>8.1999999999999993</v>
      </c>
      <c r="AK44" s="8">
        <f>AJ44*D44*3</f>
        <v>88.56</v>
      </c>
      <c r="AL44" s="13"/>
      <c r="AM44">
        <v>31.98</v>
      </c>
      <c r="AN44">
        <v>7.2</v>
      </c>
      <c r="AO44" s="8">
        <f>AN44*D44*3</f>
        <v>77.760000000000005</v>
      </c>
      <c r="AP44">
        <v>15.07</v>
      </c>
      <c r="AQ44">
        <v>10</v>
      </c>
      <c r="AR44">
        <f>AQ44*D44*3</f>
        <v>108</v>
      </c>
      <c r="AS44">
        <v>10.97</v>
      </c>
      <c r="AT44">
        <v>8.6</v>
      </c>
      <c r="AU44">
        <f>AT44*D44*3</f>
        <v>92.88</v>
      </c>
      <c r="AW44">
        <v>24.13</v>
      </c>
      <c r="AX44">
        <v>9.4</v>
      </c>
      <c r="AY44">
        <f>AX44*D44*3</f>
        <v>101.52000000000001</v>
      </c>
      <c r="AZ44">
        <v>24.13</v>
      </c>
      <c r="BA44">
        <v>8.4</v>
      </c>
      <c r="BB44">
        <f>BA44*D44*3</f>
        <v>90.72</v>
      </c>
      <c r="BD44">
        <v>8.6</v>
      </c>
      <c r="BE44">
        <f>BD44*D44*3</f>
        <v>92.88</v>
      </c>
      <c r="BG44" s="10"/>
      <c r="BH44" s="1">
        <f>CHOOSE(MATCH(MIN(ABS(BP44-C44),ABS(BQ44-C44),ABS(BR44-C44)),CHOOSE({1;2;3},ABS(BP44-C44),ABS(BQ44-C44),ABS(BR44-C44)),0),BP44,BQ44,BR44)</f>
        <v>75.600000000000009</v>
      </c>
      <c r="BJ44" s="1" cm="1">
        <f t="array" ref="BJ44">(INDEX(_xlfn._xlws.SORT(CHOOSE({1;2;3;4;5;6},BQ44,BR44,L44,AE44,BO44,BP44)),3) + INDEX(_xlfn._xlws.SORT(CHOOSE({1;2;3;4;5;6},BQ44,BR44,L44,AE44,BO44,BP44)),4))/2</f>
        <v>77.22</v>
      </c>
      <c r="BK44">
        <v>7.5544848400033997</v>
      </c>
      <c r="BL44" t="s">
        <v>6117</v>
      </c>
      <c r="BM44" s="1">
        <f>BK44*3*D44</f>
        <v>81.588436272036716</v>
      </c>
      <c r="BN44" s="1">
        <f>BM44-C44</f>
        <v>0.58843627203671645</v>
      </c>
      <c r="BO44" s="1">
        <f>GK44*3*D44</f>
        <v>61.560000000000009</v>
      </c>
      <c r="BP44" s="1">
        <f>DO44*3*D44</f>
        <v>97.2</v>
      </c>
      <c r="BQ44" s="1">
        <f>FJ44*3*D44</f>
        <v>75.600000000000009</v>
      </c>
      <c r="BR44" s="1">
        <f>GL44*3*D44</f>
        <v>64.8</v>
      </c>
      <c r="BT44">
        <v>35.25</v>
      </c>
      <c r="BU44">
        <v>8</v>
      </c>
      <c r="BV44" t="s">
        <v>5149</v>
      </c>
      <c r="BW44" t="s">
        <v>5150</v>
      </c>
      <c r="BX44" t="s">
        <v>5151</v>
      </c>
      <c r="BY44" t="s">
        <v>5152</v>
      </c>
      <c r="BZ44" t="s">
        <v>5153</v>
      </c>
      <c r="CA44" t="s">
        <v>2506</v>
      </c>
      <c r="CC44" t="s">
        <v>2507</v>
      </c>
      <c r="CD44" t="s">
        <v>2508</v>
      </c>
      <c r="CE44" t="s">
        <v>2440</v>
      </c>
      <c r="CG44" t="s">
        <v>2509</v>
      </c>
      <c r="CH44" t="s">
        <v>2510</v>
      </c>
      <c r="CI44" t="s">
        <v>2443</v>
      </c>
      <c r="CK44" t="s">
        <v>2511</v>
      </c>
      <c r="CL44" t="s">
        <v>2512</v>
      </c>
      <c r="CM44" t="s">
        <v>2521</v>
      </c>
      <c r="CO44" t="s">
        <v>2737</v>
      </c>
      <c r="CP44" t="s">
        <v>2514</v>
      </c>
      <c r="CQ44" t="s">
        <v>2449</v>
      </c>
      <c r="CS44" t="s">
        <v>2523</v>
      </c>
      <c r="CT44" t="s">
        <v>2524</v>
      </c>
      <c r="CV44">
        <v>9</v>
      </c>
      <c r="CW44">
        <v>9</v>
      </c>
      <c r="CX44">
        <v>9</v>
      </c>
      <c r="CY44">
        <v>9</v>
      </c>
      <c r="CZ44">
        <v>9</v>
      </c>
      <c r="DA44">
        <v>0.1</v>
      </c>
      <c r="DB44">
        <v>0.1</v>
      </c>
      <c r="DC44">
        <v>0.2</v>
      </c>
      <c r="DD44">
        <v>0.3</v>
      </c>
      <c r="DE44">
        <v>0.3</v>
      </c>
      <c r="DF44">
        <v>0.9</v>
      </c>
      <c r="DG44">
        <v>0.9</v>
      </c>
      <c r="DH44">
        <v>1.8</v>
      </c>
      <c r="DI44">
        <v>2.7</v>
      </c>
      <c r="DJ44">
        <v>2.7</v>
      </c>
      <c r="DK44">
        <v>8</v>
      </c>
      <c r="DL44">
        <v>0</v>
      </c>
      <c r="DM44">
        <v>8</v>
      </c>
      <c r="DN44">
        <v>8.4</v>
      </c>
      <c r="DO44">
        <f>AVERAGE(CV44:CZ44)</f>
        <v>9</v>
      </c>
      <c r="DQ44" t="s">
        <v>27</v>
      </c>
      <c r="DR44" t="s">
        <v>47</v>
      </c>
      <c r="DS44" t="s">
        <v>48</v>
      </c>
      <c r="DT44" t="s">
        <v>149</v>
      </c>
      <c r="DU44" t="s">
        <v>150</v>
      </c>
      <c r="DV44" t="s">
        <v>151</v>
      </c>
      <c r="DW44" t="s">
        <v>3769</v>
      </c>
      <c r="DX44" t="s">
        <v>3770</v>
      </c>
      <c r="DY44" t="s">
        <v>3771</v>
      </c>
      <c r="DZ44" t="s">
        <v>3772</v>
      </c>
      <c r="EA44" t="s">
        <v>3773</v>
      </c>
      <c r="EB44" t="s">
        <v>3774</v>
      </c>
      <c r="EC44" t="s">
        <v>3775</v>
      </c>
      <c r="ED44" t="s">
        <v>3776</v>
      </c>
      <c r="EE44" t="s">
        <v>3777</v>
      </c>
      <c r="EF44" t="s">
        <v>3778</v>
      </c>
      <c r="EG44" t="s">
        <v>3779</v>
      </c>
      <c r="EH44" t="s">
        <v>3780</v>
      </c>
      <c r="EI44" t="s">
        <v>3781</v>
      </c>
      <c r="EJ44" t="s">
        <v>3782</v>
      </c>
      <c r="EK44" t="s">
        <v>4017</v>
      </c>
      <c r="EL44" t="s">
        <v>3815</v>
      </c>
      <c r="EM44" t="s">
        <v>3930</v>
      </c>
      <c r="EN44" t="s">
        <v>3931</v>
      </c>
      <c r="EO44" t="s">
        <v>4106</v>
      </c>
      <c r="EP44" t="s">
        <v>4107</v>
      </c>
      <c r="EQ44">
        <v>7</v>
      </c>
      <c r="ER44">
        <v>8</v>
      </c>
      <c r="ES44">
        <v>8</v>
      </c>
      <c r="ET44">
        <v>7</v>
      </c>
      <c r="EU44">
        <v>7</v>
      </c>
      <c r="EV44">
        <v>0.1</v>
      </c>
      <c r="EW44">
        <v>0.1</v>
      </c>
      <c r="EX44">
        <v>0.2</v>
      </c>
      <c r="EY44">
        <v>0.3</v>
      </c>
      <c r="EZ44">
        <v>0.3</v>
      </c>
      <c r="FA44">
        <f>EV44*EQ44</f>
        <v>0.70000000000000007</v>
      </c>
      <c r="FB44">
        <f>EW44*ER44</f>
        <v>0.8</v>
      </c>
      <c r="FC44">
        <f>EX44*ES44</f>
        <v>1.6</v>
      </c>
      <c r="FD44">
        <f>EY44*ET44</f>
        <v>2.1</v>
      </c>
      <c r="FE44">
        <f>EZ44*EU44</f>
        <v>2.1</v>
      </c>
      <c r="FF44">
        <v>14.7</v>
      </c>
      <c r="FG44">
        <v>0.5</v>
      </c>
      <c r="FH44">
        <v>10</v>
      </c>
      <c r="FI44">
        <f>FA44+FB44+FC44+FD44+FE44</f>
        <v>7.3000000000000007</v>
      </c>
      <c r="FJ44">
        <f>MEDIAN(EQ44:EU44)</f>
        <v>7</v>
      </c>
      <c r="FL44">
        <v>41.02</v>
      </c>
      <c r="FM44">
        <v>5.8</v>
      </c>
      <c r="FN44" t="s">
        <v>809</v>
      </c>
      <c r="FO44" t="s">
        <v>810</v>
      </c>
      <c r="FP44" t="s">
        <v>811</v>
      </c>
      <c r="FQ44" t="s">
        <v>812</v>
      </c>
      <c r="FR44" t="s">
        <v>813</v>
      </c>
      <c r="FS44">
        <v>6</v>
      </c>
      <c r="FT44">
        <v>7.5</v>
      </c>
      <c r="FU44">
        <v>4.5</v>
      </c>
      <c r="FV44">
        <v>6.5</v>
      </c>
      <c r="FW44">
        <v>5</v>
      </c>
      <c r="FX44">
        <v>0.1</v>
      </c>
      <c r="FY44">
        <v>0.1</v>
      </c>
      <c r="FZ44">
        <v>0.2</v>
      </c>
      <c r="GA44">
        <v>0.3</v>
      </c>
      <c r="GB44">
        <v>0.3</v>
      </c>
      <c r="GC44">
        <f>FS44*FX44</f>
        <v>0.60000000000000009</v>
      </c>
      <c r="GD44">
        <f>FT44*FY44</f>
        <v>0.75</v>
      </c>
      <c r="GE44">
        <f>FU44*FZ44</f>
        <v>0.9</v>
      </c>
      <c r="GF44">
        <f>FV44*GA44</f>
        <v>1.95</v>
      </c>
      <c r="GG44">
        <f>FW44*GB44</f>
        <v>1.5</v>
      </c>
      <c r="GH44">
        <v>5.85</v>
      </c>
      <c r="GJ44">
        <v>5.8</v>
      </c>
      <c r="GK44">
        <f>GC44+GD44+GE44+GF44+GG44</f>
        <v>5.7</v>
      </c>
      <c r="GL44">
        <f>MEDIAN(FS44:FW44)</f>
        <v>6</v>
      </c>
    </row>
    <row r="45" spans="1:194" hidden="1" x14ac:dyDescent="0.25">
      <c r="A45">
        <v>44</v>
      </c>
      <c r="B45" t="s">
        <v>2</v>
      </c>
      <c r="C45" s="4">
        <v>64.8</v>
      </c>
      <c r="D45">
        <v>3.6</v>
      </c>
      <c r="E45" s="1">
        <f>C45/3/D45</f>
        <v>5.9999999999999991</v>
      </c>
      <c r="G45">
        <v>37.22</v>
      </c>
      <c r="H45">
        <v>8</v>
      </c>
      <c r="I45">
        <f>H45*D45*3</f>
        <v>86.4</v>
      </c>
      <c r="J45">
        <v>18.09</v>
      </c>
      <c r="K45">
        <v>8.6999999999999993</v>
      </c>
      <c r="L45" s="3">
        <f>K45*3*D45</f>
        <v>93.96</v>
      </c>
      <c r="M45">
        <v>5.26</v>
      </c>
      <c r="N45">
        <v>5.4</v>
      </c>
      <c r="O45">
        <f>N45*D45*3</f>
        <v>58.320000000000007</v>
      </c>
      <c r="P45" s="5">
        <v>7.1</v>
      </c>
      <c r="Q45" s="5">
        <f>P45*D45*3</f>
        <v>76.679999999999993</v>
      </c>
      <c r="S45" t="s">
        <v>6182</v>
      </c>
      <c r="T45">
        <v>6.5</v>
      </c>
      <c r="U45" s="8">
        <f>T45*D45*3</f>
        <v>70.2</v>
      </c>
      <c r="V45">
        <v>32.5</v>
      </c>
      <c r="W45">
        <v>8.4</v>
      </c>
      <c r="X45" s="5">
        <f>W45*D45*3</f>
        <v>90.72</v>
      </c>
      <c r="Y45">
        <v>13.19</v>
      </c>
      <c r="Z45">
        <v>7.5</v>
      </c>
      <c r="AA45">
        <f>Z45*D45*3</f>
        <v>81</v>
      </c>
      <c r="AC45">
        <v>47.41</v>
      </c>
      <c r="AD45">
        <v>7.9</v>
      </c>
      <c r="AE45" s="1">
        <f>AD45*3*D45</f>
        <v>85.320000000000007</v>
      </c>
      <c r="AF45">
        <v>13.61</v>
      </c>
      <c r="AH45" s="5">
        <f>AG45*D45*3</f>
        <v>0</v>
      </c>
      <c r="AI45" s="13"/>
      <c r="AJ45">
        <v>32</v>
      </c>
      <c r="AK45" s="8">
        <f>AJ45*D45*3</f>
        <v>345.6</v>
      </c>
      <c r="AL45" s="13"/>
      <c r="AM45">
        <v>32.380000000000003</v>
      </c>
      <c r="AN45">
        <v>7.3</v>
      </c>
      <c r="AO45" s="8">
        <f>AN45*D45*3</f>
        <v>78.84</v>
      </c>
      <c r="AP45">
        <v>14.58</v>
      </c>
      <c r="AQ45">
        <v>10</v>
      </c>
      <c r="AR45">
        <f>AQ45*D45*3</f>
        <v>108</v>
      </c>
      <c r="AS45">
        <v>9.9600000000000009</v>
      </c>
      <c r="AT45">
        <v>8.5</v>
      </c>
      <c r="AU45">
        <f>AT45*D45*3</f>
        <v>91.800000000000011</v>
      </c>
      <c r="AW45">
        <v>27.21</v>
      </c>
      <c r="AX45">
        <v>9.1</v>
      </c>
      <c r="AY45">
        <f>AX45*D45*3</f>
        <v>98.28</v>
      </c>
      <c r="AZ45">
        <v>27.21</v>
      </c>
      <c r="BA45">
        <v>8.6999999999999993</v>
      </c>
      <c r="BB45">
        <f>BA45*D45*3</f>
        <v>93.96</v>
      </c>
      <c r="BD45">
        <v>8.9</v>
      </c>
      <c r="BE45">
        <f>BD45*D45*3</f>
        <v>96.12</v>
      </c>
      <c r="BG45" s="10"/>
      <c r="BH45" s="1">
        <f>CHOOSE(MATCH(MIN(ABS(BP45-C45),ABS(BQ45-C45),ABS(BR45-C45)),CHOOSE({1;2;3},ABS(BP45-C45),ABS(BQ45-C45),ABS(BR45-C45)),0),BP45,BQ45,BR45)</f>
        <v>64.8</v>
      </c>
      <c r="BJ45" s="1" cm="1">
        <f t="array" ref="BJ45">(INDEX(_xlfn._xlws.SORT(CHOOSE({1;2;3;4;5;6},BQ45,BR45,L45,AE45,BO45,BP45)),3) + INDEX(_xlfn._xlws.SORT(CHOOSE({1;2;3;4;5;6},BQ45,BR45,L45,AE45,BO45,BP45)),4))/2</f>
        <v>85.860000000000014</v>
      </c>
      <c r="BK45">
        <v>6.07403628030821</v>
      </c>
      <c r="BL45" t="s">
        <v>6117</v>
      </c>
      <c r="BM45" s="1">
        <f>BK45*3*D45</f>
        <v>65.599591827328666</v>
      </c>
      <c r="BN45" s="1">
        <f>BM45-C45</f>
        <v>0.79959182732866907</v>
      </c>
      <c r="BO45" s="1">
        <f>GK45*3*D45</f>
        <v>53.459999999999994</v>
      </c>
      <c r="BP45" s="1">
        <f>DO45*3*D45</f>
        <v>97.2</v>
      </c>
      <c r="BQ45" s="1">
        <f>FJ45*3*D45</f>
        <v>86.4</v>
      </c>
      <c r="BR45" s="1">
        <f>GL45*3*D45</f>
        <v>64.8</v>
      </c>
      <c r="BT45">
        <v>37.22</v>
      </c>
      <c r="BU45">
        <v>8</v>
      </c>
      <c r="BV45" t="s">
        <v>5154</v>
      </c>
      <c r="BW45" t="s">
        <v>5155</v>
      </c>
      <c r="BX45" t="s">
        <v>5156</v>
      </c>
      <c r="BY45" t="s">
        <v>5157</v>
      </c>
      <c r="BZ45" t="s">
        <v>5158</v>
      </c>
      <c r="CA45" t="s">
        <v>2437</v>
      </c>
      <c r="CC45" t="s">
        <v>2438</v>
      </c>
      <c r="CD45" t="s">
        <v>2439</v>
      </c>
      <c r="CE45" t="s">
        <v>2440</v>
      </c>
      <c r="CG45" t="s">
        <v>2441</v>
      </c>
      <c r="CH45" t="s">
        <v>2442</v>
      </c>
      <c r="CI45" t="s">
        <v>2738</v>
      </c>
      <c r="CK45" t="s">
        <v>2444</v>
      </c>
      <c r="CL45" t="s">
        <v>2445</v>
      </c>
      <c r="CM45" t="s">
        <v>2446</v>
      </c>
      <c r="CO45" t="s">
        <v>2447</v>
      </c>
      <c r="CP45" t="s">
        <v>2448</v>
      </c>
      <c r="CQ45" t="s">
        <v>2449</v>
      </c>
      <c r="CS45" t="s">
        <v>2450</v>
      </c>
      <c r="CT45" t="s">
        <v>2451</v>
      </c>
      <c r="CV45">
        <v>9</v>
      </c>
      <c r="CW45">
        <v>9</v>
      </c>
      <c r="CX45">
        <v>9</v>
      </c>
      <c r="CY45">
        <v>9</v>
      </c>
      <c r="CZ45">
        <v>9</v>
      </c>
      <c r="DA45">
        <v>0.1</v>
      </c>
      <c r="DB45">
        <v>0.1</v>
      </c>
      <c r="DC45">
        <v>0.2</v>
      </c>
      <c r="DD45">
        <v>0.3</v>
      </c>
      <c r="DE45">
        <v>0.3</v>
      </c>
      <c r="DF45">
        <v>0.9</v>
      </c>
      <c r="DG45">
        <v>0.9</v>
      </c>
      <c r="DH45">
        <v>1.8</v>
      </c>
      <c r="DI45">
        <v>2.7</v>
      </c>
      <c r="DJ45">
        <v>2.7</v>
      </c>
      <c r="DK45">
        <v>8</v>
      </c>
      <c r="DL45">
        <v>0</v>
      </c>
      <c r="DM45">
        <v>8</v>
      </c>
      <c r="DN45">
        <v>8.6999999999999993</v>
      </c>
      <c r="DO45">
        <f>AVERAGE(CV45:CZ45)</f>
        <v>9</v>
      </c>
      <c r="DQ45">
        <v>8</v>
      </c>
      <c r="DR45" t="s">
        <v>152</v>
      </c>
      <c r="DS45" t="s">
        <v>86</v>
      </c>
      <c r="DT45" t="s">
        <v>153</v>
      </c>
      <c r="DU45" t="s">
        <v>154</v>
      </c>
      <c r="DV45" t="s">
        <v>155</v>
      </c>
      <c r="DW45" t="s">
        <v>3788</v>
      </c>
      <c r="DX45" t="s">
        <v>4071</v>
      </c>
      <c r="DY45" t="s">
        <v>4108</v>
      </c>
      <c r="DZ45" t="s">
        <v>4109</v>
      </c>
      <c r="EA45" t="s">
        <v>3952</v>
      </c>
      <c r="EB45" t="s">
        <v>3791</v>
      </c>
      <c r="EC45" t="s">
        <v>4110</v>
      </c>
      <c r="ED45" t="s">
        <v>4110</v>
      </c>
      <c r="EE45" t="s">
        <v>4111</v>
      </c>
      <c r="EF45" t="s">
        <v>4112</v>
      </c>
      <c r="EG45" t="s">
        <v>4113</v>
      </c>
      <c r="EH45" t="s">
        <v>4113</v>
      </c>
      <c r="EI45" t="s">
        <v>4114</v>
      </c>
      <c r="EJ45" t="s">
        <v>4112</v>
      </c>
      <c r="EK45" t="s">
        <v>4115</v>
      </c>
      <c r="EL45" t="s">
        <v>4115</v>
      </c>
      <c r="EM45" t="s">
        <v>4116</v>
      </c>
      <c r="EN45" t="s">
        <v>4117</v>
      </c>
      <c r="EO45" t="s">
        <v>4118</v>
      </c>
      <c r="EP45" t="s">
        <v>4118</v>
      </c>
      <c r="EQ45">
        <v>7</v>
      </c>
      <c r="ER45">
        <v>8</v>
      </c>
      <c r="ES45">
        <v>8</v>
      </c>
      <c r="ET45">
        <v>8</v>
      </c>
      <c r="EU45">
        <v>8</v>
      </c>
      <c r="EV45">
        <v>0.1</v>
      </c>
      <c r="EW45">
        <v>0.1</v>
      </c>
      <c r="EX45">
        <v>0.2</v>
      </c>
      <c r="EY45">
        <v>0.3</v>
      </c>
      <c r="EZ45">
        <v>0.3</v>
      </c>
      <c r="FA45">
        <f>EV45*EQ45</f>
        <v>0.70000000000000007</v>
      </c>
      <c r="FB45">
        <f>EW45*ER45</f>
        <v>0.8</v>
      </c>
      <c r="FC45">
        <f>EX45*ES45</f>
        <v>1.6</v>
      </c>
      <c r="FD45">
        <f>EY45*ET45</f>
        <v>2.4</v>
      </c>
      <c r="FE45">
        <f>EZ45*EU45</f>
        <v>2.4</v>
      </c>
      <c r="FF45">
        <v>16</v>
      </c>
      <c r="FG45">
        <v>0</v>
      </c>
      <c r="FH45">
        <v>8</v>
      </c>
      <c r="FI45">
        <f>FA45+FB45+FC45+FD45+FE45</f>
        <v>7.9</v>
      </c>
      <c r="FJ45">
        <f>MEDIAN(EQ45:EU45)</f>
        <v>8</v>
      </c>
      <c r="FL45">
        <v>39.299999999999997</v>
      </c>
      <c r="FM45">
        <v>5</v>
      </c>
      <c r="FN45" t="s">
        <v>814</v>
      </c>
      <c r="FO45" t="s">
        <v>815</v>
      </c>
      <c r="FP45" t="s">
        <v>816</v>
      </c>
      <c r="FQ45" t="s">
        <v>817</v>
      </c>
      <c r="FR45" t="s">
        <v>818</v>
      </c>
      <c r="FS45">
        <v>6</v>
      </c>
      <c r="FT45">
        <v>7.5</v>
      </c>
      <c r="FU45">
        <v>4.5</v>
      </c>
      <c r="FV45">
        <v>6</v>
      </c>
      <c r="FW45">
        <v>3</v>
      </c>
      <c r="FX45">
        <v>0.1</v>
      </c>
      <c r="FY45">
        <v>0.1</v>
      </c>
      <c r="FZ45">
        <v>0.2</v>
      </c>
      <c r="GA45">
        <v>0.3</v>
      </c>
      <c r="GB45">
        <v>0.3</v>
      </c>
      <c r="GC45">
        <f>FS45*FX45</f>
        <v>0.60000000000000009</v>
      </c>
      <c r="GD45">
        <f>FT45*FY45</f>
        <v>0.75</v>
      </c>
      <c r="GE45">
        <f>FU45*FZ45</f>
        <v>0.9</v>
      </c>
      <c r="GF45">
        <f>FV45*GA45</f>
        <v>1.7999999999999998</v>
      </c>
      <c r="GG45">
        <f>FW45*GB45</f>
        <v>0.89999999999999991</v>
      </c>
      <c r="GH45">
        <v>5.2</v>
      </c>
      <c r="GI45">
        <v>-0.2</v>
      </c>
      <c r="GJ45">
        <v>5</v>
      </c>
      <c r="GK45">
        <f>GC45+GD45+GE45+GF45+GG45</f>
        <v>4.9499999999999993</v>
      </c>
      <c r="GL45">
        <f>MEDIAN(FS45:FW45)</f>
        <v>6</v>
      </c>
    </row>
    <row r="46" spans="1:194" hidden="1" x14ac:dyDescent="0.25">
      <c r="A46">
        <v>45</v>
      </c>
      <c r="B46" t="s">
        <v>2</v>
      </c>
      <c r="C46" s="4">
        <v>98.05</v>
      </c>
      <c r="D46">
        <v>3.7</v>
      </c>
      <c r="E46" s="1">
        <f>C46/3/D46</f>
        <v>8.8333333333333321</v>
      </c>
      <c r="G46">
        <v>36.92</v>
      </c>
      <c r="H46">
        <v>8</v>
      </c>
      <c r="I46">
        <f>H46*D46*3</f>
        <v>88.800000000000011</v>
      </c>
      <c r="J46">
        <v>18.89</v>
      </c>
      <c r="K46">
        <v>8.6999999999999993</v>
      </c>
      <c r="L46" s="3">
        <f>K46*3*D46</f>
        <v>96.57</v>
      </c>
      <c r="M46">
        <v>5.08</v>
      </c>
      <c r="N46">
        <v>5</v>
      </c>
      <c r="O46">
        <f>N46*D46*3</f>
        <v>55.5</v>
      </c>
      <c r="P46" s="5">
        <v>8.5</v>
      </c>
      <c r="Q46" s="5">
        <f>P46*D46*3</f>
        <v>94.350000000000009</v>
      </c>
      <c r="S46" t="s">
        <v>6183</v>
      </c>
      <c r="T46">
        <v>8.1</v>
      </c>
      <c r="U46" s="8">
        <f>T46*D46*3</f>
        <v>89.91</v>
      </c>
      <c r="V46">
        <v>30.87</v>
      </c>
      <c r="W46">
        <v>8.4</v>
      </c>
      <c r="X46" s="5">
        <f>W46*D46*3</f>
        <v>93.240000000000009</v>
      </c>
      <c r="Y46">
        <v>9.25</v>
      </c>
      <c r="Z46">
        <v>6</v>
      </c>
      <c r="AA46">
        <f>Z46*D46*3</f>
        <v>66.600000000000009</v>
      </c>
      <c r="AC46">
        <v>47.92</v>
      </c>
      <c r="AD46">
        <v>7</v>
      </c>
      <c r="AE46" s="1">
        <f>AD46*3*D46</f>
        <v>77.7</v>
      </c>
      <c r="AF46">
        <v>11.92</v>
      </c>
      <c r="AG46" s="5">
        <v>7</v>
      </c>
      <c r="AH46" s="5">
        <f>AG46*D46*3</f>
        <v>77.7</v>
      </c>
      <c r="AI46" s="13"/>
      <c r="AJ46">
        <v>21.5</v>
      </c>
      <c r="AK46" s="8">
        <f>AJ46*D46*3</f>
        <v>238.64999999999998</v>
      </c>
      <c r="AL46" s="13"/>
      <c r="AM46">
        <v>31.76</v>
      </c>
      <c r="AN46">
        <v>7.6</v>
      </c>
      <c r="AO46" s="8">
        <f>AN46*D46*3</f>
        <v>84.36</v>
      </c>
      <c r="AP46">
        <v>13.85</v>
      </c>
      <c r="AQ46">
        <v>10</v>
      </c>
      <c r="AR46">
        <f>AQ46*D46*3</f>
        <v>111</v>
      </c>
      <c r="AS46">
        <v>11.18</v>
      </c>
      <c r="AT46">
        <v>9</v>
      </c>
      <c r="AU46">
        <f>AT46*D46*3</f>
        <v>99.9</v>
      </c>
      <c r="AW46">
        <v>24.48</v>
      </c>
      <c r="AX46">
        <v>8.8000000000000007</v>
      </c>
      <c r="AY46">
        <f>AX46*D46*3</f>
        <v>97.68</v>
      </c>
      <c r="AZ46">
        <v>24.48</v>
      </c>
      <c r="BA46">
        <v>8.9</v>
      </c>
      <c r="BB46">
        <f>BA46*D46*3</f>
        <v>98.789999999999992</v>
      </c>
      <c r="BD46">
        <v>8.9</v>
      </c>
      <c r="BE46">
        <f>BD46*D46*3</f>
        <v>98.789999999999992</v>
      </c>
      <c r="BG46" s="10"/>
      <c r="BH46" s="1">
        <f>CHOOSE(MATCH(MIN(ABS(BP46-C46),ABS(BQ46-C46),ABS(BR46-C46)),CHOOSE({1;2;3},ABS(BP46-C46),ABS(BQ46-C46),ABS(BR46-C46)),0),BP46,BQ46,BR46)</f>
        <v>99.9</v>
      </c>
      <c r="BJ46" s="1" cm="1">
        <f t="array" ref="BJ46">(INDEX(_xlfn._xlws.SORT(CHOOSE({1;2;3;4;5;6},BQ46,BR46,L46,AE46,BO46,BP46)),3) + INDEX(_xlfn._xlws.SORT(CHOOSE({1;2;3;4;5;6},BQ46,BR46,L46,AE46,BO46,BP46)),4))/2</f>
        <v>90.742500000000007</v>
      </c>
      <c r="BK46">
        <v>8.8189581305271396</v>
      </c>
      <c r="BL46" t="s">
        <v>6117</v>
      </c>
      <c r="BM46" s="1">
        <f>BK46*3*D46</f>
        <v>97.890435248851261</v>
      </c>
      <c r="BN46" s="1">
        <f>BM46-C46</f>
        <v>-0.1595647511487357</v>
      </c>
      <c r="BO46" s="1">
        <f>GK46*3*D46</f>
        <v>87.135000000000005</v>
      </c>
      <c r="BP46" s="1">
        <f>DO46*3*D46</f>
        <v>99.9</v>
      </c>
      <c r="BQ46" s="1">
        <f>FJ46*3*D46</f>
        <v>77.7</v>
      </c>
      <c r="BR46" s="1">
        <f>GL46*3*D46</f>
        <v>94.350000000000009</v>
      </c>
      <c r="BT46">
        <v>36.92</v>
      </c>
      <c r="BU46">
        <v>8</v>
      </c>
      <c r="BV46" t="s">
        <v>5159</v>
      </c>
      <c r="BW46" t="s">
        <v>4987</v>
      </c>
      <c r="BX46" t="s">
        <v>5160</v>
      </c>
      <c r="BY46" t="s">
        <v>5161</v>
      </c>
      <c r="BZ46" t="s">
        <v>5162</v>
      </c>
      <c r="CA46" t="s">
        <v>2452</v>
      </c>
      <c r="CC46" t="s">
        <v>2585</v>
      </c>
      <c r="CD46" t="s">
        <v>2453</v>
      </c>
      <c r="CE46" t="s">
        <v>2739</v>
      </c>
      <c r="CG46" t="s">
        <v>2441</v>
      </c>
      <c r="CH46" t="s">
        <v>2587</v>
      </c>
      <c r="CI46" t="s">
        <v>2740</v>
      </c>
      <c r="CK46" t="s">
        <v>2444</v>
      </c>
      <c r="CL46" t="s">
        <v>2588</v>
      </c>
      <c r="CM46" t="s">
        <v>2741</v>
      </c>
      <c r="CO46" t="s">
        <v>2447</v>
      </c>
      <c r="CP46" t="s">
        <v>2590</v>
      </c>
      <c r="CQ46" t="s">
        <v>2742</v>
      </c>
      <c r="CS46" t="s">
        <v>2450</v>
      </c>
      <c r="CT46" t="s">
        <v>2592</v>
      </c>
      <c r="CV46">
        <v>9</v>
      </c>
      <c r="CW46">
        <v>9</v>
      </c>
      <c r="CX46">
        <v>9</v>
      </c>
      <c r="CY46">
        <v>9</v>
      </c>
      <c r="CZ46">
        <v>9</v>
      </c>
      <c r="DA46">
        <v>0.1</v>
      </c>
      <c r="DB46">
        <v>0.1</v>
      </c>
      <c r="DC46">
        <v>0.2</v>
      </c>
      <c r="DD46">
        <v>0.3</v>
      </c>
      <c r="DE46">
        <v>0.3</v>
      </c>
      <c r="DF46">
        <v>0.9</v>
      </c>
      <c r="DG46">
        <v>0.9</v>
      </c>
      <c r="DH46">
        <v>1.8</v>
      </c>
      <c r="DI46">
        <v>2.7</v>
      </c>
      <c r="DJ46">
        <v>2.7</v>
      </c>
      <c r="DK46">
        <v>8</v>
      </c>
      <c r="DL46">
        <v>0</v>
      </c>
      <c r="DM46">
        <v>8</v>
      </c>
      <c r="DN46">
        <v>8.6999999999999993</v>
      </c>
      <c r="DO46">
        <f>AVERAGE(CV46:CZ46)</f>
        <v>9</v>
      </c>
      <c r="DQ46">
        <v>7</v>
      </c>
      <c r="DR46" t="s">
        <v>28</v>
      </c>
      <c r="DS46" t="s">
        <v>43</v>
      </c>
      <c r="DT46" t="s">
        <v>156</v>
      </c>
      <c r="DU46" t="s">
        <v>157</v>
      </c>
      <c r="DV46" t="s">
        <v>158</v>
      </c>
      <c r="DW46" t="s">
        <v>3769</v>
      </c>
      <c r="DX46" t="s">
        <v>3770</v>
      </c>
      <c r="DY46" t="s">
        <v>3771</v>
      </c>
      <c r="DZ46" t="s">
        <v>3772</v>
      </c>
      <c r="EA46" t="s">
        <v>3806</v>
      </c>
      <c r="EB46" t="s">
        <v>3807</v>
      </c>
      <c r="EC46" t="s">
        <v>3775</v>
      </c>
      <c r="ED46" t="s">
        <v>3776</v>
      </c>
      <c r="EE46" t="s">
        <v>3819</v>
      </c>
      <c r="EF46" t="s">
        <v>4104</v>
      </c>
      <c r="EG46" t="s">
        <v>4048</v>
      </c>
      <c r="EH46" t="s">
        <v>4015</v>
      </c>
      <c r="EI46" t="s">
        <v>4105</v>
      </c>
      <c r="EJ46" t="s">
        <v>3813</v>
      </c>
      <c r="EK46" t="s">
        <v>4049</v>
      </c>
      <c r="EL46" t="s">
        <v>3815</v>
      </c>
      <c r="EM46" t="s">
        <v>3816</v>
      </c>
      <c r="EN46" t="s">
        <v>4050</v>
      </c>
      <c r="EO46" t="s">
        <v>4018</v>
      </c>
      <c r="EP46" t="s">
        <v>4051</v>
      </c>
      <c r="EQ46">
        <v>7</v>
      </c>
      <c r="ER46">
        <v>7</v>
      </c>
      <c r="ES46">
        <v>7</v>
      </c>
      <c r="ET46">
        <v>7</v>
      </c>
      <c r="EU46">
        <v>7</v>
      </c>
      <c r="EV46">
        <v>0.1</v>
      </c>
      <c r="EW46">
        <v>0.1</v>
      </c>
      <c r="EX46">
        <v>0.2</v>
      </c>
      <c r="EY46">
        <v>0.3</v>
      </c>
      <c r="EZ46">
        <v>0.3</v>
      </c>
      <c r="FA46">
        <f>EV46*EQ46</f>
        <v>0.70000000000000007</v>
      </c>
      <c r="FB46">
        <f>EW46*ER46</f>
        <v>0.70000000000000007</v>
      </c>
      <c r="FC46">
        <f>EX46*ES46</f>
        <v>1.4000000000000001</v>
      </c>
      <c r="FD46">
        <f>EY46*ET46</f>
        <v>2.1</v>
      </c>
      <c r="FE46">
        <f>EZ46*EU46</f>
        <v>2.1</v>
      </c>
      <c r="FF46">
        <v>21</v>
      </c>
      <c r="FG46">
        <v>0</v>
      </c>
      <c r="FH46">
        <v>7</v>
      </c>
      <c r="FI46">
        <f>FA46+FB46+FC46+FD46+FE46</f>
        <v>7</v>
      </c>
      <c r="FJ46">
        <f>MEDIAN(EQ46:EU46)</f>
        <v>7</v>
      </c>
      <c r="FL46">
        <v>46.51</v>
      </c>
      <c r="FM46">
        <v>8.4</v>
      </c>
      <c r="FN46" t="s">
        <v>819</v>
      </c>
      <c r="FO46" t="s">
        <v>820</v>
      </c>
      <c r="FP46" t="s">
        <v>821</v>
      </c>
      <c r="FQ46" t="s">
        <v>822</v>
      </c>
      <c r="FR46" t="s">
        <v>823</v>
      </c>
      <c r="FS46">
        <v>10</v>
      </c>
      <c r="FT46">
        <v>9.5</v>
      </c>
      <c r="FU46">
        <v>8.5</v>
      </c>
      <c r="FV46">
        <v>7.5</v>
      </c>
      <c r="FW46">
        <v>6.5</v>
      </c>
      <c r="FX46">
        <v>0.1</v>
      </c>
      <c r="FY46">
        <v>0.1</v>
      </c>
      <c r="FZ46">
        <v>0.2</v>
      </c>
      <c r="GA46">
        <v>0.3</v>
      </c>
      <c r="GB46">
        <v>0.3</v>
      </c>
      <c r="GC46">
        <f>FS46*FX46</f>
        <v>1</v>
      </c>
      <c r="GD46">
        <f>FT46*FY46</f>
        <v>0.95000000000000007</v>
      </c>
      <c r="GE46">
        <f>FU46*FZ46</f>
        <v>1.7000000000000002</v>
      </c>
      <c r="GF46">
        <f>FV46*GA46</f>
        <v>2.25</v>
      </c>
      <c r="GG46">
        <f>FW46*GB46</f>
        <v>1.95</v>
      </c>
      <c r="GH46">
        <v>8.4</v>
      </c>
      <c r="GJ46">
        <v>8.4</v>
      </c>
      <c r="GK46">
        <f>GC46+GD46+GE46+GF46+GG46</f>
        <v>7.8500000000000005</v>
      </c>
      <c r="GL46">
        <f>MEDIAN(FS46:FW46)</f>
        <v>8.5</v>
      </c>
    </row>
    <row r="47" spans="1:194" x14ac:dyDescent="0.25">
      <c r="A47">
        <v>179</v>
      </c>
      <c r="B47" t="s">
        <v>2</v>
      </c>
      <c r="C47" s="4">
        <v>93.6</v>
      </c>
      <c r="D47">
        <v>3.6</v>
      </c>
      <c r="E47" s="1">
        <f>C47/3/D47</f>
        <v>8.6666666666666661</v>
      </c>
      <c r="G47">
        <v>36.58</v>
      </c>
      <c r="H47">
        <v>8</v>
      </c>
      <c r="I47">
        <f>H47*D47*3</f>
        <v>86.4</v>
      </c>
      <c r="J47">
        <v>17.22</v>
      </c>
      <c r="K47">
        <v>8.4</v>
      </c>
      <c r="L47" s="3">
        <f>K47*3*D47</f>
        <v>90.720000000000013</v>
      </c>
      <c r="M47">
        <v>5.01</v>
      </c>
      <c r="N47">
        <v>8.5</v>
      </c>
      <c r="O47">
        <f>N47*D47*3</f>
        <v>91.800000000000011</v>
      </c>
      <c r="P47" s="5">
        <v>7.9</v>
      </c>
      <c r="Q47" s="5">
        <f>P47*D47*3</f>
        <v>85.320000000000007</v>
      </c>
      <c r="S47" t="s">
        <v>6312</v>
      </c>
      <c r="T47">
        <v>6.5</v>
      </c>
      <c r="U47" s="8">
        <f>T47*D47*3</f>
        <v>70.2</v>
      </c>
      <c r="V47">
        <v>31.55</v>
      </c>
      <c r="W47">
        <v>8.6</v>
      </c>
      <c r="X47" s="5">
        <f>W47*D47*3</f>
        <v>92.88</v>
      </c>
      <c r="Y47">
        <v>8.9700000000000006</v>
      </c>
      <c r="Z47">
        <v>7.8</v>
      </c>
      <c r="AA47">
        <f>Z47*D47*3</f>
        <v>84.24</v>
      </c>
      <c r="AC47">
        <v>48.29</v>
      </c>
      <c r="AD47">
        <v>8</v>
      </c>
      <c r="AE47" s="1">
        <f>AD47*3*D47</f>
        <v>86.4</v>
      </c>
      <c r="AF47">
        <v>13.43</v>
      </c>
      <c r="AH47" s="5">
        <f>AG47*D47*3</f>
        <v>0</v>
      </c>
      <c r="AI47" s="13"/>
      <c r="AJ47">
        <v>0.8</v>
      </c>
      <c r="AK47" s="8">
        <f>AJ47*D47*3</f>
        <v>8.64</v>
      </c>
      <c r="AL47" s="13"/>
      <c r="AM47">
        <v>30.53</v>
      </c>
      <c r="AN47">
        <v>7.2</v>
      </c>
      <c r="AO47" s="8">
        <f>AN47*D47*3</f>
        <v>77.760000000000005</v>
      </c>
      <c r="AP47">
        <v>15.1</v>
      </c>
      <c r="AQ47">
        <v>10</v>
      </c>
      <c r="AR47">
        <f>AQ47*D47*3</f>
        <v>108</v>
      </c>
      <c r="AT47">
        <v>9.4</v>
      </c>
      <c r="AU47">
        <f>AT47*D47*3</f>
        <v>101.52000000000001</v>
      </c>
      <c r="AW47">
        <v>23.06</v>
      </c>
      <c r="AX47">
        <v>9.4</v>
      </c>
      <c r="AY47">
        <f>AX47*D47*3</f>
        <v>101.52000000000001</v>
      </c>
      <c r="AZ47">
        <v>23.06</v>
      </c>
      <c r="BA47">
        <v>9.1999999999999993</v>
      </c>
      <c r="BB47">
        <f>BA47*D47*3</f>
        <v>99.359999999999985</v>
      </c>
      <c r="BD47">
        <v>8.6</v>
      </c>
      <c r="BE47">
        <f>BD47*D47*3</f>
        <v>92.88</v>
      </c>
      <c r="BG47" s="10"/>
      <c r="BH47" s="1">
        <f>CHOOSE(MATCH(MIN(ABS(BP47-C47),ABS(BQ47-C47),ABS(BR47-C47)),CHOOSE({1;2;3},ABS(BP47-C47),ABS(BQ47-C47),ABS(BR47-C47)),0),BP47,BQ47,BR47)</f>
        <v>97.2</v>
      </c>
      <c r="BJ47" s="1" cm="1">
        <f t="array" ref="BJ47">(INDEX(_xlfn._xlws.SORT(CHOOSE({1;2;3;4;5;6},BQ47,BR47,L47,AE47,BO47,BP47)),3) + INDEX(_xlfn._xlws.SORT(CHOOSE({1;2;3;4;5;6},BQ47,BR47,L47,AE47,BO47,BP47)),4))/2</f>
        <v>90.45</v>
      </c>
      <c r="BK47">
        <v>7.8558589713586002</v>
      </c>
      <c r="BL47" s="11" t="s">
        <v>6116</v>
      </c>
      <c r="BM47" s="1">
        <f>BK47*3*D47</f>
        <v>84.843276890672882</v>
      </c>
      <c r="BN47" s="1">
        <f>BM47-C47</f>
        <v>-8.7567231093271118</v>
      </c>
      <c r="BO47" s="1">
        <f>GK47*3*D47</f>
        <v>90.179999999999993</v>
      </c>
      <c r="BP47" s="1">
        <f>DO47*3*D47</f>
        <v>97.2</v>
      </c>
      <c r="BQ47" s="1">
        <f>FJ47*3*D47</f>
        <v>86.4</v>
      </c>
      <c r="BR47" s="1">
        <f>GL47*3*D47</f>
        <v>108</v>
      </c>
      <c r="BT47">
        <v>36.58</v>
      </c>
      <c r="BU47">
        <v>8</v>
      </c>
      <c r="BV47" t="s">
        <v>5315</v>
      </c>
      <c r="BW47" t="s">
        <v>5056</v>
      </c>
      <c r="BX47" t="s">
        <v>5057</v>
      </c>
      <c r="BY47" t="s">
        <v>5590</v>
      </c>
      <c r="BZ47" t="s">
        <v>5091</v>
      </c>
      <c r="CA47" t="s">
        <v>2437</v>
      </c>
      <c r="CC47" t="s">
        <v>2438</v>
      </c>
      <c r="CD47" t="s">
        <v>2439</v>
      </c>
      <c r="CE47" t="s">
        <v>2440</v>
      </c>
      <c r="CG47" t="s">
        <v>2441</v>
      </c>
      <c r="CH47" t="s">
        <v>2442</v>
      </c>
      <c r="CI47" t="s">
        <v>2443</v>
      </c>
      <c r="CK47" t="s">
        <v>2444</v>
      </c>
      <c r="CL47" t="s">
        <v>2445</v>
      </c>
      <c r="CM47" t="s">
        <v>2446</v>
      </c>
      <c r="CO47" t="s">
        <v>2447</v>
      </c>
      <c r="CP47" t="s">
        <v>2448</v>
      </c>
      <c r="CQ47" t="s">
        <v>2449</v>
      </c>
      <c r="CS47" t="s">
        <v>2450</v>
      </c>
      <c r="CT47" t="s">
        <v>2451</v>
      </c>
      <c r="CV47">
        <v>9</v>
      </c>
      <c r="CW47">
        <v>9</v>
      </c>
      <c r="CX47">
        <v>9</v>
      </c>
      <c r="CY47">
        <v>9</v>
      </c>
      <c r="CZ47">
        <v>9</v>
      </c>
      <c r="DA47">
        <v>0.1</v>
      </c>
      <c r="DB47">
        <v>0.1</v>
      </c>
      <c r="DC47">
        <v>0.2</v>
      </c>
      <c r="DD47">
        <v>0.3</v>
      </c>
      <c r="DE47">
        <v>0.3</v>
      </c>
      <c r="DF47">
        <v>0.9</v>
      </c>
      <c r="DG47">
        <v>0.9</v>
      </c>
      <c r="DH47">
        <v>1.8</v>
      </c>
      <c r="DI47">
        <v>2.7</v>
      </c>
      <c r="DJ47">
        <v>2.7</v>
      </c>
      <c r="DK47">
        <v>8</v>
      </c>
      <c r="DL47">
        <v>0</v>
      </c>
      <c r="DM47">
        <v>8</v>
      </c>
      <c r="DN47">
        <v>8.4</v>
      </c>
      <c r="DO47">
        <f>AVERAGE(CV47:CZ47)</f>
        <v>9</v>
      </c>
      <c r="DQ47">
        <v>8</v>
      </c>
      <c r="DR47" t="s">
        <v>33</v>
      </c>
      <c r="DS47" t="s">
        <v>34</v>
      </c>
      <c r="DT47" t="s">
        <v>35</v>
      </c>
      <c r="DU47" t="s">
        <v>36</v>
      </c>
      <c r="DV47" t="s">
        <v>200</v>
      </c>
      <c r="DW47" t="s">
        <v>3788</v>
      </c>
      <c r="DX47" t="s">
        <v>3789</v>
      </c>
      <c r="DY47" t="s">
        <v>3790</v>
      </c>
      <c r="DZ47" t="s">
        <v>3791</v>
      </c>
      <c r="EA47" t="s">
        <v>3792</v>
      </c>
      <c r="EB47" t="s">
        <v>3793</v>
      </c>
      <c r="EC47" t="s">
        <v>3794</v>
      </c>
      <c r="ED47" t="s">
        <v>3795</v>
      </c>
      <c r="EE47" t="s">
        <v>3796</v>
      </c>
      <c r="EF47" t="s">
        <v>3797</v>
      </c>
      <c r="EG47" t="s">
        <v>3798</v>
      </c>
      <c r="EH47" t="s">
        <v>3798</v>
      </c>
      <c r="EI47" t="s">
        <v>3799</v>
      </c>
      <c r="EJ47" t="s">
        <v>3800</v>
      </c>
      <c r="EK47" t="s">
        <v>3801</v>
      </c>
      <c r="EL47" t="s">
        <v>3801</v>
      </c>
      <c r="EM47" t="s">
        <v>4227</v>
      </c>
      <c r="EN47" t="s">
        <v>3803</v>
      </c>
      <c r="EO47" t="s">
        <v>4228</v>
      </c>
      <c r="EP47" t="s">
        <v>4229</v>
      </c>
      <c r="EQ47">
        <v>8</v>
      </c>
      <c r="ER47">
        <v>8</v>
      </c>
      <c r="ES47">
        <v>8</v>
      </c>
      <c r="ET47">
        <v>8</v>
      </c>
      <c r="EU47">
        <v>8</v>
      </c>
      <c r="EV47">
        <v>0.1</v>
      </c>
      <c r="EW47">
        <v>0.1</v>
      </c>
      <c r="EX47">
        <v>0.2</v>
      </c>
      <c r="EY47">
        <v>0.3</v>
      </c>
      <c r="EZ47">
        <v>0.3</v>
      </c>
      <c r="FA47">
        <f>EV47*EQ47</f>
        <v>0.8</v>
      </c>
      <c r="FB47">
        <f>EW47*ER47</f>
        <v>0.8</v>
      </c>
      <c r="FC47">
        <f>EX47*ES47</f>
        <v>1.6</v>
      </c>
      <c r="FD47">
        <f>EY47*ET47</f>
        <v>2.4</v>
      </c>
      <c r="FE47">
        <f>EZ47*EU47</f>
        <v>2.4</v>
      </c>
      <c r="FF47">
        <v>18</v>
      </c>
      <c r="FG47">
        <v>0</v>
      </c>
      <c r="FH47">
        <v>8</v>
      </c>
      <c r="FI47">
        <f>FA47+FB47+FC47+FD47+FE47</f>
        <v>8</v>
      </c>
      <c r="FJ47">
        <f>MEDIAN(EQ47:EU47)</f>
        <v>8</v>
      </c>
      <c r="FL47">
        <v>40.11</v>
      </c>
      <c r="FM47">
        <v>10</v>
      </c>
      <c r="FN47" t="s">
        <v>1448</v>
      </c>
      <c r="FO47" t="s">
        <v>1449</v>
      </c>
      <c r="FP47" t="s">
        <v>1450</v>
      </c>
      <c r="FQ47" t="s">
        <v>1451</v>
      </c>
      <c r="FR47" t="s">
        <v>1452</v>
      </c>
      <c r="FS47">
        <v>10</v>
      </c>
      <c r="FT47">
        <v>10</v>
      </c>
      <c r="FU47">
        <v>10</v>
      </c>
      <c r="FV47">
        <v>8.5</v>
      </c>
      <c r="FW47">
        <v>6</v>
      </c>
      <c r="FX47">
        <v>0.1</v>
      </c>
      <c r="FY47">
        <v>0.1</v>
      </c>
      <c r="FZ47">
        <v>0.2</v>
      </c>
      <c r="GA47">
        <v>0.3</v>
      </c>
      <c r="GB47">
        <v>0.3</v>
      </c>
      <c r="GC47">
        <f>FS47*FX47</f>
        <v>1</v>
      </c>
      <c r="GD47">
        <f>FT47*FY47</f>
        <v>1</v>
      </c>
      <c r="GE47">
        <f>FU47*FZ47</f>
        <v>2</v>
      </c>
      <c r="GF47">
        <f>FV47*GA47</f>
        <v>2.5499999999999998</v>
      </c>
      <c r="GG47">
        <f>FW47*GB47</f>
        <v>1.7999999999999998</v>
      </c>
      <c r="GH47">
        <v>9.4</v>
      </c>
      <c r="GI47">
        <v>0.6</v>
      </c>
      <c r="GJ47">
        <v>10</v>
      </c>
      <c r="GK47">
        <f>GC47+GD47+GE47+GF47+GG47</f>
        <v>8.35</v>
      </c>
      <c r="GL47">
        <f>MEDIAN(FS47:FW47)</f>
        <v>10</v>
      </c>
    </row>
    <row r="48" spans="1:194" hidden="1" x14ac:dyDescent="0.25">
      <c r="A48">
        <v>47</v>
      </c>
      <c r="B48" t="s">
        <v>2</v>
      </c>
      <c r="C48" s="4">
        <v>68.45</v>
      </c>
      <c r="D48">
        <v>3.7</v>
      </c>
      <c r="E48" s="1">
        <f>C48/3/D48</f>
        <v>6.1666666666666661</v>
      </c>
      <c r="G48">
        <v>72.16</v>
      </c>
      <c r="H48">
        <v>8.1999999999999993</v>
      </c>
      <c r="I48">
        <f>H48*D48*3</f>
        <v>91.02</v>
      </c>
      <c r="J48">
        <v>17.809999999999999</v>
      </c>
      <c r="K48">
        <v>8.6999999999999993</v>
      </c>
      <c r="L48" s="3">
        <f>K48*3*D48</f>
        <v>96.57</v>
      </c>
      <c r="M48">
        <v>4.13</v>
      </c>
      <c r="N48">
        <v>8.9</v>
      </c>
      <c r="O48">
        <f>N48*D48*3</f>
        <v>98.789999999999992</v>
      </c>
      <c r="P48" s="5">
        <v>7.5</v>
      </c>
      <c r="Q48" s="5">
        <f>P48*D48*3</f>
        <v>83.25</v>
      </c>
      <c r="S48" t="s">
        <v>6185</v>
      </c>
      <c r="T48">
        <v>5.2</v>
      </c>
      <c r="U48" s="8">
        <f>T48*D48*3</f>
        <v>57.720000000000006</v>
      </c>
      <c r="V48">
        <v>58.66</v>
      </c>
      <c r="W48">
        <v>8.4</v>
      </c>
      <c r="X48" s="5">
        <f>W48*D48*3</f>
        <v>93.240000000000009</v>
      </c>
      <c r="Y48">
        <v>9.1300000000000008</v>
      </c>
      <c r="Z48">
        <v>7.6</v>
      </c>
      <c r="AA48">
        <f>Z48*D48*3</f>
        <v>84.36</v>
      </c>
      <c r="AC48">
        <v>49.6</v>
      </c>
      <c r="AD48">
        <v>6.7000000000000011</v>
      </c>
      <c r="AE48" s="1">
        <f>AD48*3*D48</f>
        <v>74.37</v>
      </c>
      <c r="AF48">
        <v>11.91</v>
      </c>
      <c r="AG48" s="5">
        <v>7</v>
      </c>
      <c r="AH48" s="5">
        <f>AG48*D48*3</f>
        <v>77.7</v>
      </c>
      <c r="AI48" s="13"/>
      <c r="AJ48">
        <v>23</v>
      </c>
      <c r="AK48" s="8">
        <f>AJ48*D48*3</f>
        <v>255.3</v>
      </c>
      <c r="AL48" s="13"/>
      <c r="AM48">
        <v>31.18</v>
      </c>
      <c r="AN48">
        <v>7</v>
      </c>
      <c r="AO48" s="8">
        <f>AN48*D48*3</f>
        <v>77.7</v>
      </c>
      <c r="AP48">
        <v>14.08</v>
      </c>
      <c r="AQ48">
        <v>9.5</v>
      </c>
      <c r="AR48">
        <f>AQ48*D48*3</f>
        <v>105.44999999999999</v>
      </c>
      <c r="AS48">
        <v>10.68</v>
      </c>
      <c r="AT48">
        <v>9</v>
      </c>
      <c r="AU48">
        <f>AT48*D48*3</f>
        <v>99.9</v>
      </c>
      <c r="AW48">
        <v>23.43</v>
      </c>
      <c r="AX48">
        <v>9.1999999999999993</v>
      </c>
      <c r="AY48">
        <f>AX48*D48*3</f>
        <v>102.12</v>
      </c>
      <c r="AZ48">
        <v>23.43</v>
      </c>
      <c r="BA48">
        <v>9.1</v>
      </c>
      <c r="BB48">
        <f>BA48*D48*3</f>
        <v>101.01</v>
      </c>
      <c r="BD48">
        <v>8.9</v>
      </c>
      <c r="BE48">
        <f>BD48*D48*3</f>
        <v>98.789999999999992</v>
      </c>
      <c r="BG48" s="10"/>
      <c r="BH48" s="1">
        <f>CHOOSE(MATCH(MIN(ABS(BP48-C48),ABS(BQ48-C48),ABS(BR48-C48)),CHOOSE({1;2;3},ABS(BP48-C48),ABS(BQ48-C48),ABS(BR48-C48)),0),BP48,BQ48,BR48)</f>
        <v>72.150000000000006</v>
      </c>
      <c r="BJ48" s="1" cm="1">
        <f t="array" ref="BJ48">(INDEX(_xlfn._xlws.SORT(CHOOSE({1;2;3;4;5;6},BQ48,BR48,L48,AE48,BO48,BP48)),3) + INDEX(_xlfn._xlws.SORT(CHOOSE({1;2;3;4;5;6},BQ48,BR48,L48,AE48,BO48,BP48)),4))/2</f>
        <v>96.292500000000004</v>
      </c>
      <c r="BK48">
        <v>6.2466195868801497</v>
      </c>
      <c r="BL48" t="s">
        <v>6117</v>
      </c>
      <c r="BM48" s="1">
        <f>BK48*3*D48</f>
        <v>69.337477414369658</v>
      </c>
      <c r="BN48" s="1">
        <f>BM48-C48</f>
        <v>0.88747741436965555</v>
      </c>
      <c r="BO48" s="1">
        <f>GK48*3*D48</f>
        <v>96.015000000000015</v>
      </c>
      <c r="BP48" s="1">
        <f>DO48*3*D48</f>
        <v>99.9</v>
      </c>
      <c r="BQ48" s="1">
        <f>FJ48*3*D48</f>
        <v>72.150000000000006</v>
      </c>
      <c r="BR48" s="1">
        <f>GL48*3*D48</f>
        <v>111</v>
      </c>
      <c r="BT48">
        <v>72.16</v>
      </c>
      <c r="BU48">
        <v>8.1999999999999993</v>
      </c>
      <c r="BV48" t="s">
        <v>5167</v>
      </c>
      <c r="BW48" t="s">
        <v>4987</v>
      </c>
      <c r="BX48" t="s">
        <v>5168</v>
      </c>
      <c r="BY48" t="s">
        <v>5169</v>
      </c>
      <c r="BZ48" t="s">
        <v>5170</v>
      </c>
      <c r="CA48" t="s">
        <v>2563</v>
      </c>
      <c r="CC48" t="s">
        <v>2758</v>
      </c>
      <c r="CD48" t="s">
        <v>2759</v>
      </c>
      <c r="CE48" t="s">
        <v>2760</v>
      </c>
      <c r="CG48" t="s">
        <v>2761</v>
      </c>
      <c r="CH48" t="s">
        <v>2762</v>
      </c>
      <c r="CI48" t="s">
        <v>2763</v>
      </c>
      <c r="CK48" t="s">
        <v>2764</v>
      </c>
      <c r="CL48" t="s">
        <v>2765</v>
      </c>
      <c r="CM48" t="s">
        <v>2766</v>
      </c>
      <c r="CO48" t="s">
        <v>2767</v>
      </c>
      <c r="CP48" t="s">
        <v>2768</v>
      </c>
      <c r="CQ48" t="s">
        <v>2769</v>
      </c>
      <c r="CR48" t="s">
        <v>2770</v>
      </c>
      <c r="CS48" t="s">
        <v>2771</v>
      </c>
      <c r="CT48" t="s">
        <v>2772</v>
      </c>
      <c r="CV48">
        <v>9</v>
      </c>
      <c r="CW48">
        <v>9</v>
      </c>
      <c r="CX48">
        <v>9</v>
      </c>
      <c r="CY48">
        <v>9</v>
      </c>
      <c r="CZ48">
        <v>9</v>
      </c>
      <c r="DA48">
        <v>0.1</v>
      </c>
      <c r="DB48">
        <v>0.1</v>
      </c>
      <c r="DC48">
        <v>0.2</v>
      </c>
      <c r="DD48">
        <v>0.3</v>
      </c>
      <c r="DE48">
        <v>0.3</v>
      </c>
      <c r="DF48">
        <v>0.9</v>
      </c>
      <c r="DG48">
        <v>0.9</v>
      </c>
      <c r="DH48">
        <v>1.8</v>
      </c>
      <c r="DI48">
        <v>2.7</v>
      </c>
      <c r="DJ48">
        <v>2.7</v>
      </c>
      <c r="DK48">
        <v>8.1999999999999993</v>
      </c>
      <c r="DL48">
        <v>0</v>
      </c>
      <c r="DM48">
        <v>8.1999999999999993</v>
      </c>
      <c r="DN48">
        <v>8.6999999999999993</v>
      </c>
      <c r="DO48">
        <f>AVERAGE(CV48:CZ48)</f>
        <v>9</v>
      </c>
      <c r="DQ48">
        <v>19.5</v>
      </c>
      <c r="DR48" t="s">
        <v>161</v>
      </c>
      <c r="DS48" t="s">
        <v>162</v>
      </c>
      <c r="DT48" t="s">
        <v>163</v>
      </c>
      <c r="DU48" t="s">
        <v>164</v>
      </c>
      <c r="DV48" t="s">
        <v>165</v>
      </c>
      <c r="DW48" t="s">
        <v>3788</v>
      </c>
      <c r="DX48" t="s">
        <v>4071</v>
      </c>
      <c r="DY48" t="s">
        <v>4072</v>
      </c>
      <c r="DZ48" t="s">
        <v>4073</v>
      </c>
      <c r="EA48" t="s">
        <v>3792</v>
      </c>
      <c r="EB48" t="s">
        <v>3807</v>
      </c>
      <c r="EC48" t="s">
        <v>4133</v>
      </c>
      <c r="ED48" t="s">
        <v>4134</v>
      </c>
      <c r="EE48" t="s">
        <v>4135</v>
      </c>
      <c r="EF48" t="s">
        <v>4136</v>
      </c>
      <c r="EG48" t="s">
        <v>4137</v>
      </c>
      <c r="EH48" t="s">
        <v>4138</v>
      </c>
      <c r="EI48" t="s">
        <v>4080</v>
      </c>
      <c r="EJ48" t="s">
        <v>4139</v>
      </c>
      <c r="EK48" t="s">
        <v>4140</v>
      </c>
      <c r="EL48" t="s">
        <v>4141</v>
      </c>
      <c r="EM48" t="s">
        <v>4084</v>
      </c>
      <c r="EN48" t="s">
        <v>4142</v>
      </c>
      <c r="EO48" t="s">
        <v>4143</v>
      </c>
      <c r="EP48" t="s">
        <v>4144</v>
      </c>
      <c r="EQ48">
        <v>7</v>
      </c>
      <c r="ER48">
        <v>6.5</v>
      </c>
      <c r="ES48">
        <v>6.5</v>
      </c>
      <c r="ET48">
        <v>6.5</v>
      </c>
      <c r="EU48">
        <v>7</v>
      </c>
      <c r="EV48">
        <v>0.1</v>
      </c>
      <c r="EW48">
        <v>0.1</v>
      </c>
      <c r="EX48">
        <v>0.2</v>
      </c>
      <c r="EY48">
        <v>0.3</v>
      </c>
      <c r="EZ48">
        <v>0.3</v>
      </c>
      <c r="FA48">
        <f>EV48*EQ48</f>
        <v>0.70000000000000007</v>
      </c>
      <c r="FB48">
        <f>EW48*ER48</f>
        <v>0.65</v>
      </c>
      <c r="FC48">
        <f>EX48*ES48</f>
        <v>1.3</v>
      </c>
      <c r="FD48">
        <f>EY48*ET48</f>
        <v>1.95</v>
      </c>
      <c r="FE48">
        <f>EZ48*EU48</f>
        <v>2.1</v>
      </c>
      <c r="FF48">
        <v>19.5</v>
      </c>
      <c r="FG48">
        <v>0</v>
      </c>
      <c r="FH48">
        <v>19.5</v>
      </c>
      <c r="FI48">
        <f>FA48+FB48+FC48+FD48+FE48</f>
        <v>6.7000000000000011</v>
      </c>
      <c r="FJ48">
        <f>MEDIAN(EQ48:EU48)</f>
        <v>6.5</v>
      </c>
      <c r="FL48">
        <v>68.94</v>
      </c>
      <c r="FM48">
        <v>10.1</v>
      </c>
      <c r="FN48" t="s">
        <v>829</v>
      </c>
      <c r="FO48" t="s">
        <v>830</v>
      </c>
      <c r="FP48" t="s">
        <v>831</v>
      </c>
      <c r="FQ48" t="s">
        <v>832</v>
      </c>
      <c r="FR48" t="s">
        <v>833</v>
      </c>
      <c r="FS48">
        <v>10</v>
      </c>
      <c r="FT48">
        <v>10</v>
      </c>
      <c r="FU48">
        <v>10</v>
      </c>
      <c r="FV48">
        <v>8.5</v>
      </c>
      <c r="FW48">
        <v>7</v>
      </c>
      <c r="FX48">
        <v>0.1</v>
      </c>
      <c r="FY48">
        <v>0.1</v>
      </c>
      <c r="FZ48">
        <v>0.2</v>
      </c>
      <c r="GA48">
        <v>0.3</v>
      </c>
      <c r="GB48">
        <v>0.3</v>
      </c>
      <c r="GC48">
        <f>FS48*FX48</f>
        <v>1</v>
      </c>
      <c r="GD48">
        <f>FT48*FY48</f>
        <v>1</v>
      </c>
      <c r="GE48">
        <f>FU48*FZ48</f>
        <v>2</v>
      </c>
      <c r="GF48">
        <f>FV48*GA48</f>
        <v>2.5499999999999998</v>
      </c>
      <c r="GG48">
        <f>FW48*GB48</f>
        <v>2.1</v>
      </c>
      <c r="GH48">
        <v>9.65</v>
      </c>
      <c r="GI48">
        <v>0.45</v>
      </c>
      <c r="GJ48">
        <v>10.1</v>
      </c>
      <c r="GK48">
        <f>GC48+GD48+GE48+GF48+GG48</f>
        <v>8.65</v>
      </c>
      <c r="GL48">
        <f>MEDIAN(FS48:FW48)</f>
        <v>10</v>
      </c>
    </row>
    <row r="49" spans="1:194" hidden="1" x14ac:dyDescent="0.25">
      <c r="A49">
        <v>48</v>
      </c>
      <c r="B49" t="s">
        <v>2</v>
      </c>
      <c r="C49" s="4">
        <v>93.6</v>
      </c>
      <c r="D49">
        <v>3.6</v>
      </c>
      <c r="E49" s="1">
        <f>C49/3/D49</f>
        <v>8.6666666666666661</v>
      </c>
      <c r="G49">
        <v>33.909999999999997</v>
      </c>
      <c r="H49">
        <v>7.4</v>
      </c>
      <c r="I49">
        <f>H49*D49*3</f>
        <v>79.92</v>
      </c>
      <c r="J49">
        <v>16.54</v>
      </c>
      <c r="K49">
        <v>8.4</v>
      </c>
      <c r="L49" s="3">
        <f>K49*3*D49</f>
        <v>90.720000000000013</v>
      </c>
      <c r="M49">
        <v>5.09</v>
      </c>
      <c r="N49">
        <v>5</v>
      </c>
      <c r="O49">
        <f>N49*D49*3</f>
        <v>54</v>
      </c>
      <c r="P49" s="5">
        <v>7.9</v>
      </c>
      <c r="Q49" s="5">
        <f>P49*D49*3</f>
        <v>85.320000000000007</v>
      </c>
      <c r="S49" t="s">
        <v>6186</v>
      </c>
      <c r="T49">
        <v>5.7</v>
      </c>
      <c r="U49" s="8">
        <f>T49*D49*3</f>
        <v>61.56</v>
      </c>
      <c r="V49">
        <v>57</v>
      </c>
      <c r="W49">
        <v>8.4</v>
      </c>
      <c r="X49" s="5">
        <f>W49*D49*3</f>
        <v>90.72</v>
      </c>
      <c r="Y49">
        <v>12</v>
      </c>
      <c r="Z49">
        <v>7.8</v>
      </c>
      <c r="AA49">
        <f>Z49*D49*3</f>
        <v>84.24</v>
      </c>
      <c r="AC49">
        <v>54.23</v>
      </c>
      <c r="AD49">
        <v>8</v>
      </c>
      <c r="AE49" s="1">
        <f>AD49*3*D49</f>
        <v>86.4</v>
      </c>
      <c r="AF49">
        <v>11.84</v>
      </c>
      <c r="AG49" s="5">
        <v>7</v>
      </c>
      <c r="AH49" s="5">
        <f>AG49*D49*3</f>
        <v>75.599999999999994</v>
      </c>
      <c r="AI49" s="13"/>
      <c r="AJ49">
        <v>27</v>
      </c>
      <c r="AK49" s="8">
        <f>AJ49*D49*3</f>
        <v>291.60000000000002</v>
      </c>
      <c r="AL49" s="13"/>
      <c r="AM49">
        <v>30.62</v>
      </c>
      <c r="AN49">
        <v>7.2</v>
      </c>
      <c r="AO49" s="8">
        <f>AN49*D49*3</f>
        <v>77.760000000000005</v>
      </c>
      <c r="AP49">
        <v>14.99</v>
      </c>
      <c r="AQ49">
        <v>10</v>
      </c>
      <c r="AR49">
        <f>AQ49*D49*3</f>
        <v>108</v>
      </c>
      <c r="AS49">
        <v>10.130000000000001</v>
      </c>
      <c r="AT49">
        <v>8.8000000000000007</v>
      </c>
      <c r="AU49">
        <f>AT49*D49*3</f>
        <v>95.04</v>
      </c>
      <c r="AW49">
        <v>24.08</v>
      </c>
      <c r="AX49">
        <v>9.9</v>
      </c>
      <c r="AY49">
        <f>AX49*D49*3</f>
        <v>106.92</v>
      </c>
      <c r="AZ49">
        <v>24.08</v>
      </c>
      <c r="BA49">
        <v>9</v>
      </c>
      <c r="BB49">
        <f>BA49*D49*3</f>
        <v>97.199999999999989</v>
      </c>
      <c r="BD49">
        <v>8.9</v>
      </c>
      <c r="BE49">
        <f>BD49*D49*3</f>
        <v>96.12</v>
      </c>
      <c r="BG49" s="10"/>
      <c r="BH49" s="1">
        <f>CHOOSE(MATCH(MIN(ABS(BP49-C49),ABS(BQ49-C49),ABS(BR49-C49)),CHOOSE({1;2;3},ABS(BP49-C49),ABS(BQ49-C49),ABS(BR49-C49)),0),BP49,BQ49,BR49)</f>
        <v>92.88</v>
      </c>
      <c r="BJ49" s="1" cm="1">
        <f t="array" ref="BJ49">(INDEX(_xlfn._xlws.SORT(CHOOSE({1;2;3;4;5;6},BQ49,BR49,L49,AE49,BO49,BP49)),3) + INDEX(_xlfn._xlws.SORT(CHOOSE({1;2;3;4;5;6},BQ49,BR49,L49,AE49,BO49,BP49)),4))/2</f>
        <v>86.4</v>
      </c>
      <c r="BK49">
        <v>8.6206630040961407</v>
      </c>
      <c r="BL49" t="s">
        <v>6117</v>
      </c>
      <c r="BM49" s="1">
        <f>BK49*3*D49</f>
        <v>93.103160444238327</v>
      </c>
      <c r="BN49" s="1">
        <f>BM49-C49</f>
        <v>-0.49683955576166738</v>
      </c>
      <c r="BO49" s="1">
        <f>GK49*3*D49</f>
        <v>45.360000000000007</v>
      </c>
      <c r="BP49" s="1">
        <f>DO49*3*D49</f>
        <v>92.88</v>
      </c>
      <c r="BQ49" s="1">
        <f>FJ49*3*D49</f>
        <v>86.4</v>
      </c>
      <c r="BR49" s="1">
        <f>GL49*3*D49</f>
        <v>54</v>
      </c>
      <c r="BT49">
        <v>33.909999999999997</v>
      </c>
      <c r="BU49">
        <v>7.4</v>
      </c>
      <c r="BV49" t="s">
        <v>5055</v>
      </c>
      <c r="BW49" t="s">
        <v>5056</v>
      </c>
      <c r="BX49" t="s">
        <v>5057</v>
      </c>
      <c r="BY49" t="s">
        <v>4984</v>
      </c>
      <c r="BZ49" t="s">
        <v>4985</v>
      </c>
      <c r="CA49" t="s">
        <v>2550</v>
      </c>
      <c r="CC49" t="s">
        <v>2634</v>
      </c>
      <c r="CD49" t="s">
        <v>2635</v>
      </c>
      <c r="CE49" t="s">
        <v>2553</v>
      </c>
      <c r="CG49" t="s">
        <v>2634</v>
      </c>
      <c r="CH49" t="s">
        <v>2773</v>
      </c>
      <c r="CI49" t="s">
        <v>2774</v>
      </c>
      <c r="CK49" t="s">
        <v>2634</v>
      </c>
      <c r="CL49" t="s">
        <v>2775</v>
      </c>
      <c r="CM49" t="s">
        <v>2595</v>
      </c>
      <c r="CO49" t="s">
        <v>2634</v>
      </c>
      <c r="CP49" t="s">
        <v>2776</v>
      </c>
      <c r="CQ49" t="s">
        <v>2777</v>
      </c>
      <c r="CR49" t="s">
        <v>2778</v>
      </c>
      <c r="CS49" t="s">
        <v>2779</v>
      </c>
      <c r="CT49" t="s">
        <v>2780</v>
      </c>
      <c r="CV49">
        <v>9</v>
      </c>
      <c r="CW49">
        <v>9</v>
      </c>
      <c r="CX49">
        <v>9</v>
      </c>
      <c r="CY49">
        <v>9</v>
      </c>
      <c r="CZ49">
        <v>7</v>
      </c>
      <c r="DA49">
        <v>0.1</v>
      </c>
      <c r="DB49">
        <v>0.1</v>
      </c>
      <c r="DC49">
        <v>0.2</v>
      </c>
      <c r="DD49">
        <v>0.3</v>
      </c>
      <c r="DE49">
        <v>0.3</v>
      </c>
      <c r="DF49">
        <v>0.9</v>
      </c>
      <c r="DG49">
        <v>0.9</v>
      </c>
      <c r="DH49">
        <v>1.8</v>
      </c>
      <c r="DI49">
        <v>2.7</v>
      </c>
      <c r="DJ49">
        <v>2.1</v>
      </c>
      <c r="DK49">
        <v>7.4</v>
      </c>
      <c r="DL49">
        <v>0</v>
      </c>
      <c r="DM49">
        <v>7.4</v>
      </c>
      <c r="DN49">
        <v>8.4</v>
      </c>
      <c r="DO49">
        <f>AVERAGE(CV49:CZ49)</f>
        <v>8.6</v>
      </c>
      <c r="DQ49" t="s">
        <v>125</v>
      </c>
      <c r="DR49" t="s">
        <v>33</v>
      </c>
      <c r="DS49" t="s">
        <v>166</v>
      </c>
      <c r="DT49" t="s">
        <v>167</v>
      </c>
      <c r="DU49" t="s">
        <v>168</v>
      </c>
      <c r="DV49" t="s">
        <v>169</v>
      </c>
      <c r="DW49" t="s">
        <v>3788</v>
      </c>
      <c r="DX49" t="s">
        <v>3789</v>
      </c>
      <c r="DY49" t="s">
        <v>4145</v>
      </c>
      <c r="DZ49" t="s">
        <v>4145</v>
      </c>
      <c r="EA49" t="s">
        <v>3993</v>
      </c>
      <c r="EB49" t="s">
        <v>4146</v>
      </c>
      <c r="EC49" t="s">
        <v>4147</v>
      </c>
      <c r="ED49" t="s">
        <v>4147</v>
      </c>
      <c r="EE49" t="s">
        <v>4148</v>
      </c>
      <c r="EF49" t="s">
        <v>4149</v>
      </c>
      <c r="EG49" t="s">
        <v>4149</v>
      </c>
      <c r="EH49" t="s">
        <v>4149</v>
      </c>
      <c r="EI49" t="s">
        <v>4150</v>
      </c>
      <c r="EJ49" t="s">
        <v>4151</v>
      </c>
      <c r="EK49" t="s">
        <v>4151</v>
      </c>
      <c r="EL49" t="s">
        <v>4151</v>
      </c>
      <c r="EM49" t="s">
        <v>4152</v>
      </c>
      <c r="EN49" t="s">
        <v>4153</v>
      </c>
      <c r="EO49" t="s">
        <v>4153</v>
      </c>
      <c r="EP49" t="s">
        <v>4153</v>
      </c>
      <c r="EQ49">
        <v>8</v>
      </c>
      <c r="ER49">
        <v>8</v>
      </c>
      <c r="ES49">
        <v>8</v>
      </c>
      <c r="ET49">
        <v>8</v>
      </c>
      <c r="EU49">
        <v>8</v>
      </c>
      <c r="EV49">
        <v>0.1</v>
      </c>
      <c r="EW49">
        <v>0.1</v>
      </c>
      <c r="EX49">
        <v>0.2</v>
      </c>
      <c r="EY49">
        <v>0.3</v>
      </c>
      <c r="EZ49">
        <v>0.3</v>
      </c>
      <c r="FA49">
        <f>EV49*EQ49</f>
        <v>0.8</v>
      </c>
      <c r="FB49">
        <f>EW49*ER49</f>
        <v>0.8</v>
      </c>
      <c r="FC49">
        <f>EX49*ES49</f>
        <v>1.6</v>
      </c>
      <c r="FD49">
        <f>EY49*ET49</f>
        <v>2.4</v>
      </c>
      <c r="FE49">
        <f>EZ49*EU49</f>
        <v>2.4</v>
      </c>
      <c r="FF49">
        <v>16</v>
      </c>
      <c r="FG49">
        <v>0</v>
      </c>
      <c r="FH49">
        <v>9</v>
      </c>
      <c r="FI49">
        <f>FA49+FB49+FC49+FD49+FE49</f>
        <v>8</v>
      </c>
      <c r="FJ49">
        <f>MEDIAN(EQ49:EU49)</f>
        <v>8</v>
      </c>
      <c r="FL49">
        <v>40.880000000000003</v>
      </c>
      <c r="FM49">
        <v>4.7</v>
      </c>
      <c r="FN49" t="s">
        <v>834</v>
      </c>
      <c r="FO49" t="s">
        <v>835</v>
      </c>
      <c r="FP49" t="s">
        <v>836</v>
      </c>
      <c r="FQ49" t="s">
        <v>837</v>
      </c>
      <c r="FR49" t="s">
        <v>838</v>
      </c>
      <c r="FS49">
        <v>6</v>
      </c>
      <c r="FT49">
        <v>8</v>
      </c>
      <c r="FU49">
        <v>5</v>
      </c>
      <c r="FV49">
        <v>4</v>
      </c>
      <c r="FW49">
        <v>2</v>
      </c>
      <c r="FX49">
        <v>0.1</v>
      </c>
      <c r="FY49">
        <v>0.1</v>
      </c>
      <c r="FZ49">
        <v>0.2</v>
      </c>
      <c r="GA49">
        <v>0.3</v>
      </c>
      <c r="GB49">
        <v>0.3</v>
      </c>
      <c r="GC49">
        <f>FS49*FX49</f>
        <v>0.60000000000000009</v>
      </c>
      <c r="GD49">
        <f>FT49*FY49</f>
        <v>0.8</v>
      </c>
      <c r="GE49">
        <f>FU49*FZ49</f>
        <v>1</v>
      </c>
      <c r="GF49">
        <f>FV49*GA49</f>
        <v>1.2</v>
      </c>
      <c r="GG49">
        <f>FW49*GB49</f>
        <v>0.6</v>
      </c>
      <c r="GH49">
        <v>4.7</v>
      </c>
      <c r="GJ49">
        <v>4.7</v>
      </c>
      <c r="GK49">
        <f>GC49+GD49+GE49+GF49+GG49</f>
        <v>4.2</v>
      </c>
      <c r="GL49">
        <f>MEDIAN(FS49:FW49)</f>
        <v>5</v>
      </c>
    </row>
    <row r="50" spans="1:194" hidden="1" x14ac:dyDescent="0.25">
      <c r="A50">
        <v>49</v>
      </c>
      <c r="B50" t="s">
        <v>2</v>
      </c>
      <c r="C50" s="4">
        <v>74.25</v>
      </c>
      <c r="D50">
        <v>3.3</v>
      </c>
      <c r="E50" s="1">
        <f>C50/3/D50</f>
        <v>7.5</v>
      </c>
      <c r="G50">
        <v>34.75</v>
      </c>
      <c r="H50">
        <v>8.1999999999999993</v>
      </c>
      <c r="I50">
        <f>H50*D50*3</f>
        <v>81.179999999999978</v>
      </c>
      <c r="J50">
        <v>17.47</v>
      </c>
      <c r="K50">
        <v>9</v>
      </c>
      <c r="L50" s="3">
        <f>K50*3*D50</f>
        <v>89.1</v>
      </c>
      <c r="M50">
        <v>4.7</v>
      </c>
      <c r="N50">
        <v>3</v>
      </c>
      <c r="O50">
        <f>N50*D50*3</f>
        <v>29.699999999999996</v>
      </c>
      <c r="P50" s="5">
        <v>7</v>
      </c>
      <c r="Q50" s="5">
        <f>P50*D50*3</f>
        <v>69.3</v>
      </c>
      <c r="S50" t="s">
        <v>6187</v>
      </c>
      <c r="T50">
        <v>7</v>
      </c>
      <c r="U50" s="8">
        <f>T50*D50*3</f>
        <v>69.3</v>
      </c>
      <c r="V50">
        <v>59.57</v>
      </c>
      <c r="W50">
        <v>8</v>
      </c>
      <c r="X50" s="5">
        <f>W50*D50*3</f>
        <v>79.199999999999989</v>
      </c>
      <c r="Y50">
        <v>12.24</v>
      </c>
      <c r="Z50">
        <v>6.8</v>
      </c>
      <c r="AA50">
        <f>Z50*D50*3</f>
        <v>67.319999999999993</v>
      </c>
      <c r="AC50">
        <v>47.39</v>
      </c>
      <c r="AD50">
        <v>8</v>
      </c>
      <c r="AE50" s="1">
        <f>AD50*3*D50</f>
        <v>79.199999999999989</v>
      </c>
      <c r="AF50">
        <v>11.83</v>
      </c>
      <c r="AG50" s="5">
        <v>7</v>
      </c>
      <c r="AH50" s="5">
        <f>AG50*D50*3</f>
        <v>69.3</v>
      </c>
      <c r="AI50" s="13"/>
      <c r="AK50" s="8">
        <f>AJ50*D50*3</f>
        <v>0</v>
      </c>
      <c r="AL50" s="13"/>
      <c r="AM50">
        <v>31.34</v>
      </c>
      <c r="AN50">
        <v>6.9</v>
      </c>
      <c r="AO50" s="8">
        <f>AN50*D50*3</f>
        <v>68.31</v>
      </c>
      <c r="AP50">
        <v>13.88</v>
      </c>
      <c r="AQ50">
        <v>9.1</v>
      </c>
      <c r="AR50">
        <f>AQ50*D50*3</f>
        <v>90.089999999999989</v>
      </c>
      <c r="AS50">
        <v>10.23</v>
      </c>
      <c r="AT50">
        <v>8.8000000000000007</v>
      </c>
      <c r="AU50">
        <f>AT50*D50*3</f>
        <v>87.12</v>
      </c>
      <c r="AW50">
        <v>28.2</v>
      </c>
      <c r="AX50">
        <v>8.8000000000000007</v>
      </c>
      <c r="AY50">
        <f>AX50*D50*3</f>
        <v>87.12</v>
      </c>
      <c r="AZ50">
        <v>28.2</v>
      </c>
      <c r="BA50">
        <v>8.9</v>
      </c>
      <c r="BB50">
        <f>BA50*D50*3</f>
        <v>88.11</v>
      </c>
      <c r="BD50">
        <v>6.8</v>
      </c>
      <c r="BE50">
        <f>BD50*D50*3</f>
        <v>67.319999999999993</v>
      </c>
      <c r="BG50" s="10"/>
      <c r="BH50" s="1">
        <f>CHOOSE(MATCH(MIN(ABS(BP50-C50),ABS(BQ50-C50),ABS(BR50-C50)),CHOOSE({1;2;3},ABS(BP50-C50),ABS(BQ50-C50),ABS(BR50-C50)),0),BP50,BQ50,BR50)</f>
        <v>79.199999999999989</v>
      </c>
      <c r="BJ50" s="1" cm="1">
        <f t="array" ref="BJ50">(INDEX(_xlfn._xlws.SORT(CHOOSE({1;2;3;4;5;6},BQ50,BR50,L50,AE50,BO50,BP50)),3) + INDEX(_xlfn._xlws.SORT(CHOOSE({1;2;3;4;5;6},BQ50,BR50,L50,AE50,BO50,BP50)),4))/2</f>
        <v>79.199999999999989</v>
      </c>
      <c r="BK50">
        <v>7.5280286914137298</v>
      </c>
      <c r="BL50" t="s">
        <v>6117</v>
      </c>
      <c r="BM50" s="1">
        <f>BK50*3*D50</f>
        <v>74.527484044995916</v>
      </c>
      <c r="BN50" s="1">
        <f>BM50-C50</f>
        <v>0.27748404499591572</v>
      </c>
      <c r="BO50" s="1">
        <f>GK50*3*D50</f>
        <v>48.51</v>
      </c>
      <c r="BP50" s="1">
        <f>DO50*3*D50</f>
        <v>89.1</v>
      </c>
      <c r="BQ50" s="1">
        <f>FJ50*3*D50</f>
        <v>79.199999999999989</v>
      </c>
      <c r="BR50" s="1">
        <f>GL50*3*D50</f>
        <v>49.5</v>
      </c>
      <c r="BT50">
        <v>34.75</v>
      </c>
      <c r="BU50">
        <v>8.1999999999999993</v>
      </c>
      <c r="BV50" t="s">
        <v>5114</v>
      </c>
      <c r="BW50" t="s">
        <v>5171</v>
      </c>
      <c r="BX50" t="s">
        <v>5172</v>
      </c>
      <c r="BY50" t="s">
        <v>5173</v>
      </c>
      <c r="BZ50" t="s">
        <v>5174</v>
      </c>
      <c r="CA50" t="s">
        <v>2781</v>
      </c>
      <c r="CC50" t="s">
        <v>2782</v>
      </c>
      <c r="CD50" t="s">
        <v>2674</v>
      </c>
      <c r="CE50" t="s">
        <v>2783</v>
      </c>
      <c r="CG50" t="s">
        <v>2675</v>
      </c>
      <c r="CH50" t="s">
        <v>2674</v>
      </c>
      <c r="CI50" t="s">
        <v>2784</v>
      </c>
      <c r="CK50" t="s">
        <v>2785</v>
      </c>
      <c r="CL50" t="s">
        <v>2674</v>
      </c>
      <c r="CM50" t="s">
        <v>2786</v>
      </c>
      <c r="CO50" t="s">
        <v>2787</v>
      </c>
      <c r="CP50" t="s">
        <v>2674</v>
      </c>
      <c r="CQ50" t="s">
        <v>2788</v>
      </c>
      <c r="CS50" t="s">
        <v>2789</v>
      </c>
      <c r="CT50" t="s">
        <v>2674</v>
      </c>
      <c r="CV50">
        <v>9</v>
      </c>
      <c r="CW50">
        <v>9</v>
      </c>
      <c r="CX50">
        <v>9</v>
      </c>
      <c r="CY50">
        <v>9</v>
      </c>
      <c r="CZ50">
        <v>9</v>
      </c>
      <c r="DA50">
        <v>0.1</v>
      </c>
      <c r="DB50">
        <v>0.1</v>
      </c>
      <c r="DC50">
        <v>0.2</v>
      </c>
      <c r="DD50">
        <v>0.3</v>
      </c>
      <c r="DE50">
        <v>0.3</v>
      </c>
      <c r="DF50">
        <v>0.9</v>
      </c>
      <c r="DG50">
        <v>0.9</v>
      </c>
      <c r="DH50">
        <v>1.8</v>
      </c>
      <c r="DI50">
        <v>2.7</v>
      </c>
      <c r="DJ50">
        <v>2.7</v>
      </c>
      <c r="DK50">
        <v>8.1999999999999993</v>
      </c>
      <c r="DL50">
        <v>0</v>
      </c>
      <c r="DM50">
        <v>8.1999999999999993</v>
      </c>
      <c r="DN50">
        <v>9</v>
      </c>
      <c r="DO50">
        <f>AVERAGE(CV50:CZ50)</f>
        <v>9</v>
      </c>
      <c r="DQ50">
        <v>8</v>
      </c>
      <c r="DR50" t="s">
        <v>33</v>
      </c>
      <c r="DS50" t="s">
        <v>170</v>
      </c>
      <c r="DT50" t="s">
        <v>98</v>
      </c>
      <c r="DU50" t="s">
        <v>171</v>
      </c>
      <c r="DV50" t="s">
        <v>172</v>
      </c>
      <c r="DW50" t="s">
        <v>3788</v>
      </c>
      <c r="DX50" t="s">
        <v>3789</v>
      </c>
      <c r="DY50" t="s">
        <v>3974</v>
      </c>
      <c r="DZ50" t="s">
        <v>3975</v>
      </c>
      <c r="EA50" t="s">
        <v>3934</v>
      </c>
      <c r="EB50" t="s">
        <v>3793</v>
      </c>
      <c r="EC50" t="s">
        <v>3976</v>
      </c>
      <c r="ED50" t="s">
        <v>4154</v>
      </c>
      <c r="EE50" t="s">
        <v>3978</v>
      </c>
      <c r="EF50" t="s">
        <v>3797</v>
      </c>
      <c r="EG50" t="s">
        <v>4155</v>
      </c>
      <c r="EH50" t="s">
        <v>4156</v>
      </c>
      <c r="EI50" t="s">
        <v>3981</v>
      </c>
      <c r="EJ50" t="s">
        <v>3800</v>
      </c>
      <c r="EK50" t="s">
        <v>3982</v>
      </c>
      <c r="EL50" t="s">
        <v>4157</v>
      </c>
      <c r="EM50" t="s">
        <v>4158</v>
      </c>
      <c r="EN50" t="s">
        <v>3803</v>
      </c>
      <c r="EO50" t="s">
        <v>3985</v>
      </c>
      <c r="EP50" t="s">
        <v>4159</v>
      </c>
      <c r="EQ50">
        <v>8</v>
      </c>
      <c r="ER50">
        <v>8</v>
      </c>
      <c r="ES50">
        <v>8</v>
      </c>
      <c r="ET50">
        <v>8</v>
      </c>
      <c r="EU50">
        <v>8</v>
      </c>
      <c r="EV50">
        <v>0.1</v>
      </c>
      <c r="EW50">
        <v>0.1</v>
      </c>
      <c r="EX50">
        <v>0.2</v>
      </c>
      <c r="EY50">
        <v>0.3</v>
      </c>
      <c r="EZ50">
        <v>0.3</v>
      </c>
      <c r="FA50">
        <f>EV50*EQ50</f>
        <v>0.8</v>
      </c>
      <c r="FB50">
        <f>EW50*ER50</f>
        <v>0.8</v>
      </c>
      <c r="FC50">
        <f>EX50*ES50</f>
        <v>1.6</v>
      </c>
      <c r="FD50">
        <f>EY50*ET50</f>
        <v>2.4</v>
      </c>
      <c r="FE50">
        <f>EZ50*EU50</f>
        <v>2.4</v>
      </c>
      <c r="FF50">
        <v>16</v>
      </c>
      <c r="FG50">
        <v>0</v>
      </c>
      <c r="FH50">
        <v>8</v>
      </c>
      <c r="FI50">
        <f>FA50+FB50+FC50+FD50+FE50</f>
        <v>8</v>
      </c>
      <c r="FJ50">
        <f>MEDIAN(EQ50:EU50)</f>
        <v>8</v>
      </c>
      <c r="FL50">
        <v>37.68</v>
      </c>
      <c r="FM50">
        <v>8.5</v>
      </c>
      <c r="FN50" t="s">
        <v>839</v>
      </c>
      <c r="FO50" t="s">
        <v>840</v>
      </c>
      <c r="FP50" t="s">
        <v>841</v>
      </c>
      <c r="FQ50" t="s">
        <v>842</v>
      </c>
      <c r="FR50" t="s">
        <v>843</v>
      </c>
      <c r="FS50">
        <v>5</v>
      </c>
      <c r="FT50">
        <v>6</v>
      </c>
      <c r="FU50">
        <v>4</v>
      </c>
      <c r="FV50">
        <v>7</v>
      </c>
      <c r="FW50">
        <v>3</v>
      </c>
      <c r="FX50">
        <v>0.1</v>
      </c>
      <c r="FY50">
        <v>0.1</v>
      </c>
      <c r="FZ50">
        <v>0.2</v>
      </c>
      <c r="GA50">
        <v>0.3</v>
      </c>
      <c r="GB50">
        <v>0.3</v>
      </c>
      <c r="GC50">
        <f>FS50*FX50</f>
        <v>0.5</v>
      </c>
      <c r="GD50">
        <f>FT50*FY50</f>
        <v>0.60000000000000009</v>
      </c>
      <c r="GE50">
        <f>FU50*FZ50</f>
        <v>0.8</v>
      </c>
      <c r="GF50">
        <f>FV50*GA50</f>
        <v>2.1</v>
      </c>
      <c r="GG50">
        <f>FW50*GB50</f>
        <v>0.89999999999999991</v>
      </c>
      <c r="GH50">
        <v>9</v>
      </c>
      <c r="GI50">
        <v>-0.5</v>
      </c>
      <c r="GJ50">
        <v>8.5</v>
      </c>
      <c r="GK50">
        <f>GC50+GD50+GE50+GF50+GG50</f>
        <v>4.9000000000000004</v>
      </c>
      <c r="GL50">
        <f>MEDIAN(FS50:FW50)</f>
        <v>5</v>
      </c>
    </row>
    <row r="51" spans="1:194" hidden="1" x14ac:dyDescent="0.25">
      <c r="A51">
        <v>50</v>
      </c>
      <c r="B51" t="s">
        <v>2</v>
      </c>
      <c r="C51" s="4">
        <v>56.1</v>
      </c>
      <c r="D51">
        <v>3.3</v>
      </c>
      <c r="E51" s="1">
        <f>C51/3/D51</f>
        <v>5.666666666666667</v>
      </c>
      <c r="G51">
        <v>38.81</v>
      </c>
      <c r="H51">
        <v>8</v>
      </c>
      <c r="I51">
        <f>H51*D51*3</f>
        <v>79.199999999999989</v>
      </c>
      <c r="J51">
        <v>18.11</v>
      </c>
      <c r="K51">
        <v>9</v>
      </c>
      <c r="L51" s="3">
        <f>K51*3*D51</f>
        <v>89.1</v>
      </c>
      <c r="M51">
        <v>5.07</v>
      </c>
      <c r="N51">
        <v>5</v>
      </c>
      <c r="O51">
        <f>N51*D51*3</f>
        <v>49.5</v>
      </c>
      <c r="P51" s="5">
        <v>7.4</v>
      </c>
      <c r="Q51" s="5">
        <f>P51*D51*3</f>
        <v>73.259999999999991</v>
      </c>
      <c r="S51" t="s">
        <v>6188</v>
      </c>
      <c r="T51">
        <v>5.5</v>
      </c>
      <c r="U51" s="8">
        <f>T51*D51*3</f>
        <v>54.449999999999996</v>
      </c>
      <c r="V51">
        <v>58.76</v>
      </c>
      <c r="W51">
        <v>8</v>
      </c>
      <c r="X51" s="5">
        <f>W51*D51*3</f>
        <v>79.199999999999989</v>
      </c>
      <c r="Y51">
        <v>11.04</v>
      </c>
      <c r="Z51">
        <v>7.5</v>
      </c>
      <c r="AA51">
        <f>Z51*D51*3</f>
        <v>74.25</v>
      </c>
      <c r="AC51">
        <v>51.35</v>
      </c>
      <c r="AD51">
        <v>5.8</v>
      </c>
      <c r="AE51" s="1">
        <f>AD51*3*D51</f>
        <v>57.419999999999995</v>
      </c>
      <c r="AF51">
        <v>11.88</v>
      </c>
      <c r="AG51" s="5">
        <v>7</v>
      </c>
      <c r="AH51" s="5">
        <f>AG51*D51*3</f>
        <v>69.3</v>
      </c>
      <c r="AI51" s="13"/>
      <c r="AJ51">
        <v>2.7</v>
      </c>
      <c r="AK51" s="8">
        <f>AJ51*D51*3</f>
        <v>26.73</v>
      </c>
      <c r="AL51" s="13"/>
      <c r="AM51">
        <v>31.06</v>
      </c>
      <c r="AN51">
        <v>7.6</v>
      </c>
      <c r="AO51" s="8">
        <f>AN51*D51*3</f>
        <v>75.239999999999995</v>
      </c>
      <c r="AP51">
        <v>13.03</v>
      </c>
      <c r="AQ51">
        <v>10</v>
      </c>
      <c r="AR51">
        <f>AQ51*D51*3</f>
        <v>99</v>
      </c>
      <c r="AS51">
        <v>10.58</v>
      </c>
      <c r="AT51">
        <v>8.5</v>
      </c>
      <c r="AU51">
        <f>AT51*D51*3</f>
        <v>84.149999999999991</v>
      </c>
      <c r="AW51">
        <v>26</v>
      </c>
      <c r="AX51">
        <v>9.1</v>
      </c>
      <c r="AY51">
        <f>AX51*D51*3</f>
        <v>90.089999999999989</v>
      </c>
      <c r="AZ51">
        <v>26</v>
      </c>
      <c r="BA51">
        <v>8.4</v>
      </c>
      <c r="BB51">
        <f>BA51*D51*3</f>
        <v>83.16</v>
      </c>
      <c r="BD51">
        <v>7.2</v>
      </c>
      <c r="BE51">
        <f>BD51*D51*3</f>
        <v>71.28</v>
      </c>
      <c r="BG51" s="10"/>
      <c r="BH51" s="1">
        <f>CHOOSE(MATCH(MIN(ABS(BP51-C51),ABS(BQ51-C51),ABS(BR51-C51)),CHOOSE({1;2;3},ABS(BP51-C51),ABS(BQ51-C51),ABS(BR51-C51)),0),BP51,BQ51,BR51)</f>
        <v>59.4</v>
      </c>
      <c r="BJ51" s="1" cm="1">
        <f t="array" ref="BJ51">(INDEX(_xlfn._xlws.SORT(CHOOSE({1;2;3;4;5;6},BQ51,BR51,L51,AE51,BO51,BP51)),3) + INDEX(_xlfn._xlws.SORT(CHOOSE({1;2;3;4;5;6},BQ51,BR51,L51,AE51,BO51,BP51)),4))/2</f>
        <v>79.942499999999995</v>
      </c>
      <c r="BK51">
        <v>5.6775451324072899</v>
      </c>
      <c r="BL51" t="s">
        <v>6117</v>
      </c>
      <c r="BM51" s="1">
        <f>BK51*3*D51</f>
        <v>56.207696810832168</v>
      </c>
      <c r="BN51" s="1">
        <f>BM51-C51</f>
        <v>0.10769681083216653</v>
      </c>
      <c r="BO51" s="1">
        <f>GK51*3*D51</f>
        <v>80.684999999999988</v>
      </c>
      <c r="BP51" s="1">
        <f>DO51*3*D51</f>
        <v>89.1</v>
      </c>
      <c r="BQ51" s="1">
        <f>FJ51*3*D51</f>
        <v>59.4</v>
      </c>
      <c r="BR51" s="1">
        <f>GL51*3*D51</f>
        <v>79.199999999999989</v>
      </c>
      <c r="BT51">
        <v>38.81</v>
      </c>
      <c r="BU51">
        <v>8</v>
      </c>
      <c r="BV51" t="s">
        <v>5175</v>
      </c>
      <c r="BW51" t="s">
        <v>5176</v>
      </c>
      <c r="BX51" t="s">
        <v>5025</v>
      </c>
      <c r="BY51" t="s">
        <v>5177</v>
      </c>
      <c r="BZ51" t="s">
        <v>5178</v>
      </c>
      <c r="CA51" t="s">
        <v>2790</v>
      </c>
      <c r="CC51" t="s">
        <v>2438</v>
      </c>
      <c r="CD51" t="s">
        <v>2453</v>
      </c>
      <c r="CE51" t="s">
        <v>2586</v>
      </c>
      <c r="CG51" t="s">
        <v>2791</v>
      </c>
      <c r="CH51" t="s">
        <v>2587</v>
      </c>
      <c r="CI51" t="s">
        <v>2567</v>
      </c>
      <c r="CK51" t="s">
        <v>2792</v>
      </c>
      <c r="CL51" t="s">
        <v>2588</v>
      </c>
      <c r="CM51" t="s">
        <v>2589</v>
      </c>
      <c r="CO51" t="s">
        <v>2793</v>
      </c>
      <c r="CP51" t="s">
        <v>2590</v>
      </c>
      <c r="CQ51" t="s">
        <v>2591</v>
      </c>
      <c r="CS51" t="s">
        <v>2794</v>
      </c>
      <c r="CT51" t="s">
        <v>2592</v>
      </c>
      <c r="CV51">
        <v>9</v>
      </c>
      <c r="CW51">
        <v>9</v>
      </c>
      <c r="CX51">
        <v>9</v>
      </c>
      <c r="CY51">
        <v>9</v>
      </c>
      <c r="CZ51">
        <v>9</v>
      </c>
      <c r="DA51">
        <v>0.1</v>
      </c>
      <c r="DB51">
        <v>0.1</v>
      </c>
      <c r="DC51">
        <v>0.2</v>
      </c>
      <c r="DD51">
        <v>0.3</v>
      </c>
      <c r="DE51">
        <v>0.3</v>
      </c>
      <c r="DF51">
        <v>0.9</v>
      </c>
      <c r="DG51">
        <v>0.9</v>
      </c>
      <c r="DH51">
        <v>1.8</v>
      </c>
      <c r="DI51">
        <v>2.7</v>
      </c>
      <c r="DJ51">
        <v>2.7</v>
      </c>
      <c r="DK51">
        <v>8</v>
      </c>
      <c r="DL51">
        <v>0</v>
      </c>
      <c r="DM51">
        <v>8</v>
      </c>
      <c r="DN51">
        <v>9</v>
      </c>
      <c r="DO51">
        <f>AVERAGE(CV51:CZ51)</f>
        <v>9</v>
      </c>
      <c r="DQ51" t="s">
        <v>27</v>
      </c>
      <c r="DR51" t="s">
        <v>173</v>
      </c>
      <c r="DS51" t="s">
        <v>174</v>
      </c>
      <c r="DT51" t="s">
        <v>175</v>
      </c>
      <c r="DU51" t="s">
        <v>176</v>
      </c>
      <c r="DV51" t="s">
        <v>177</v>
      </c>
      <c r="DW51" t="s">
        <v>3911</v>
      </c>
      <c r="DX51" t="s">
        <v>4160</v>
      </c>
      <c r="DY51" t="s">
        <v>4161</v>
      </c>
      <c r="DZ51" t="s">
        <v>4162</v>
      </c>
      <c r="EA51" t="s">
        <v>4163</v>
      </c>
      <c r="EB51" t="s">
        <v>3931</v>
      </c>
      <c r="EC51" t="s">
        <v>4164</v>
      </c>
      <c r="ED51" t="s">
        <v>4165</v>
      </c>
      <c r="EE51" t="s">
        <v>4166</v>
      </c>
      <c r="EF51" t="s">
        <v>3813</v>
      </c>
      <c r="EG51" t="s">
        <v>4049</v>
      </c>
      <c r="EH51" t="s">
        <v>4167</v>
      </c>
      <c r="EI51" t="s">
        <v>4168</v>
      </c>
      <c r="EJ51" t="s">
        <v>4168</v>
      </c>
      <c r="EK51" t="s">
        <v>4169</v>
      </c>
      <c r="EL51" t="s">
        <v>4170</v>
      </c>
      <c r="EM51" t="s">
        <v>4171</v>
      </c>
      <c r="EN51" t="s">
        <v>4171</v>
      </c>
      <c r="EO51" t="s">
        <v>4172</v>
      </c>
      <c r="EP51" t="s">
        <v>4173</v>
      </c>
      <c r="EQ51">
        <v>4</v>
      </c>
      <c r="ER51">
        <v>6</v>
      </c>
      <c r="ES51">
        <v>6</v>
      </c>
      <c r="ET51">
        <v>6</v>
      </c>
      <c r="EU51">
        <v>6</v>
      </c>
      <c r="EV51">
        <v>0.1</v>
      </c>
      <c r="EW51">
        <v>0.1</v>
      </c>
      <c r="EX51">
        <v>0.2</v>
      </c>
      <c r="EY51">
        <v>0.3</v>
      </c>
      <c r="EZ51">
        <v>0.3</v>
      </c>
      <c r="FA51">
        <f>EV51*EQ51</f>
        <v>0.4</v>
      </c>
      <c r="FB51">
        <f>EW51*ER51</f>
        <v>0.60000000000000009</v>
      </c>
      <c r="FC51">
        <f>EX51*ES51</f>
        <v>1.2000000000000002</v>
      </c>
      <c r="FD51">
        <f>EY51*ET51</f>
        <v>1.7999999999999998</v>
      </c>
      <c r="FE51">
        <f>EZ51*EU51</f>
        <v>1.7999999999999998</v>
      </c>
      <c r="FF51">
        <v>15</v>
      </c>
      <c r="FG51">
        <v>0</v>
      </c>
      <c r="FH51">
        <v>15</v>
      </c>
      <c r="FI51">
        <f>FA51+FB51+FC51+FD51+FE51</f>
        <v>5.8</v>
      </c>
      <c r="FJ51">
        <f>MEDIAN(EQ51:EU51)</f>
        <v>6</v>
      </c>
      <c r="FL51">
        <v>41.35</v>
      </c>
      <c r="FM51">
        <v>8.5</v>
      </c>
      <c r="FN51" t="s">
        <v>844</v>
      </c>
      <c r="FO51" t="s">
        <v>845</v>
      </c>
      <c r="FP51" t="s">
        <v>846</v>
      </c>
      <c r="FQ51" t="s">
        <v>847</v>
      </c>
      <c r="FR51" t="s">
        <v>848</v>
      </c>
      <c r="FS51">
        <v>6</v>
      </c>
      <c r="FT51">
        <v>7</v>
      </c>
      <c r="FU51">
        <v>8</v>
      </c>
      <c r="FV51">
        <v>9</v>
      </c>
      <c r="FW51">
        <v>8.5</v>
      </c>
      <c r="FX51">
        <v>0.1</v>
      </c>
      <c r="FY51">
        <v>0.1</v>
      </c>
      <c r="FZ51">
        <v>0.2</v>
      </c>
      <c r="GA51">
        <v>0.3</v>
      </c>
      <c r="GB51">
        <v>0.3</v>
      </c>
      <c r="GC51">
        <f>FS51*FX51</f>
        <v>0.60000000000000009</v>
      </c>
      <c r="GD51">
        <f>FT51*FY51</f>
        <v>0.70000000000000007</v>
      </c>
      <c r="GE51">
        <f>FU51*FZ51</f>
        <v>1.6</v>
      </c>
      <c r="GF51">
        <f>FV51*GA51</f>
        <v>2.6999999999999997</v>
      </c>
      <c r="GG51">
        <f>FW51*GB51</f>
        <v>2.5499999999999998</v>
      </c>
      <c r="GH51">
        <v>8.4499999999999993</v>
      </c>
      <c r="GI51">
        <v>0.05</v>
      </c>
      <c r="GJ51">
        <v>8.5</v>
      </c>
      <c r="GK51">
        <f>GC51+GD51+GE51+GF51+GG51</f>
        <v>8.1499999999999986</v>
      </c>
      <c r="GL51">
        <f>MEDIAN(FS51:FW51)</f>
        <v>8</v>
      </c>
    </row>
    <row r="52" spans="1:194" hidden="1" x14ac:dyDescent="0.25">
      <c r="A52">
        <v>51</v>
      </c>
      <c r="B52" t="s">
        <v>2</v>
      </c>
      <c r="C52" s="4">
        <v>89.1</v>
      </c>
      <c r="D52">
        <v>3.3</v>
      </c>
      <c r="E52" s="1">
        <f>C52/3/D52</f>
        <v>9</v>
      </c>
      <c r="G52">
        <v>36.43</v>
      </c>
      <c r="H52">
        <v>8</v>
      </c>
      <c r="I52">
        <f>H52*D52*3</f>
        <v>79.199999999999989</v>
      </c>
      <c r="J52">
        <v>17.559999999999999</v>
      </c>
      <c r="K52">
        <v>9</v>
      </c>
      <c r="L52" s="3">
        <f>K52*3*D52</f>
        <v>89.1</v>
      </c>
      <c r="M52">
        <v>4.76</v>
      </c>
      <c r="N52">
        <v>6.5</v>
      </c>
      <c r="O52">
        <f>N52*D52*3</f>
        <v>64.349999999999994</v>
      </c>
      <c r="P52" s="5">
        <v>8.5</v>
      </c>
      <c r="Q52" s="5">
        <f>P52*D52*3</f>
        <v>84.149999999999991</v>
      </c>
      <c r="S52" t="s">
        <v>6189</v>
      </c>
      <c r="T52">
        <v>5.5</v>
      </c>
      <c r="U52" s="8">
        <f>T52*D52*3</f>
        <v>54.449999999999996</v>
      </c>
      <c r="V52">
        <v>54.08</v>
      </c>
      <c r="W52">
        <v>8.4</v>
      </c>
      <c r="X52" s="5">
        <f>W52*D52*3</f>
        <v>83.16</v>
      </c>
      <c r="Y52">
        <v>12.21</v>
      </c>
      <c r="Z52">
        <v>7.8</v>
      </c>
      <c r="AA52">
        <f>Z52*D52*3</f>
        <v>77.22</v>
      </c>
      <c r="AC52">
        <v>47.3</v>
      </c>
      <c r="AD52">
        <v>7.9</v>
      </c>
      <c r="AE52" s="1">
        <f>AD52*3*D52</f>
        <v>78.210000000000008</v>
      </c>
      <c r="AF52">
        <v>11.93</v>
      </c>
      <c r="AG52" s="5">
        <v>7</v>
      </c>
      <c r="AH52" s="5">
        <f>AG52*D52*3</f>
        <v>69.3</v>
      </c>
      <c r="AI52" s="13"/>
      <c r="AJ52">
        <v>8.1999999999999993</v>
      </c>
      <c r="AK52" s="8">
        <f>AJ52*D52*3</f>
        <v>81.179999999999978</v>
      </c>
      <c r="AL52" s="13"/>
      <c r="AM52">
        <v>30.94</v>
      </c>
      <c r="AN52">
        <v>7.6</v>
      </c>
      <c r="AO52" s="8">
        <f>AN52*D52*3</f>
        <v>75.239999999999995</v>
      </c>
      <c r="AP52">
        <v>12.83</v>
      </c>
      <c r="AQ52">
        <v>9.1999999999999993</v>
      </c>
      <c r="AR52">
        <f>AQ52*D52*3</f>
        <v>91.079999999999984</v>
      </c>
      <c r="AS52">
        <v>9.9700000000000006</v>
      </c>
      <c r="AT52">
        <v>9</v>
      </c>
      <c r="AU52">
        <f>AT52*D52*3</f>
        <v>89.1</v>
      </c>
      <c r="AW52">
        <v>23.78</v>
      </c>
      <c r="AX52">
        <v>9.3000000000000007</v>
      </c>
      <c r="AY52">
        <f>AX52*D52*3</f>
        <v>92.070000000000007</v>
      </c>
      <c r="AZ52">
        <v>23.78</v>
      </c>
      <c r="BA52">
        <v>9</v>
      </c>
      <c r="BB52">
        <f>BA52*D52*3</f>
        <v>89.1</v>
      </c>
      <c r="BD52">
        <v>9</v>
      </c>
      <c r="BE52">
        <f>BD52*D52*3</f>
        <v>89.1</v>
      </c>
      <c r="BG52" s="10"/>
      <c r="BH52" s="1">
        <f>CHOOSE(MATCH(MIN(ABS(BP52-C52),ABS(BQ52-C52),ABS(BR52-C52)),CHOOSE({1;2;3},ABS(BP52-C52),ABS(BQ52-C52),ABS(BR52-C52)),0),BP52,BQ52,BR52)</f>
        <v>89.1</v>
      </c>
      <c r="BJ52" s="1" cm="1">
        <f t="array" ref="BJ52">(INDEX(_xlfn._xlws.SORT(CHOOSE({1;2;3;4;5;6},BQ52,BR52,L52,AE52,BO52,BP52)),3) + INDEX(_xlfn._xlws.SORT(CHOOSE({1;2;3;4;5;6},BQ52,BR52,L52,AE52,BO52,BP52)),4))/2</f>
        <v>78.704999999999998</v>
      </c>
      <c r="BK52">
        <v>8.9537578137327394</v>
      </c>
      <c r="BL52" t="s">
        <v>6117</v>
      </c>
      <c r="BM52" s="1">
        <f>BK52*3*D52</f>
        <v>88.642202355954112</v>
      </c>
      <c r="BN52" s="1">
        <f>BM52-C52</f>
        <v>-0.45779764404588263</v>
      </c>
      <c r="BO52" s="1">
        <f>GK52*3*D52</f>
        <v>66.329999999999984</v>
      </c>
      <c r="BP52" s="1">
        <f>DO52*3*D52</f>
        <v>89.1</v>
      </c>
      <c r="BQ52" s="1">
        <f>FJ52*3*D52</f>
        <v>79.199999999999989</v>
      </c>
      <c r="BR52" s="1">
        <f>GL52*3*D52</f>
        <v>69.3</v>
      </c>
      <c r="BT52">
        <v>36.43</v>
      </c>
      <c r="BU52">
        <v>8</v>
      </c>
      <c r="BV52" t="s">
        <v>4991</v>
      </c>
      <c r="BW52" t="s">
        <v>5043</v>
      </c>
      <c r="BX52" t="s">
        <v>5179</v>
      </c>
      <c r="BY52" t="s">
        <v>5180</v>
      </c>
      <c r="BZ52" t="s">
        <v>5181</v>
      </c>
      <c r="CA52" t="s">
        <v>2550</v>
      </c>
      <c r="CC52" t="s">
        <v>2551</v>
      </c>
      <c r="CD52" t="s">
        <v>2552</v>
      </c>
      <c r="CE52" t="s">
        <v>2553</v>
      </c>
      <c r="CG52" t="s">
        <v>2424</v>
      </c>
      <c r="CH52" t="s">
        <v>2554</v>
      </c>
      <c r="CI52" t="s">
        <v>2555</v>
      </c>
      <c r="CK52" t="s">
        <v>2556</v>
      </c>
      <c r="CL52" t="s">
        <v>2557</v>
      </c>
      <c r="CM52" t="s">
        <v>2558</v>
      </c>
      <c r="CO52" t="s">
        <v>2431</v>
      </c>
      <c r="CP52" t="s">
        <v>2559</v>
      </c>
      <c r="CQ52" t="s">
        <v>2560</v>
      </c>
      <c r="CS52" t="s">
        <v>2435</v>
      </c>
      <c r="CT52" t="s">
        <v>2562</v>
      </c>
      <c r="CV52">
        <v>9</v>
      </c>
      <c r="CW52">
        <v>9</v>
      </c>
      <c r="CX52">
        <v>9</v>
      </c>
      <c r="CY52">
        <v>9</v>
      </c>
      <c r="CZ52">
        <v>9</v>
      </c>
      <c r="DA52">
        <v>0.1</v>
      </c>
      <c r="DB52">
        <v>0.1</v>
      </c>
      <c r="DC52">
        <v>0.2</v>
      </c>
      <c r="DD52">
        <v>0.3</v>
      </c>
      <c r="DE52">
        <v>0.3</v>
      </c>
      <c r="DF52">
        <v>0.9</v>
      </c>
      <c r="DG52">
        <v>0.9</v>
      </c>
      <c r="DH52">
        <v>1.8</v>
      </c>
      <c r="DI52">
        <v>2.7</v>
      </c>
      <c r="DJ52">
        <v>2.7</v>
      </c>
      <c r="DK52">
        <v>8</v>
      </c>
      <c r="DL52">
        <v>0</v>
      </c>
      <c r="DM52">
        <v>8</v>
      </c>
      <c r="DN52">
        <v>9</v>
      </c>
      <c r="DO52">
        <f>AVERAGE(CV52:CZ52)</f>
        <v>9</v>
      </c>
      <c r="DQ52">
        <v>8</v>
      </c>
      <c r="DR52" t="s">
        <v>28</v>
      </c>
      <c r="DS52" t="s">
        <v>43</v>
      </c>
      <c r="DT52" t="s">
        <v>178</v>
      </c>
      <c r="DU52" t="s">
        <v>45</v>
      </c>
      <c r="DV52" t="s">
        <v>158</v>
      </c>
      <c r="DW52" t="s">
        <v>3769</v>
      </c>
      <c r="DX52" t="s">
        <v>3770</v>
      </c>
      <c r="DY52" t="s">
        <v>3771</v>
      </c>
      <c r="DZ52" t="s">
        <v>3772</v>
      </c>
      <c r="EA52" t="s">
        <v>3806</v>
      </c>
      <c r="EB52" t="s">
        <v>3807</v>
      </c>
      <c r="EC52" t="s">
        <v>3775</v>
      </c>
      <c r="ED52" t="s">
        <v>3776</v>
      </c>
      <c r="EE52" t="s">
        <v>3819</v>
      </c>
      <c r="EF52" t="s">
        <v>4104</v>
      </c>
      <c r="EG52" t="s">
        <v>3810</v>
      </c>
      <c r="EH52" t="s">
        <v>3811</v>
      </c>
      <c r="EI52" t="s">
        <v>3820</v>
      </c>
      <c r="EJ52" t="s">
        <v>4174</v>
      </c>
      <c r="EK52" t="s">
        <v>4175</v>
      </c>
      <c r="EL52" t="s">
        <v>3856</v>
      </c>
      <c r="EM52" t="s">
        <v>3816</v>
      </c>
      <c r="EN52" t="s">
        <v>4050</v>
      </c>
      <c r="EO52" t="s">
        <v>4176</v>
      </c>
      <c r="EP52" t="s">
        <v>4177</v>
      </c>
      <c r="EQ52">
        <v>7</v>
      </c>
      <c r="ER52">
        <v>8</v>
      </c>
      <c r="ES52">
        <v>8</v>
      </c>
      <c r="ET52">
        <v>8</v>
      </c>
      <c r="EU52">
        <v>8</v>
      </c>
      <c r="EV52">
        <v>0.1</v>
      </c>
      <c r="EW52">
        <v>0.1</v>
      </c>
      <c r="EX52">
        <v>0.2</v>
      </c>
      <c r="EY52">
        <v>0.3</v>
      </c>
      <c r="EZ52">
        <v>0.3</v>
      </c>
      <c r="FA52">
        <f>EV52*EQ52</f>
        <v>0.70000000000000007</v>
      </c>
      <c r="FB52">
        <f>EW52*ER52</f>
        <v>0.8</v>
      </c>
      <c r="FC52">
        <f>EX52*ES52</f>
        <v>1.6</v>
      </c>
      <c r="FD52">
        <f>EY52*ET52</f>
        <v>2.4</v>
      </c>
      <c r="FE52">
        <f>EZ52*EU52</f>
        <v>2.4</v>
      </c>
      <c r="FF52">
        <v>15</v>
      </c>
      <c r="FG52">
        <v>0</v>
      </c>
      <c r="FH52">
        <v>15</v>
      </c>
      <c r="FI52">
        <f>FA52+FB52+FC52+FD52+FE52</f>
        <v>7.9</v>
      </c>
      <c r="FJ52">
        <f>MEDIAN(EQ52:EU52)</f>
        <v>8</v>
      </c>
      <c r="FL52">
        <v>39.380000000000003</v>
      </c>
      <c r="FM52">
        <v>9.1</v>
      </c>
      <c r="FN52" t="s">
        <v>849</v>
      </c>
      <c r="FO52" t="s">
        <v>850</v>
      </c>
      <c r="FP52" t="s">
        <v>851</v>
      </c>
      <c r="FQ52" t="s">
        <v>852</v>
      </c>
      <c r="FR52" t="s">
        <v>853</v>
      </c>
      <c r="FS52">
        <v>6</v>
      </c>
      <c r="FT52">
        <v>8</v>
      </c>
      <c r="FU52">
        <v>7</v>
      </c>
      <c r="FV52">
        <v>6</v>
      </c>
      <c r="FW52">
        <v>7</v>
      </c>
      <c r="FX52">
        <v>0.1</v>
      </c>
      <c r="FY52">
        <v>0.1</v>
      </c>
      <c r="FZ52">
        <v>0.2</v>
      </c>
      <c r="GA52">
        <v>0.3</v>
      </c>
      <c r="GB52">
        <v>0.3</v>
      </c>
      <c r="GC52">
        <f>FS52*FX52</f>
        <v>0.60000000000000009</v>
      </c>
      <c r="GD52">
        <f>FT52*FY52</f>
        <v>0.8</v>
      </c>
      <c r="GE52">
        <f>FU52*FZ52</f>
        <v>1.4000000000000001</v>
      </c>
      <c r="GF52">
        <f>FV52*GA52</f>
        <v>1.7999999999999998</v>
      </c>
      <c r="GG52">
        <f>FW52*GB52</f>
        <v>2.1</v>
      </c>
      <c r="GH52">
        <v>9.1</v>
      </c>
      <c r="GI52">
        <v>0</v>
      </c>
      <c r="GJ52">
        <v>9.1</v>
      </c>
      <c r="GK52">
        <f>GC52+GD52+GE52+GF52+GG52</f>
        <v>6.6999999999999993</v>
      </c>
      <c r="GL52">
        <f>MEDIAN(FS52:FW52)</f>
        <v>7</v>
      </c>
    </row>
    <row r="53" spans="1:194" hidden="1" x14ac:dyDescent="0.25">
      <c r="A53">
        <v>52</v>
      </c>
      <c r="B53" t="s">
        <v>2</v>
      </c>
      <c r="C53" s="4">
        <v>82.5</v>
      </c>
      <c r="D53">
        <v>3.3</v>
      </c>
      <c r="E53" s="1">
        <f>C53/3/D53</f>
        <v>8.3333333333333339</v>
      </c>
      <c r="G53">
        <v>69.38</v>
      </c>
      <c r="H53">
        <v>8.1999999999999993</v>
      </c>
      <c r="I53">
        <f>H53*D53*3</f>
        <v>81.179999999999978</v>
      </c>
      <c r="J53">
        <v>18.43</v>
      </c>
      <c r="K53">
        <v>7</v>
      </c>
      <c r="L53" s="3">
        <f>K53*3*D53</f>
        <v>69.3</v>
      </c>
      <c r="M53">
        <v>5.05</v>
      </c>
      <c r="N53">
        <v>5.5</v>
      </c>
      <c r="O53">
        <f>N53*D53*3</f>
        <v>54.449999999999996</v>
      </c>
      <c r="P53" s="5">
        <v>7.8</v>
      </c>
      <c r="Q53" s="5">
        <f>P53*D53*3</f>
        <v>77.22</v>
      </c>
      <c r="S53" t="s">
        <v>6190</v>
      </c>
      <c r="T53">
        <v>8.1999999999999993</v>
      </c>
      <c r="U53" s="8">
        <f>T53*D53*3</f>
        <v>81.179999999999978</v>
      </c>
      <c r="V53">
        <v>57.64</v>
      </c>
      <c r="W53">
        <v>8.4</v>
      </c>
      <c r="X53" s="5">
        <f>W53*D53*3</f>
        <v>83.16</v>
      </c>
      <c r="Y53">
        <v>11.55</v>
      </c>
      <c r="Z53">
        <v>7.5</v>
      </c>
      <c r="AA53">
        <f>Z53*D53*3</f>
        <v>74.25</v>
      </c>
      <c r="AC53">
        <v>47.25</v>
      </c>
      <c r="AD53">
        <v>7.9</v>
      </c>
      <c r="AE53" s="1">
        <f>AD53*3*D53</f>
        <v>78.210000000000008</v>
      </c>
      <c r="AF53">
        <v>12.32</v>
      </c>
      <c r="AG53" s="5">
        <v>7</v>
      </c>
      <c r="AH53" s="5">
        <f>AG53*D53*3</f>
        <v>69.3</v>
      </c>
      <c r="AI53" s="13"/>
      <c r="AJ53">
        <v>9.8000000000000007</v>
      </c>
      <c r="AK53" s="8">
        <f>AJ53*D53*3</f>
        <v>97.02000000000001</v>
      </c>
      <c r="AL53" s="13"/>
      <c r="AM53">
        <v>31.59</v>
      </c>
      <c r="AN53">
        <v>7.6</v>
      </c>
      <c r="AO53" s="8">
        <f>AN53*D53*3</f>
        <v>75.239999999999995</v>
      </c>
      <c r="AP53">
        <v>13.52</v>
      </c>
      <c r="AQ53">
        <v>10</v>
      </c>
      <c r="AR53">
        <f>AQ53*D53*3</f>
        <v>99</v>
      </c>
      <c r="AS53">
        <v>10.25</v>
      </c>
      <c r="AT53">
        <v>9</v>
      </c>
      <c r="AU53">
        <f>AT53*D53*3</f>
        <v>89.1</v>
      </c>
      <c r="AW53">
        <v>24.72</v>
      </c>
      <c r="AX53">
        <v>8.4</v>
      </c>
      <c r="AY53">
        <f>AX53*D53*3</f>
        <v>83.16</v>
      </c>
      <c r="AZ53">
        <v>24.72</v>
      </c>
      <c r="BA53">
        <v>9</v>
      </c>
      <c r="BB53">
        <f>BA53*D53*3</f>
        <v>89.1</v>
      </c>
      <c r="BD53">
        <v>9</v>
      </c>
      <c r="BE53">
        <f>BD53*D53*3</f>
        <v>89.1</v>
      </c>
      <c r="BG53" s="10"/>
      <c r="BH53" s="1">
        <f>CHOOSE(MATCH(MIN(ABS(BP53-C53),ABS(BQ53-C53),ABS(BR53-C53)),CHOOSE({1;2;3},ABS(BP53-C53),ABS(BQ53-C53),ABS(BR53-C53)),0),BP53,BQ53,BR53)</f>
        <v>79.199999999999989</v>
      </c>
      <c r="BJ53" s="1" cm="1">
        <f t="array" ref="BJ53">(INDEX(_xlfn._xlws.SORT(CHOOSE({1;2;3;4;5;6},BQ53,BR53,L53,AE53,BO53,BP53)),3) + INDEX(_xlfn._xlws.SORT(CHOOSE({1;2;3;4;5;6},BQ53,BR53,L53,AE53,BO53,BP53)),4))/2</f>
        <v>73.754999999999995</v>
      </c>
      <c r="BK53">
        <v>8.33688737650394</v>
      </c>
      <c r="BL53" t="s">
        <v>6117</v>
      </c>
      <c r="BM53" s="1">
        <f>BK53*3*D53</f>
        <v>82.535185027389005</v>
      </c>
      <c r="BN53" s="1">
        <f>BM53-C53</f>
        <v>3.5185027389005086E-2</v>
      </c>
      <c r="BO53" s="1">
        <f>GK53*3*D53</f>
        <v>67.814999999999984</v>
      </c>
      <c r="BP53" s="1">
        <f>DO53*3*D53</f>
        <v>89.1</v>
      </c>
      <c r="BQ53" s="1">
        <f>FJ53*3*D53</f>
        <v>79.199999999999989</v>
      </c>
      <c r="BR53" s="1">
        <f>GL53*3*D53</f>
        <v>69.3</v>
      </c>
      <c r="BT53">
        <v>69.38</v>
      </c>
      <c r="BU53">
        <v>8.1999999999999993</v>
      </c>
      <c r="BV53" t="s">
        <v>5182</v>
      </c>
      <c r="BW53" t="s">
        <v>5183</v>
      </c>
      <c r="BX53" t="s">
        <v>5184</v>
      </c>
      <c r="BY53" t="s">
        <v>5185</v>
      </c>
      <c r="BZ53" t="s">
        <v>5186</v>
      </c>
      <c r="CA53" t="s">
        <v>2437</v>
      </c>
      <c r="CC53" t="s">
        <v>2758</v>
      </c>
      <c r="CD53" t="s">
        <v>2508</v>
      </c>
      <c r="CE53" t="s">
        <v>2440</v>
      </c>
      <c r="CG53" t="s">
        <v>2761</v>
      </c>
      <c r="CH53" t="s">
        <v>2510</v>
      </c>
      <c r="CI53" t="s">
        <v>2443</v>
      </c>
      <c r="CK53" t="s">
        <v>2795</v>
      </c>
      <c r="CL53" t="s">
        <v>2512</v>
      </c>
      <c r="CM53" t="s">
        <v>2446</v>
      </c>
      <c r="CO53" t="s">
        <v>2796</v>
      </c>
      <c r="CP53" t="s">
        <v>2514</v>
      </c>
      <c r="CQ53" t="s">
        <v>2449</v>
      </c>
      <c r="CS53" t="s">
        <v>2679</v>
      </c>
      <c r="CT53" t="s">
        <v>2524</v>
      </c>
      <c r="CV53">
        <v>9</v>
      </c>
      <c r="CW53">
        <v>9</v>
      </c>
      <c r="CX53">
        <v>9</v>
      </c>
      <c r="CY53">
        <v>9</v>
      </c>
      <c r="CZ53">
        <v>9</v>
      </c>
      <c r="DA53">
        <v>0.1</v>
      </c>
      <c r="DB53">
        <v>0.1</v>
      </c>
      <c r="DC53">
        <v>0.2</v>
      </c>
      <c r="DD53">
        <v>0.3</v>
      </c>
      <c r="DE53">
        <v>0.3</v>
      </c>
      <c r="DF53">
        <v>0.9</v>
      </c>
      <c r="DG53">
        <v>0.9</v>
      </c>
      <c r="DH53">
        <v>1.8</v>
      </c>
      <c r="DI53">
        <v>2.7</v>
      </c>
      <c r="DJ53">
        <v>2.7</v>
      </c>
      <c r="DK53">
        <v>8.1999999999999993</v>
      </c>
      <c r="DL53">
        <v>0</v>
      </c>
      <c r="DM53">
        <v>8.1999999999999993</v>
      </c>
      <c r="DN53">
        <v>7</v>
      </c>
      <c r="DO53">
        <f>AVERAGE(CV53:CZ53)</f>
        <v>9</v>
      </c>
      <c r="DQ53">
        <v>15</v>
      </c>
      <c r="DR53" t="s">
        <v>28</v>
      </c>
      <c r="DS53" t="s">
        <v>29</v>
      </c>
      <c r="DT53" t="s">
        <v>57</v>
      </c>
      <c r="DU53" t="s">
        <v>58</v>
      </c>
      <c r="DV53" t="s">
        <v>59</v>
      </c>
      <c r="DW53" t="s">
        <v>3769</v>
      </c>
      <c r="DX53" t="s">
        <v>3770</v>
      </c>
      <c r="DY53" t="s">
        <v>3771</v>
      </c>
      <c r="DZ53" t="s">
        <v>3772</v>
      </c>
      <c r="EA53" t="s">
        <v>3860</v>
      </c>
      <c r="EB53" t="s">
        <v>3807</v>
      </c>
      <c r="EC53" t="s">
        <v>3775</v>
      </c>
      <c r="ED53" t="s">
        <v>3776</v>
      </c>
      <c r="EE53" t="s">
        <v>3819</v>
      </c>
      <c r="EF53" t="s">
        <v>3809</v>
      </c>
      <c r="EG53" t="s">
        <v>3810</v>
      </c>
      <c r="EH53" t="s">
        <v>3811</v>
      </c>
      <c r="EI53" t="s">
        <v>3820</v>
      </c>
      <c r="EJ53" t="s">
        <v>3813</v>
      </c>
      <c r="EK53" t="s">
        <v>3821</v>
      </c>
      <c r="EL53" t="s">
        <v>3822</v>
      </c>
      <c r="EM53" t="s">
        <v>3816</v>
      </c>
      <c r="EN53" t="s">
        <v>3823</v>
      </c>
      <c r="EO53" t="s">
        <v>3824</v>
      </c>
      <c r="EP53" t="s">
        <v>3825</v>
      </c>
      <c r="EQ53">
        <v>7</v>
      </c>
      <c r="ER53">
        <v>8</v>
      </c>
      <c r="ES53">
        <v>8</v>
      </c>
      <c r="ET53">
        <v>8</v>
      </c>
      <c r="EU53">
        <v>8</v>
      </c>
      <c r="EV53">
        <v>0.1</v>
      </c>
      <c r="EW53">
        <v>0.1</v>
      </c>
      <c r="EX53">
        <v>0.2</v>
      </c>
      <c r="EY53">
        <v>0.3</v>
      </c>
      <c r="EZ53">
        <v>0.3</v>
      </c>
      <c r="FA53">
        <f>EV53*EQ53</f>
        <v>0.70000000000000007</v>
      </c>
      <c r="FB53">
        <f>EW53*ER53</f>
        <v>0.8</v>
      </c>
      <c r="FC53">
        <f>EX53*ES53</f>
        <v>1.6</v>
      </c>
      <c r="FD53">
        <f>EY53*ET53</f>
        <v>2.4</v>
      </c>
      <c r="FE53">
        <f>EZ53*EU53</f>
        <v>2.4</v>
      </c>
      <c r="FF53">
        <v>15</v>
      </c>
      <c r="FG53">
        <v>0</v>
      </c>
      <c r="FH53">
        <v>15</v>
      </c>
      <c r="FI53">
        <f>FA53+FB53+FC53+FD53+FE53</f>
        <v>7.9</v>
      </c>
      <c r="FJ53">
        <f>MEDIAN(EQ53:EU53)</f>
        <v>8</v>
      </c>
      <c r="FL53">
        <v>69.06</v>
      </c>
      <c r="FM53">
        <v>10</v>
      </c>
      <c r="FN53" t="s">
        <v>854</v>
      </c>
      <c r="FO53" t="s">
        <v>855</v>
      </c>
      <c r="FP53" t="s">
        <v>856</v>
      </c>
      <c r="FQ53" t="s">
        <v>857</v>
      </c>
      <c r="FR53" t="s">
        <v>858</v>
      </c>
      <c r="FS53">
        <v>7</v>
      </c>
      <c r="FT53">
        <v>8</v>
      </c>
      <c r="FU53">
        <v>6.5</v>
      </c>
      <c r="FV53">
        <v>7.5</v>
      </c>
      <c r="FW53">
        <v>6</v>
      </c>
      <c r="FX53">
        <v>0.1</v>
      </c>
      <c r="FY53">
        <v>0.1</v>
      </c>
      <c r="FZ53">
        <v>0.2</v>
      </c>
      <c r="GA53">
        <v>0.3</v>
      </c>
      <c r="GB53">
        <v>0.3</v>
      </c>
      <c r="GC53">
        <f>FS53*FX53</f>
        <v>0.70000000000000007</v>
      </c>
      <c r="GD53">
        <f>FT53*FY53</f>
        <v>0.8</v>
      </c>
      <c r="GE53">
        <f>FU53*FZ53</f>
        <v>1.3</v>
      </c>
      <c r="GF53">
        <f>FV53*GA53</f>
        <v>2.25</v>
      </c>
      <c r="GG53">
        <f>FW53*GB53</f>
        <v>1.7999999999999998</v>
      </c>
      <c r="GH53">
        <v>9.4</v>
      </c>
      <c r="GI53">
        <v>0.6</v>
      </c>
      <c r="GJ53">
        <v>10</v>
      </c>
      <c r="GK53">
        <f>GC53+GD53+GE53+GF53+GG53</f>
        <v>6.85</v>
      </c>
      <c r="GL53">
        <f>MEDIAN(FS53:FW53)</f>
        <v>7</v>
      </c>
    </row>
    <row r="54" spans="1:194" hidden="1" x14ac:dyDescent="0.25">
      <c r="A54">
        <v>53</v>
      </c>
      <c r="B54" t="s">
        <v>2</v>
      </c>
      <c r="C54" s="4">
        <v>77.55</v>
      </c>
      <c r="D54">
        <v>3.3</v>
      </c>
      <c r="E54" s="1">
        <f>C54/3/D54</f>
        <v>7.833333333333333</v>
      </c>
      <c r="G54">
        <v>40.15</v>
      </c>
      <c r="H54">
        <v>8.1999999999999993</v>
      </c>
      <c r="I54">
        <f>H54*D54*3</f>
        <v>81.179999999999978</v>
      </c>
      <c r="J54">
        <v>18.12</v>
      </c>
      <c r="K54">
        <v>9</v>
      </c>
      <c r="L54" s="3">
        <f>K54*3*D54</f>
        <v>89.1</v>
      </c>
      <c r="M54">
        <v>4.74</v>
      </c>
      <c r="N54">
        <v>3</v>
      </c>
      <c r="O54">
        <f>N54*D54*3</f>
        <v>29.699999999999996</v>
      </c>
      <c r="P54" s="5">
        <v>6.5</v>
      </c>
      <c r="Q54" s="5">
        <f>P54*D54*3</f>
        <v>64.349999999999994</v>
      </c>
      <c r="S54" t="s">
        <v>6191</v>
      </c>
      <c r="T54">
        <v>8.8000000000000007</v>
      </c>
      <c r="U54" s="8">
        <f>T54*D54*3</f>
        <v>87.12</v>
      </c>
      <c r="V54">
        <v>59.36</v>
      </c>
      <c r="W54">
        <v>8.4</v>
      </c>
      <c r="X54" s="5">
        <f>W54*D54*3</f>
        <v>83.16</v>
      </c>
      <c r="Y54">
        <v>9.83</v>
      </c>
      <c r="Z54">
        <v>7.5</v>
      </c>
      <c r="AA54">
        <f>Z54*D54*3</f>
        <v>74.25</v>
      </c>
      <c r="AC54">
        <v>45.81</v>
      </c>
      <c r="AD54">
        <v>8</v>
      </c>
      <c r="AE54" s="1">
        <f>AD54*3*D54</f>
        <v>79.199999999999989</v>
      </c>
      <c r="AF54">
        <v>12</v>
      </c>
      <c r="AG54" s="5">
        <v>7</v>
      </c>
      <c r="AH54" s="5">
        <f>AG54*D54*3</f>
        <v>69.3</v>
      </c>
      <c r="AI54" s="13"/>
      <c r="AK54" s="8">
        <f>AJ54*D54*3</f>
        <v>0</v>
      </c>
      <c r="AL54" s="13"/>
      <c r="AM54">
        <v>30.65</v>
      </c>
      <c r="AN54">
        <v>6</v>
      </c>
      <c r="AO54" s="8">
        <f>AN54*D54*3</f>
        <v>59.399999999999991</v>
      </c>
      <c r="AP54">
        <v>12.09</v>
      </c>
      <c r="AQ54">
        <v>9.4</v>
      </c>
      <c r="AR54">
        <f>AQ54*D54*3</f>
        <v>93.06</v>
      </c>
      <c r="AS54">
        <v>10.9</v>
      </c>
      <c r="AT54">
        <v>8.1</v>
      </c>
      <c r="AU54">
        <f>AT54*D54*3</f>
        <v>80.19</v>
      </c>
      <c r="AW54">
        <v>23.17</v>
      </c>
      <c r="AX54">
        <v>8.8000000000000007</v>
      </c>
      <c r="AY54">
        <f>AX54*D54*3</f>
        <v>87.12</v>
      </c>
      <c r="AZ54">
        <v>23.17</v>
      </c>
      <c r="BA54">
        <v>9.1999999999999993</v>
      </c>
      <c r="BB54">
        <f>BA54*D54*3</f>
        <v>91.079999999999984</v>
      </c>
      <c r="BD54">
        <v>8.6</v>
      </c>
      <c r="BE54">
        <f>BD54*D54*3</f>
        <v>85.14</v>
      </c>
      <c r="BG54" s="10"/>
      <c r="BH54" s="1">
        <f>CHOOSE(MATCH(MIN(ABS(BP54-C54),ABS(BQ54-C54),ABS(BR54-C54)),CHOOSE({1;2;3},ABS(BP54-C54),ABS(BQ54-C54),ABS(BR54-C54)),0),BP54,BQ54,BR54)</f>
        <v>79.199999999999989</v>
      </c>
      <c r="BJ54" s="1" cm="1">
        <f t="array" ref="BJ54">(INDEX(_xlfn._xlws.SORT(CHOOSE({1;2;3;4;5;6},BQ54,BR54,L54,AE54,BO54,BP54)),3) + INDEX(_xlfn._xlws.SORT(CHOOSE({1;2;3;4;5;6},BQ54,BR54,L54,AE54,BO54,BP54)),4))/2</f>
        <v>79.199999999999989</v>
      </c>
      <c r="BK54">
        <v>7.85562933342535</v>
      </c>
      <c r="BL54" t="s">
        <v>6117</v>
      </c>
      <c r="BM54" s="1">
        <f>BK54*3*D54</f>
        <v>77.770730400910963</v>
      </c>
      <c r="BN54" s="1">
        <f>BM54-C54</f>
        <v>0.2207304009109663</v>
      </c>
      <c r="BO54" s="1">
        <f>GK54*3*D54</f>
        <v>57.419999999999995</v>
      </c>
      <c r="BP54" s="1">
        <f>DO54*3*D54</f>
        <v>89.1</v>
      </c>
      <c r="BQ54" s="1">
        <f>FJ54*3*D54</f>
        <v>79.199999999999989</v>
      </c>
      <c r="BR54" s="1">
        <f>GL54*3*D54</f>
        <v>59.4</v>
      </c>
      <c r="BT54">
        <v>40.15</v>
      </c>
      <c r="BU54">
        <v>8.1999999999999993</v>
      </c>
      <c r="BV54" t="s">
        <v>5028</v>
      </c>
      <c r="BW54" t="s">
        <v>5187</v>
      </c>
      <c r="BX54" t="s">
        <v>5188</v>
      </c>
      <c r="BY54" t="s">
        <v>5189</v>
      </c>
      <c r="BZ54" t="s">
        <v>5190</v>
      </c>
      <c r="CA54" t="s">
        <v>2797</v>
      </c>
      <c r="CB54" t="s">
        <v>2798</v>
      </c>
      <c r="CC54" t="s">
        <v>2799</v>
      </c>
      <c r="CD54" t="s">
        <v>2800</v>
      </c>
      <c r="CE54" t="s">
        <v>2667</v>
      </c>
      <c r="CF54" t="s">
        <v>2798</v>
      </c>
      <c r="CG54" t="s">
        <v>2801</v>
      </c>
      <c r="CH54" t="s">
        <v>2802</v>
      </c>
      <c r="CI54" t="s">
        <v>2803</v>
      </c>
      <c r="CJ54" t="s">
        <v>2798</v>
      </c>
      <c r="CK54" t="s">
        <v>2804</v>
      </c>
      <c r="CL54" t="s">
        <v>2805</v>
      </c>
      <c r="CM54" t="s">
        <v>2806</v>
      </c>
      <c r="CN54" t="s">
        <v>2798</v>
      </c>
      <c r="CO54" t="s">
        <v>2807</v>
      </c>
      <c r="CP54" t="s">
        <v>2808</v>
      </c>
      <c r="CQ54" t="s">
        <v>2597</v>
      </c>
      <c r="CR54" t="s">
        <v>2798</v>
      </c>
      <c r="CS54" t="s">
        <v>2809</v>
      </c>
      <c r="CT54" t="s">
        <v>2810</v>
      </c>
      <c r="CV54">
        <v>9</v>
      </c>
      <c r="CW54">
        <v>9</v>
      </c>
      <c r="CX54">
        <v>9</v>
      </c>
      <c r="CY54">
        <v>9</v>
      </c>
      <c r="CZ54">
        <v>9</v>
      </c>
      <c r="DA54">
        <v>0.1</v>
      </c>
      <c r="DB54">
        <v>0.1</v>
      </c>
      <c r="DC54">
        <v>0.2</v>
      </c>
      <c r="DD54">
        <v>0.3</v>
      </c>
      <c r="DE54">
        <v>0.3</v>
      </c>
      <c r="DF54">
        <v>0.9</v>
      </c>
      <c r="DG54">
        <v>0.9</v>
      </c>
      <c r="DH54">
        <v>1.8</v>
      </c>
      <c r="DI54">
        <v>2.7</v>
      </c>
      <c r="DJ54">
        <v>2.7</v>
      </c>
      <c r="DK54">
        <v>8.1999999999999993</v>
      </c>
      <c r="DL54">
        <v>0</v>
      </c>
      <c r="DM54">
        <v>8.1999999999999993</v>
      </c>
      <c r="DN54">
        <v>9</v>
      </c>
      <c r="DO54">
        <f>AVERAGE(CV54:CZ54)</f>
        <v>9</v>
      </c>
      <c r="DQ54">
        <v>8</v>
      </c>
      <c r="DR54" t="s">
        <v>47</v>
      </c>
      <c r="DS54" t="s">
        <v>48</v>
      </c>
      <c r="DT54" t="s">
        <v>49</v>
      </c>
      <c r="DU54" t="s">
        <v>179</v>
      </c>
      <c r="DV54" t="s">
        <v>51</v>
      </c>
      <c r="DW54" t="s">
        <v>3769</v>
      </c>
      <c r="DX54" t="s">
        <v>3789</v>
      </c>
      <c r="DY54" t="s">
        <v>3826</v>
      </c>
      <c r="DZ54" t="s">
        <v>3827</v>
      </c>
      <c r="EA54" t="s">
        <v>3828</v>
      </c>
      <c r="EB54" t="s">
        <v>3793</v>
      </c>
      <c r="EC54" t="s">
        <v>3829</v>
      </c>
      <c r="ED54" t="s">
        <v>3827</v>
      </c>
      <c r="EE54" t="s">
        <v>3830</v>
      </c>
      <c r="EF54" t="s">
        <v>3797</v>
      </c>
      <c r="EG54" t="s">
        <v>3831</v>
      </c>
      <c r="EH54" t="s">
        <v>3827</v>
      </c>
      <c r="EI54" t="s">
        <v>3832</v>
      </c>
      <c r="EJ54" t="s">
        <v>3800</v>
      </c>
      <c r="EK54" t="s">
        <v>3833</v>
      </c>
      <c r="EL54" t="s">
        <v>3827</v>
      </c>
      <c r="EM54" t="s">
        <v>3834</v>
      </c>
      <c r="EN54" t="s">
        <v>3803</v>
      </c>
      <c r="EO54" t="s">
        <v>3835</v>
      </c>
      <c r="EP54" t="s">
        <v>3827</v>
      </c>
      <c r="EQ54">
        <v>8</v>
      </c>
      <c r="ER54">
        <v>8</v>
      </c>
      <c r="ES54">
        <v>8</v>
      </c>
      <c r="ET54">
        <v>8</v>
      </c>
      <c r="EU54">
        <v>8</v>
      </c>
      <c r="EV54">
        <v>0.1</v>
      </c>
      <c r="EW54">
        <v>0.1</v>
      </c>
      <c r="EX54">
        <v>0.2</v>
      </c>
      <c r="EY54">
        <v>0.3</v>
      </c>
      <c r="EZ54">
        <v>0.3</v>
      </c>
      <c r="FA54">
        <f>EV54*EQ54</f>
        <v>0.8</v>
      </c>
      <c r="FB54">
        <f>EW54*ER54</f>
        <v>0.8</v>
      </c>
      <c r="FC54">
        <f>EX54*ES54</f>
        <v>1.6</v>
      </c>
      <c r="FD54">
        <f>EY54*ET54</f>
        <v>2.4</v>
      </c>
      <c r="FE54">
        <f>EZ54*EU54</f>
        <v>2.4</v>
      </c>
      <c r="FF54">
        <v>17</v>
      </c>
      <c r="FG54">
        <v>0</v>
      </c>
      <c r="FH54">
        <v>8</v>
      </c>
      <c r="FI54">
        <f>FA54+FB54+FC54+FD54+FE54</f>
        <v>8</v>
      </c>
      <c r="FJ54">
        <f>MEDIAN(EQ54:EU54)</f>
        <v>8</v>
      </c>
      <c r="FL54">
        <v>41.83</v>
      </c>
      <c r="FM54">
        <v>5.6</v>
      </c>
      <c r="FN54" t="s">
        <v>859</v>
      </c>
      <c r="FO54" t="s">
        <v>860</v>
      </c>
      <c r="FP54" t="s">
        <v>861</v>
      </c>
      <c r="FQ54" t="s">
        <v>862</v>
      </c>
      <c r="FR54" t="s">
        <v>863</v>
      </c>
      <c r="FS54">
        <v>5</v>
      </c>
      <c r="FT54">
        <v>8</v>
      </c>
      <c r="FU54">
        <v>6</v>
      </c>
      <c r="FV54">
        <v>7</v>
      </c>
      <c r="FW54">
        <v>4</v>
      </c>
      <c r="FX54">
        <v>0.1</v>
      </c>
      <c r="FY54">
        <v>0.1</v>
      </c>
      <c r="FZ54">
        <v>0.2</v>
      </c>
      <c r="GA54">
        <v>0.3</v>
      </c>
      <c r="GB54">
        <v>0.3</v>
      </c>
      <c r="GC54">
        <f>FS54*FX54</f>
        <v>0.5</v>
      </c>
      <c r="GD54">
        <f>FT54*FY54</f>
        <v>0.8</v>
      </c>
      <c r="GE54">
        <f>FU54*FZ54</f>
        <v>1.2000000000000002</v>
      </c>
      <c r="GF54">
        <f>FV54*GA54</f>
        <v>2.1</v>
      </c>
      <c r="GG54">
        <f>FW54*GB54</f>
        <v>1.2</v>
      </c>
      <c r="GH54">
        <v>5.6</v>
      </c>
      <c r="GJ54">
        <v>5.6</v>
      </c>
      <c r="GK54">
        <f>GC54+GD54+GE54+GF54+GG54</f>
        <v>5.8</v>
      </c>
      <c r="GL54">
        <f>MEDIAN(FS54:FW54)</f>
        <v>6</v>
      </c>
    </row>
    <row r="55" spans="1:194" hidden="1" x14ac:dyDescent="0.25">
      <c r="A55">
        <v>54</v>
      </c>
      <c r="B55" t="s">
        <v>2</v>
      </c>
      <c r="C55" s="4">
        <v>84.15</v>
      </c>
      <c r="D55">
        <v>3.3</v>
      </c>
      <c r="E55" s="1">
        <f>C55/3/D55</f>
        <v>8.5</v>
      </c>
      <c r="G55">
        <v>39.17</v>
      </c>
      <c r="H55">
        <v>8.1</v>
      </c>
      <c r="I55">
        <f>H55*D55*3</f>
        <v>80.19</v>
      </c>
      <c r="J55">
        <v>16.78</v>
      </c>
      <c r="K55">
        <v>9</v>
      </c>
      <c r="L55" s="3">
        <f>K55*3*D55</f>
        <v>89.1</v>
      </c>
      <c r="M55">
        <v>5.0999999999999996</v>
      </c>
      <c r="N55">
        <v>5</v>
      </c>
      <c r="O55">
        <f>N55*D55*3</f>
        <v>49.5</v>
      </c>
      <c r="P55" s="5">
        <v>7</v>
      </c>
      <c r="Q55" s="5">
        <f>P55*D55*3</f>
        <v>69.3</v>
      </c>
      <c r="S55" t="s">
        <v>6192</v>
      </c>
      <c r="T55">
        <v>5.6</v>
      </c>
      <c r="U55" s="8">
        <f>T55*D55*3</f>
        <v>55.439999999999991</v>
      </c>
      <c r="V55">
        <v>58.82</v>
      </c>
      <c r="W55">
        <v>8.4</v>
      </c>
      <c r="X55" s="5">
        <f>W55*D55*3</f>
        <v>83.16</v>
      </c>
      <c r="Y55">
        <v>11.4</v>
      </c>
      <c r="Z55">
        <v>7.8</v>
      </c>
      <c r="AA55">
        <f>Z55*D55*3</f>
        <v>77.22</v>
      </c>
      <c r="AC55">
        <v>45.51</v>
      </c>
      <c r="AD55">
        <v>7.9</v>
      </c>
      <c r="AE55" s="1">
        <f>AD55*3*D55</f>
        <v>78.210000000000008</v>
      </c>
      <c r="AF55">
        <v>12.02</v>
      </c>
      <c r="AG55" s="5">
        <v>7</v>
      </c>
      <c r="AH55" s="5">
        <f>AG55*D55*3</f>
        <v>69.3</v>
      </c>
      <c r="AI55" s="13"/>
      <c r="AJ55">
        <v>24.5</v>
      </c>
      <c r="AK55" s="8">
        <f>AJ55*D55*3</f>
        <v>242.54999999999998</v>
      </c>
      <c r="AL55" s="13"/>
      <c r="AM55">
        <v>29.1</v>
      </c>
      <c r="AN55">
        <v>7.4</v>
      </c>
      <c r="AO55" s="8">
        <f>AN55*D55*3</f>
        <v>73.259999999999991</v>
      </c>
      <c r="AP55">
        <v>14.1</v>
      </c>
      <c r="AQ55">
        <v>10</v>
      </c>
      <c r="AR55">
        <f>AQ55*D55*3</f>
        <v>99</v>
      </c>
      <c r="AS55">
        <v>9.75</v>
      </c>
      <c r="AT55">
        <v>8.8000000000000007</v>
      </c>
      <c r="AU55">
        <f>AT55*D55*3</f>
        <v>87.12</v>
      </c>
      <c r="AW55">
        <v>23.75</v>
      </c>
      <c r="AX55">
        <v>9.3000000000000007</v>
      </c>
      <c r="AY55">
        <f>AX55*D55*3</f>
        <v>92.070000000000007</v>
      </c>
      <c r="AZ55">
        <v>23.75</v>
      </c>
      <c r="BA55">
        <v>9</v>
      </c>
      <c r="BB55">
        <f>BA55*D55*3</f>
        <v>89.1</v>
      </c>
      <c r="BD55">
        <v>8.9</v>
      </c>
      <c r="BE55">
        <f>BD55*D55*3</f>
        <v>88.11</v>
      </c>
      <c r="BG55" s="10"/>
      <c r="BH55" s="1">
        <f>CHOOSE(MATCH(MIN(ABS(BP55-C55),ABS(BQ55-C55),ABS(BR55-C55)),CHOOSE({1;2;3},ABS(BP55-C55),ABS(BQ55-C55),ABS(BR55-C55)),0),BP55,BQ55,BR55)</f>
        <v>89.1</v>
      </c>
      <c r="BJ55" s="1" cm="1">
        <f t="array" ref="BJ55">(INDEX(_xlfn._xlws.SORT(CHOOSE({1;2;3;4;5;6},BQ55,BR55,L55,AE55,BO55,BP55)),3) + INDEX(_xlfn._xlws.SORT(CHOOSE({1;2;3;4;5;6},BQ55,BR55,L55,AE55,BO55,BP55)),4))/2</f>
        <v>78.704999999999998</v>
      </c>
      <c r="BK55">
        <v>8.4805806500394407</v>
      </c>
      <c r="BL55" t="s">
        <v>6117</v>
      </c>
      <c r="BM55" s="1">
        <f>BK55*3*D55</f>
        <v>83.957748435390457</v>
      </c>
      <c r="BN55" s="1">
        <f>BM55-C55</f>
        <v>-0.19225156460954906</v>
      </c>
      <c r="BO55" s="1">
        <f>GK55*3*D55</f>
        <v>48.51</v>
      </c>
      <c r="BP55" s="1">
        <f>DO55*3*D55</f>
        <v>89.1</v>
      </c>
      <c r="BQ55" s="1">
        <f>FJ55*3*D55</f>
        <v>79.199999999999989</v>
      </c>
      <c r="BR55" s="1">
        <f>GL55*3*D55</f>
        <v>49.5</v>
      </c>
      <c r="BT55">
        <v>39.17</v>
      </c>
      <c r="BU55">
        <v>8.1</v>
      </c>
      <c r="BV55" t="s">
        <v>5191</v>
      </c>
      <c r="BW55" t="s">
        <v>4999</v>
      </c>
      <c r="BX55" t="s">
        <v>5192</v>
      </c>
      <c r="BY55" t="s">
        <v>5193</v>
      </c>
      <c r="BZ55" t="s">
        <v>5194</v>
      </c>
      <c r="CA55" t="s">
        <v>2420</v>
      </c>
      <c r="CC55" t="s">
        <v>2811</v>
      </c>
      <c r="CD55" t="s">
        <v>2812</v>
      </c>
      <c r="CE55" t="s">
        <v>2745</v>
      </c>
      <c r="CG55" t="s">
        <v>2813</v>
      </c>
      <c r="CH55" t="s">
        <v>2814</v>
      </c>
      <c r="CI55" t="s">
        <v>2815</v>
      </c>
      <c r="CK55" t="s">
        <v>2816</v>
      </c>
      <c r="CL55" t="s">
        <v>2817</v>
      </c>
      <c r="CM55" t="s">
        <v>2430</v>
      </c>
      <c r="CO55" t="s">
        <v>2818</v>
      </c>
      <c r="CP55" t="s">
        <v>2819</v>
      </c>
      <c r="CQ55" t="s">
        <v>2820</v>
      </c>
      <c r="CS55" t="s">
        <v>2821</v>
      </c>
      <c r="CT55" t="s">
        <v>2822</v>
      </c>
      <c r="CV55">
        <v>9</v>
      </c>
      <c r="CW55">
        <v>9</v>
      </c>
      <c r="CX55">
        <v>9</v>
      </c>
      <c r="CY55">
        <v>9</v>
      </c>
      <c r="CZ55">
        <v>9</v>
      </c>
      <c r="DA55">
        <v>0.1</v>
      </c>
      <c r="DB55">
        <v>0.1</v>
      </c>
      <c r="DC55">
        <v>0.2</v>
      </c>
      <c r="DD55">
        <v>0.3</v>
      </c>
      <c r="DE55">
        <v>0.3</v>
      </c>
      <c r="DF55">
        <v>0.9</v>
      </c>
      <c r="DG55">
        <v>0.9</v>
      </c>
      <c r="DH55">
        <v>1.8</v>
      </c>
      <c r="DI55">
        <v>2.7</v>
      </c>
      <c r="DJ55">
        <v>2.7</v>
      </c>
      <c r="DK55">
        <v>8.1</v>
      </c>
      <c r="DL55">
        <v>0</v>
      </c>
      <c r="DM55">
        <v>8.1</v>
      </c>
      <c r="DN55">
        <v>9</v>
      </c>
      <c r="DO55">
        <f>AVERAGE(CV55:CZ55)</f>
        <v>9</v>
      </c>
      <c r="DQ55">
        <v>15</v>
      </c>
      <c r="DR55" t="s">
        <v>28</v>
      </c>
      <c r="DS55" t="s">
        <v>29</v>
      </c>
      <c r="DT55" t="s">
        <v>180</v>
      </c>
      <c r="DU55" t="s">
        <v>58</v>
      </c>
      <c r="DV55" t="s">
        <v>59</v>
      </c>
      <c r="DW55" t="s">
        <v>3769</v>
      </c>
      <c r="DX55" t="s">
        <v>3770</v>
      </c>
      <c r="DY55" t="s">
        <v>3771</v>
      </c>
      <c r="DZ55" t="s">
        <v>3772</v>
      </c>
      <c r="EA55" t="s">
        <v>3806</v>
      </c>
      <c r="EB55" t="s">
        <v>3807</v>
      </c>
      <c r="EC55" t="s">
        <v>3775</v>
      </c>
      <c r="ED55" t="s">
        <v>3776</v>
      </c>
      <c r="EE55" t="s">
        <v>3819</v>
      </c>
      <c r="EF55" t="s">
        <v>4104</v>
      </c>
      <c r="EG55" t="s">
        <v>3810</v>
      </c>
      <c r="EH55" t="s">
        <v>3811</v>
      </c>
      <c r="EI55" t="s">
        <v>3820</v>
      </c>
      <c r="EJ55" t="s">
        <v>3813</v>
      </c>
      <c r="EK55" t="s">
        <v>3855</v>
      </c>
      <c r="EL55" t="s">
        <v>3856</v>
      </c>
      <c r="EM55" t="s">
        <v>3816</v>
      </c>
      <c r="EN55" t="s">
        <v>3823</v>
      </c>
      <c r="EO55" t="s">
        <v>3824</v>
      </c>
      <c r="EP55" t="s">
        <v>3857</v>
      </c>
      <c r="EQ55">
        <v>7</v>
      </c>
      <c r="ER55">
        <v>8</v>
      </c>
      <c r="ES55">
        <v>8</v>
      </c>
      <c r="ET55">
        <v>8</v>
      </c>
      <c r="EU55">
        <v>8</v>
      </c>
      <c r="EV55">
        <v>0.1</v>
      </c>
      <c r="EW55">
        <v>0.1</v>
      </c>
      <c r="EX55">
        <v>0.2</v>
      </c>
      <c r="EY55">
        <v>0.3</v>
      </c>
      <c r="EZ55">
        <v>0.3</v>
      </c>
      <c r="FA55">
        <f>EV55*EQ55</f>
        <v>0.70000000000000007</v>
      </c>
      <c r="FB55">
        <f>EW55*ER55</f>
        <v>0.8</v>
      </c>
      <c r="FC55">
        <f>EX55*ES55</f>
        <v>1.6</v>
      </c>
      <c r="FD55">
        <f>EY55*ET55</f>
        <v>2.4</v>
      </c>
      <c r="FE55">
        <f>EZ55*EU55</f>
        <v>2.4</v>
      </c>
      <c r="FF55">
        <v>15</v>
      </c>
      <c r="FG55">
        <v>0</v>
      </c>
      <c r="FH55">
        <v>15</v>
      </c>
      <c r="FI55">
        <f>FA55+FB55+FC55+FD55+FE55</f>
        <v>7.9</v>
      </c>
      <c r="FJ55">
        <f>MEDIAN(EQ55:EU55)</f>
        <v>8</v>
      </c>
      <c r="FL55">
        <v>40.07</v>
      </c>
      <c r="FM55">
        <v>8.5</v>
      </c>
      <c r="FN55" t="s">
        <v>864</v>
      </c>
      <c r="FO55" t="s">
        <v>865</v>
      </c>
      <c r="FP55" t="s">
        <v>866</v>
      </c>
      <c r="FQ55" t="s">
        <v>867</v>
      </c>
      <c r="FR55" t="s">
        <v>868</v>
      </c>
      <c r="FS55">
        <v>5</v>
      </c>
      <c r="FT55">
        <v>6</v>
      </c>
      <c r="FU55">
        <v>4</v>
      </c>
      <c r="FV55">
        <v>7</v>
      </c>
      <c r="FW55">
        <v>3</v>
      </c>
      <c r="FX55">
        <v>0.1</v>
      </c>
      <c r="FY55">
        <v>0.1</v>
      </c>
      <c r="FZ55">
        <v>0.2</v>
      </c>
      <c r="GA55">
        <v>0.3</v>
      </c>
      <c r="GB55">
        <v>0.3</v>
      </c>
      <c r="GC55">
        <f>FS55*FX55</f>
        <v>0.5</v>
      </c>
      <c r="GD55">
        <f>FT55*FY55</f>
        <v>0.60000000000000009</v>
      </c>
      <c r="GE55">
        <f>FU55*FZ55</f>
        <v>0.8</v>
      </c>
      <c r="GF55">
        <f>FV55*GA55</f>
        <v>2.1</v>
      </c>
      <c r="GG55">
        <f>FW55*GB55</f>
        <v>0.89999999999999991</v>
      </c>
      <c r="GH55">
        <v>9</v>
      </c>
      <c r="GI55">
        <v>-0.5</v>
      </c>
      <c r="GJ55">
        <v>8.5</v>
      </c>
      <c r="GK55">
        <f>GC55+GD55+GE55+GF55+GG55</f>
        <v>4.9000000000000004</v>
      </c>
      <c r="GL55">
        <f>MEDIAN(FS55:FW55)</f>
        <v>5</v>
      </c>
    </row>
    <row r="56" spans="1:194" hidden="1" x14ac:dyDescent="0.25">
      <c r="A56">
        <v>55</v>
      </c>
      <c r="B56" t="s">
        <v>2</v>
      </c>
      <c r="C56" s="4">
        <v>91.8</v>
      </c>
      <c r="D56">
        <v>3.6</v>
      </c>
      <c r="E56" s="1">
        <f>C56/3/D56</f>
        <v>8.5</v>
      </c>
      <c r="G56">
        <v>37.659999999999997</v>
      </c>
      <c r="H56">
        <v>7.4</v>
      </c>
      <c r="I56">
        <f>H56*D56*3</f>
        <v>79.92</v>
      </c>
      <c r="J56">
        <v>16.82</v>
      </c>
      <c r="K56">
        <v>9</v>
      </c>
      <c r="L56" s="3">
        <f>K56*3*D56</f>
        <v>97.2</v>
      </c>
      <c r="M56">
        <v>4.92</v>
      </c>
      <c r="N56">
        <v>5</v>
      </c>
      <c r="O56">
        <f>N56*D56*3</f>
        <v>54</v>
      </c>
      <c r="P56" s="5">
        <v>7.4</v>
      </c>
      <c r="Q56" s="5">
        <f>P56*D56*3</f>
        <v>79.92</v>
      </c>
      <c r="S56" t="s">
        <v>6193</v>
      </c>
      <c r="T56">
        <v>2</v>
      </c>
      <c r="U56" s="8">
        <f>T56*D56*3</f>
        <v>21.6</v>
      </c>
      <c r="V56">
        <v>61.34</v>
      </c>
      <c r="W56">
        <v>8.4</v>
      </c>
      <c r="X56" s="5">
        <f>W56*D56*3</f>
        <v>90.72</v>
      </c>
      <c r="Y56">
        <v>9.89</v>
      </c>
      <c r="Z56">
        <v>7.5</v>
      </c>
      <c r="AA56">
        <f>Z56*D56*3</f>
        <v>81</v>
      </c>
      <c r="AC56">
        <v>43.66</v>
      </c>
      <c r="AD56">
        <v>5.9</v>
      </c>
      <c r="AE56" s="1">
        <f>AD56*3*D56</f>
        <v>63.720000000000013</v>
      </c>
      <c r="AF56">
        <v>11.9</v>
      </c>
      <c r="AG56" s="5">
        <v>7</v>
      </c>
      <c r="AH56" s="5">
        <f>AG56*D56*3</f>
        <v>75.599999999999994</v>
      </c>
      <c r="AI56" s="13"/>
      <c r="AK56" s="8">
        <f>AJ56*D56*3</f>
        <v>0</v>
      </c>
      <c r="AL56" s="13"/>
      <c r="AM56">
        <v>31.98</v>
      </c>
      <c r="AN56">
        <v>7.9</v>
      </c>
      <c r="AO56" s="8">
        <f>AN56*D56*3</f>
        <v>85.320000000000007</v>
      </c>
      <c r="AP56">
        <v>11.5</v>
      </c>
      <c r="AQ56">
        <v>10</v>
      </c>
      <c r="AR56">
        <f>AQ56*D56*3</f>
        <v>108</v>
      </c>
      <c r="AS56">
        <v>10.94</v>
      </c>
      <c r="AT56">
        <v>8.1999999999999993</v>
      </c>
      <c r="AU56">
        <f>AT56*D56*3</f>
        <v>88.56</v>
      </c>
      <c r="AW56">
        <v>23.46</v>
      </c>
      <c r="AX56">
        <v>8.8000000000000007</v>
      </c>
      <c r="AY56">
        <f>AX56*D56*3</f>
        <v>95.04</v>
      </c>
      <c r="AZ56">
        <v>23.46</v>
      </c>
      <c r="BA56">
        <v>9</v>
      </c>
      <c r="BB56">
        <f>BA56*D56*3</f>
        <v>97.199999999999989</v>
      </c>
      <c r="BD56">
        <v>8.9</v>
      </c>
      <c r="BE56">
        <f>BD56*D56*3</f>
        <v>96.12</v>
      </c>
      <c r="BG56" s="10"/>
      <c r="BH56" s="1">
        <f>CHOOSE(MATCH(MIN(ABS(BP56-C56),ABS(BQ56-C56),ABS(BR56-C56)),CHOOSE({1;2;3},ABS(BP56-C56),ABS(BQ56-C56),ABS(BR56-C56)),0),BP56,BQ56,BR56)</f>
        <v>84.24</v>
      </c>
      <c r="BJ56" s="1" cm="1">
        <f t="array" ref="BJ56">(INDEX(_xlfn._xlws.SORT(CHOOSE({1;2;3;4;5;6},BQ56,BR56,L56,AE56,BO56,BP56)),3) + INDEX(_xlfn._xlws.SORT(CHOOSE({1;2;3;4;5;6},BQ56,BR56,L56,AE56,BO56,BP56)),4))/2</f>
        <v>64.260000000000005</v>
      </c>
      <c r="BK56">
        <v>8.5190869319256102</v>
      </c>
      <c r="BL56" t="s">
        <v>6117</v>
      </c>
      <c r="BM56" s="1">
        <f>BK56*3*D56</f>
        <v>92.006138864796597</v>
      </c>
      <c r="BN56" s="1">
        <f>BM56-C56</f>
        <v>0.20613886479659982</v>
      </c>
      <c r="BO56" s="1">
        <f>GK56*3*D56</f>
        <v>56.7</v>
      </c>
      <c r="BP56" s="1">
        <f>DO56*3*D56</f>
        <v>84.24</v>
      </c>
      <c r="BQ56" s="1">
        <f>FJ56*3*D56</f>
        <v>64.8</v>
      </c>
      <c r="BR56" s="1">
        <f>GL56*3*D56</f>
        <v>43.2</v>
      </c>
      <c r="BT56">
        <v>37.659999999999997</v>
      </c>
      <c r="BU56">
        <v>7.4</v>
      </c>
      <c r="BV56" t="s">
        <v>5195</v>
      </c>
      <c r="BW56" t="s">
        <v>5196</v>
      </c>
      <c r="BX56" t="s">
        <v>5197</v>
      </c>
      <c r="BY56" t="s">
        <v>5198</v>
      </c>
      <c r="CA56" t="s">
        <v>2723</v>
      </c>
      <c r="CC56" t="s">
        <v>2438</v>
      </c>
      <c r="CD56" t="s">
        <v>2744</v>
      </c>
      <c r="CE56" t="s">
        <v>2440</v>
      </c>
      <c r="CG56" t="s">
        <v>2791</v>
      </c>
      <c r="CH56" t="s">
        <v>2823</v>
      </c>
      <c r="CI56" t="s">
        <v>2535</v>
      </c>
      <c r="CJ56" t="s">
        <v>2427</v>
      </c>
      <c r="CK56" t="s">
        <v>2824</v>
      </c>
      <c r="CL56" t="s">
        <v>2825</v>
      </c>
      <c r="CM56" t="s">
        <v>2826</v>
      </c>
      <c r="CN56" t="s">
        <v>2659</v>
      </c>
      <c r="CO56" t="s">
        <v>2827</v>
      </c>
      <c r="CP56" t="s">
        <v>2828</v>
      </c>
      <c r="CQ56" t="s">
        <v>2662</v>
      </c>
      <c r="CR56" t="s">
        <v>2829</v>
      </c>
      <c r="CS56" t="s">
        <v>2830</v>
      </c>
      <c r="CT56" t="s">
        <v>2831</v>
      </c>
      <c r="CV56">
        <v>9</v>
      </c>
      <c r="CW56">
        <v>9</v>
      </c>
      <c r="CX56">
        <v>7</v>
      </c>
      <c r="CY56">
        <v>8</v>
      </c>
      <c r="CZ56">
        <v>6</v>
      </c>
      <c r="DA56">
        <v>0.1</v>
      </c>
      <c r="DB56">
        <v>0.1</v>
      </c>
      <c r="DC56">
        <v>0.2</v>
      </c>
      <c r="DD56">
        <v>0.3</v>
      </c>
      <c r="DE56">
        <v>0.3</v>
      </c>
      <c r="DF56">
        <v>0.9</v>
      </c>
      <c r="DG56">
        <v>0.9</v>
      </c>
      <c r="DH56">
        <v>1.4</v>
      </c>
      <c r="DI56">
        <v>2.4</v>
      </c>
      <c r="DJ56">
        <v>1.8</v>
      </c>
      <c r="DK56">
        <v>7.4</v>
      </c>
      <c r="DL56">
        <v>0</v>
      </c>
      <c r="DM56">
        <v>7.4</v>
      </c>
      <c r="DN56">
        <v>9</v>
      </c>
      <c r="DO56">
        <f>AVERAGE(CV56:CZ56)</f>
        <v>7.8</v>
      </c>
      <c r="DQ56">
        <v>5</v>
      </c>
      <c r="DR56" t="s">
        <v>173</v>
      </c>
      <c r="DS56" t="s">
        <v>181</v>
      </c>
      <c r="DT56" t="s">
        <v>182</v>
      </c>
      <c r="DU56" t="s">
        <v>183</v>
      </c>
      <c r="DV56" t="s">
        <v>184</v>
      </c>
      <c r="DW56" t="s">
        <v>3911</v>
      </c>
      <c r="DX56" t="s">
        <v>4160</v>
      </c>
      <c r="DY56" t="s">
        <v>4161</v>
      </c>
      <c r="DZ56" t="s">
        <v>4162</v>
      </c>
      <c r="EA56" t="s">
        <v>4178</v>
      </c>
      <c r="EB56" t="s">
        <v>4179</v>
      </c>
      <c r="EE56" t="s">
        <v>4180</v>
      </c>
      <c r="EF56" t="s">
        <v>3813</v>
      </c>
      <c r="EH56" t="s">
        <v>4049</v>
      </c>
      <c r="EI56" t="s">
        <v>4181</v>
      </c>
      <c r="EJ56" t="s">
        <v>4182</v>
      </c>
      <c r="EL56" t="s">
        <v>4183</v>
      </c>
      <c r="EM56" t="s">
        <v>4184</v>
      </c>
      <c r="EN56" t="s">
        <v>3967</v>
      </c>
      <c r="EP56" t="s">
        <v>4185</v>
      </c>
      <c r="EQ56">
        <v>4</v>
      </c>
      <c r="ER56">
        <v>8</v>
      </c>
      <c r="ES56">
        <v>7</v>
      </c>
      <c r="ET56">
        <v>6</v>
      </c>
      <c r="EU56">
        <v>5</v>
      </c>
      <c r="EV56">
        <v>0.1</v>
      </c>
      <c r="EW56">
        <v>0.1</v>
      </c>
      <c r="EX56">
        <v>0.2</v>
      </c>
      <c r="EY56">
        <v>0.3</v>
      </c>
      <c r="EZ56">
        <v>0.3</v>
      </c>
      <c r="FA56">
        <f>EV56*EQ56</f>
        <v>0.4</v>
      </c>
      <c r="FB56">
        <f>EW56*ER56</f>
        <v>0.8</v>
      </c>
      <c r="FC56">
        <f>EX56*ES56</f>
        <v>1.4000000000000001</v>
      </c>
      <c r="FD56">
        <f>EY56*ET56</f>
        <v>1.7999999999999998</v>
      </c>
      <c r="FE56">
        <f>EZ56*EU56</f>
        <v>1.5</v>
      </c>
      <c r="FF56">
        <v>16</v>
      </c>
      <c r="FG56">
        <v>0</v>
      </c>
      <c r="FH56">
        <v>16</v>
      </c>
      <c r="FI56">
        <f>FA56+FB56+FC56+FD56+FE56</f>
        <v>5.9</v>
      </c>
      <c r="FJ56">
        <f>MEDIAN(EQ56:EU56)</f>
        <v>6</v>
      </c>
      <c r="FL56">
        <v>40.729999999999997</v>
      </c>
      <c r="FM56">
        <v>9</v>
      </c>
      <c r="FN56" t="s">
        <v>869</v>
      </c>
      <c r="FO56" t="s">
        <v>870</v>
      </c>
      <c r="FP56" t="s">
        <v>871</v>
      </c>
      <c r="FQ56" t="s">
        <v>872</v>
      </c>
      <c r="FR56" t="s">
        <v>873</v>
      </c>
      <c r="FS56">
        <v>2.5</v>
      </c>
      <c r="FT56">
        <v>3</v>
      </c>
      <c r="FU56">
        <v>4</v>
      </c>
      <c r="FV56">
        <v>6</v>
      </c>
      <c r="FW56">
        <v>7</v>
      </c>
      <c r="FX56">
        <v>0.1</v>
      </c>
      <c r="FY56">
        <v>0.1</v>
      </c>
      <c r="FZ56">
        <v>0.2</v>
      </c>
      <c r="GA56">
        <v>0.3</v>
      </c>
      <c r="GB56">
        <v>0.3</v>
      </c>
      <c r="GC56">
        <f>FS56*FX56</f>
        <v>0.25</v>
      </c>
      <c r="GD56">
        <f>FT56*FY56</f>
        <v>0.30000000000000004</v>
      </c>
      <c r="GE56">
        <f>FU56*FZ56</f>
        <v>0.8</v>
      </c>
      <c r="GF56">
        <f>FV56*GA56</f>
        <v>1.7999999999999998</v>
      </c>
      <c r="GG56">
        <f>FW56*GB56</f>
        <v>2.1</v>
      </c>
      <c r="GH56">
        <v>9</v>
      </c>
      <c r="GI56">
        <v>0</v>
      </c>
      <c r="GJ56">
        <v>9</v>
      </c>
      <c r="GK56">
        <f>GC56+GD56+GE56+GF56+GG56</f>
        <v>5.25</v>
      </c>
      <c r="GL56">
        <f>MEDIAN(FS56:FW56)</f>
        <v>4</v>
      </c>
    </row>
    <row r="57" spans="1:194" x14ac:dyDescent="0.25">
      <c r="A57">
        <v>103</v>
      </c>
      <c r="B57" t="s">
        <v>2</v>
      </c>
      <c r="C57" s="4">
        <v>87.45</v>
      </c>
      <c r="D57">
        <v>3.3</v>
      </c>
      <c r="E57" s="1">
        <f>C57/3/D57</f>
        <v>8.8333333333333339</v>
      </c>
      <c r="G57">
        <v>34.74</v>
      </c>
      <c r="H57">
        <v>8.1999999999999993</v>
      </c>
      <c r="I57">
        <f>H57*D57*3</f>
        <v>81.179999999999978</v>
      </c>
      <c r="J57">
        <v>17.47</v>
      </c>
      <c r="K57">
        <v>8.4</v>
      </c>
      <c r="L57" s="3">
        <f>K57*3*D57</f>
        <v>83.160000000000011</v>
      </c>
      <c r="M57">
        <v>5.16</v>
      </c>
      <c r="N57">
        <v>5</v>
      </c>
      <c r="O57">
        <f>N57*D57*3</f>
        <v>49.5</v>
      </c>
      <c r="P57" s="5">
        <v>7.9</v>
      </c>
      <c r="Q57" s="5">
        <f>P57*D57*3</f>
        <v>78.210000000000008</v>
      </c>
      <c r="S57" t="s">
        <v>6239</v>
      </c>
      <c r="T57">
        <v>6.5</v>
      </c>
      <c r="U57" s="8">
        <f>T57*D57*3</f>
        <v>64.349999999999994</v>
      </c>
      <c r="V57">
        <v>32.03</v>
      </c>
      <c r="W57">
        <v>8.4</v>
      </c>
      <c r="X57" s="5">
        <f>W57*D57*3</f>
        <v>83.16</v>
      </c>
      <c r="Y57">
        <v>11.37</v>
      </c>
      <c r="Z57">
        <v>6.8</v>
      </c>
      <c r="AA57">
        <f>Z57*D57*3</f>
        <v>67.319999999999993</v>
      </c>
      <c r="AC57">
        <v>51.02</v>
      </c>
      <c r="AD57">
        <v>7.1</v>
      </c>
      <c r="AE57" s="1">
        <f>AD57*3*D57</f>
        <v>70.289999999999992</v>
      </c>
      <c r="AF57">
        <v>12.13</v>
      </c>
      <c r="AG57" s="5">
        <v>7</v>
      </c>
      <c r="AH57" s="5">
        <f>AG57*D57*3</f>
        <v>69.3</v>
      </c>
      <c r="AI57" s="13"/>
      <c r="AJ57">
        <v>1.7</v>
      </c>
      <c r="AK57" s="8">
        <f>AJ57*D57*3</f>
        <v>16.829999999999998</v>
      </c>
      <c r="AL57" s="13"/>
      <c r="AM57">
        <v>31.02</v>
      </c>
      <c r="AN57">
        <v>7.1</v>
      </c>
      <c r="AO57" s="8">
        <f>AN57*D57*3</f>
        <v>70.289999999999992</v>
      </c>
      <c r="AP57">
        <v>14.32</v>
      </c>
      <c r="AQ57">
        <v>9.5</v>
      </c>
      <c r="AR57">
        <f>AQ57*D57*3</f>
        <v>94.05</v>
      </c>
      <c r="AT57">
        <v>8.6</v>
      </c>
      <c r="AU57">
        <f>AT57*D57*3</f>
        <v>85.14</v>
      </c>
      <c r="AW57">
        <v>24.67</v>
      </c>
      <c r="AX57">
        <v>9.1999999999999993</v>
      </c>
      <c r="AY57">
        <f>AX57*D57*3</f>
        <v>91.079999999999984</v>
      </c>
      <c r="AZ57">
        <v>24.67</v>
      </c>
      <c r="BA57">
        <v>9.4</v>
      </c>
      <c r="BB57">
        <f>BA57*D57*3</f>
        <v>93.06</v>
      </c>
      <c r="BD57">
        <v>8.3000000000000007</v>
      </c>
      <c r="BE57">
        <f>BD57*D57*3</f>
        <v>82.17</v>
      </c>
      <c r="BG57" s="10"/>
      <c r="BH57" s="1">
        <f>CHOOSE(MATCH(MIN(ABS(BP57-C57),ABS(BQ57-C57),ABS(BR57-C57)),CHOOSE({1;2;3},ABS(BP57-C57),ABS(BQ57-C57),ABS(BR57-C57)),0),BP57,BQ57,BR57)</f>
        <v>89.1</v>
      </c>
      <c r="BJ57" s="1" cm="1">
        <f t="array" ref="BJ57">(INDEX(_xlfn._xlws.SORT(CHOOSE({1;2;3;4;5;6},BQ57,BR57,L57,AE57,BO57,BP57)),3) + INDEX(_xlfn._xlws.SORT(CHOOSE({1;2;3;4;5;6},BQ57,BR57,L57,AE57,BO57,BP57)),4))/2</f>
        <v>69.794999999999987</v>
      </c>
      <c r="BK57">
        <v>8.0147507323233693</v>
      </c>
      <c r="BL57" s="11" t="s">
        <v>6116</v>
      </c>
      <c r="BM57" s="1">
        <f>BK57*3*D57</f>
        <v>79.346032250001343</v>
      </c>
      <c r="BN57" s="1">
        <f>BM57-C57</f>
        <v>-8.1039677499986595</v>
      </c>
      <c r="BO57" s="1">
        <f>GK57*3*D57</f>
        <v>42.074999999999996</v>
      </c>
      <c r="BP57" s="1">
        <f>DO57*3*D57</f>
        <v>89.1</v>
      </c>
      <c r="BQ57" s="1">
        <f>FJ57*3*D57</f>
        <v>69.3</v>
      </c>
      <c r="BR57" s="1">
        <f>GL57*3*D57</f>
        <v>49.5</v>
      </c>
      <c r="BT57">
        <v>34.74</v>
      </c>
      <c r="BU57">
        <v>8.1999999999999993</v>
      </c>
      <c r="BV57" t="s">
        <v>5003</v>
      </c>
      <c r="BW57" t="s">
        <v>5004</v>
      </c>
      <c r="BX57" t="s">
        <v>5029</v>
      </c>
      <c r="BY57" t="s">
        <v>5092</v>
      </c>
      <c r="BZ57" t="s">
        <v>5031</v>
      </c>
      <c r="CA57" t="s">
        <v>2437</v>
      </c>
      <c r="CC57" t="s">
        <v>2758</v>
      </c>
      <c r="CD57" t="s">
        <v>2508</v>
      </c>
      <c r="CE57" t="s">
        <v>2440</v>
      </c>
      <c r="CG57" t="s">
        <v>2761</v>
      </c>
      <c r="CH57" t="s">
        <v>2510</v>
      </c>
      <c r="CI57" t="s">
        <v>2443</v>
      </c>
      <c r="CK57" t="s">
        <v>2795</v>
      </c>
      <c r="CL57" t="s">
        <v>2512</v>
      </c>
      <c r="CM57" t="s">
        <v>2446</v>
      </c>
      <c r="CO57" t="s">
        <v>2796</v>
      </c>
      <c r="CP57" t="s">
        <v>2514</v>
      </c>
      <c r="CQ57" t="s">
        <v>2449</v>
      </c>
      <c r="CS57" t="s">
        <v>2679</v>
      </c>
      <c r="CT57" t="s">
        <v>2524</v>
      </c>
      <c r="CV57">
        <v>9</v>
      </c>
      <c r="CW57">
        <v>9</v>
      </c>
      <c r="CX57">
        <v>9</v>
      </c>
      <c r="CY57">
        <v>9</v>
      </c>
      <c r="CZ57">
        <v>9</v>
      </c>
      <c r="DA57">
        <v>0.1</v>
      </c>
      <c r="DB57">
        <v>0.1</v>
      </c>
      <c r="DC57">
        <v>0.2</v>
      </c>
      <c r="DD57">
        <v>0.3</v>
      </c>
      <c r="DE57">
        <v>0.3</v>
      </c>
      <c r="DF57">
        <v>0.9</v>
      </c>
      <c r="DG57">
        <v>0.9</v>
      </c>
      <c r="DH57">
        <v>1.8</v>
      </c>
      <c r="DI57">
        <v>2.7</v>
      </c>
      <c r="DJ57">
        <v>2.7</v>
      </c>
      <c r="DK57">
        <v>8.1999999999999993</v>
      </c>
      <c r="DL57">
        <v>0</v>
      </c>
      <c r="DM57">
        <v>8.1999999999999993</v>
      </c>
      <c r="DN57">
        <v>8.4</v>
      </c>
      <c r="DO57">
        <f>AVERAGE(CV57:CZ57)</f>
        <v>9</v>
      </c>
      <c r="DQ57" t="s">
        <v>27</v>
      </c>
      <c r="DR57" t="s">
        <v>28</v>
      </c>
      <c r="DS57" t="s">
        <v>61</v>
      </c>
      <c r="DT57" t="s">
        <v>140</v>
      </c>
      <c r="DU57" t="s">
        <v>91</v>
      </c>
      <c r="DV57" t="s">
        <v>262</v>
      </c>
      <c r="DW57" t="s">
        <v>3769</v>
      </c>
      <c r="DX57" t="s">
        <v>3770</v>
      </c>
      <c r="DY57" t="s">
        <v>3963</v>
      </c>
      <c r="DZ57" t="s">
        <v>3963</v>
      </c>
      <c r="EA57" t="s">
        <v>3860</v>
      </c>
      <c r="EB57" t="s">
        <v>3964</v>
      </c>
      <c r="EC57" t="s">
        <v>3965</v>
      </c>
      <c r="ED57" t="s">
        <v>3965</v>
      </c>
      <c r="EE57" t="s">
        <v>3886</v>
      </c>
      <c r="EF57" t="s">
        <v>4376</v>
      </c>
      <c r="EG57" t="s">
        <v>4088</v>
      </c>
      <c r="EH57" t="s">
        <v>4088</v>
      </c>
      <c r="EI57" t="s">
        <v>4045</v>
      </c>
      <c r="EJ57" t="s">
        <v>3928</v>
      </c>
      <c r="EK57" t="s">
        <v>3970</v>
      </c>
      <c r="EL57" t="s">
        <v>3970</v>
      </c>
      <c r="EM57" t="s">
        <v>4377</v>
      </c>
      <c r="EN57" t="s">
        <v>4025</v>
      </c>
      <c r="EO57" t="s">
        <v>4378</v>
      </c>
      <c r="EP57" t="s">
        <v>4378</v>
      </c>
      <c r="EQ57">
        <v>7</v>
      </c>
      <c r="ER57">
        <v>8</v>
      </c>
      <c r="ES57">
        <v>7</v>
      </c>
      <c r="ET57">
        <v>7</v>
      </c>
      <c r="EU57">
        <v>7</v>
      </c>
      <c r="EV57">
        <v>0.1</v>
      </c>
      <c r="EW57">
        <v>0.1</v>
      </c>
      <c r="EX57">
        <v>0.2</v>
      </c>
      <c r="EY57">
        <v>0.3</v>
      </c>
      <c r="EZ57">
        <v>0.3</v>
      </c>
      <c r="FA57">
        <f>EV57*EQ57</f>
        <v>0.70000000000000007</v>
      </c>
      <c r="FB57">
        <f>EW57*ER57</f>
        <v>0.8</v>
      </c>
      <c r="FC57">
        <f>EX57*ES57</f>
        <v>1.4000000000000001</v>
      </c>
      <c r="FD57">
        <f>EY57*ET57</f>
        <v>2.1</v>
      </c>
      <c r="FE57">
        <f>EZ57*EU57</f>
        <v>2.1</v>
      </c>
      <c r="FF57">
        <v>19</v>
      </c>
      <c r="FG57">
        <v>0</v>
      </c>
      <c r="FH57">
        <v>8</v>
      </c>
      <c r="FI57">
        <f>FA57+FB57+FC57+FD57+FE57</f>
        <v>7.1</v>
      </c>
      <c r="FJ57">
        <f>MEDIAN(EQ57:EU57)</f>
        <v>7</v>
      </c>
      <c r="FL57">
        <v>37.700000000000003</v>
      </c>
      <c r="FM57">
        <v>5</v>
      </c>
      <c r="FN57" t="s">
        <v>1092</v>
      </c>
      <c r="FO57" t="s">
        <v>1093</v>
      </c>
      <c r="FP57" t="s">
        <v>1094</v>
      </c>
      <c r="FQ57" t="s">
        <v>1095</v>
      </c>
      <c r="FR57" t="s">
        <v>1096</v>
      </c>
      <c r="FS57">
        <v>5</v>
      </c>
      <c r="FT57">
        <v>7.5</v>
      </c>
      <c r="FU57">
        <v>6</v>
      </c>
      <c r="FV57">
        <v>4</v>
      </c>
      <c r="FW57">
        <v>2</v>
      </c>
      <c r="FX57">
        <v>0.1</v>
      </c>
      <c r="FY57">
        <v>0.1</v>
      </c>
      <c r="FZ57">
        <v>0.2</v>
      </c>
      <c r="GA57">
        <v>0.3</v>
      </c>
      <c r="GB57">
        <v>0.3</v>
      </c>
      <c r="GC57">
        <f>FS57*FX57</f>
        <v>0.5</v>
      </c>
      <c r="GD57">
        <f>FT57*FY57</f>
        <v>0.75</v>
      </c>
      <c r="GE57">
        <f>FU57*FZ57</f>
        <v>1.2000000000000002</v>
      </c>
      <c r="GF57">
        <f>FV57*GA57</f>
        <v>1.2</v>
      </c>
      <c r="GG57">
        <f>FW57*GB57</f>
        <v>0.6</v>
      </c>
      <c r="GH57">
        <v>4.8</v>
      </c>
      <c r="GI57">
        <v>0.2</v>
      </c>
      <c r="GJ57">
        <v>5</v>
      </c>
      <c r="GK57">
        <f>GC57+GD57+GE57+GF57+GG57</f>
        <v>4.25</v>
      </c>
      <c r="GL57">
        <f>MEDIAN(FS57:FW57)</f>
        <v>5</v>
      </c>
    </row>
    <row r="58" spans="1:194" hidden="1" x14ac:dyDescent="0.25">
      <c r="A58">
        <v>57</v>
      </c>
      <c r="B58" t="s">
        <v>2</v>
      </c>
      <c r="C58" s="4">
        <v>97.2</v>
      </c>
      <c r="D58">
        <v>3.6</v>
      </c>
      <c r="E58" s="1">
        <f>C58/3/D58</f>
        <v>9</v>
      </c>
      <c r="G58">
        <v>33.61</v>
      </c>
      <c r="H58">
        <v>8.6999999999999993</v>
      </c>
      <c r="I58">
        <f>H58*D58*3</f>
        <v>93.96</v>
      </c>
      <c r="J58">
        <v>18.98</v>
      </c>
      <c r="K58">
        <v>9</v>
      </c>
      <c r="L58" s="3">
        <f>K58*3*D58</f>
        <v>97.2</v>
      </c>
      <c r="M58">
        <v>5.44</v>
      </c>
      <c r="N58">
        <v>5</v>
      </c>
      <c r="O58">
        <f>N58*D58*3</f>
        <v>54</v>
      </c>
      <c r="P58" s="5">
        <v>7.9</v>
      </c>
      <c r="Q58" s="5">
        <f>P58*D58*3</f>
        <v>85.320000000000007</v>
      </c>
      <c r="S58" t="s">
        <v>6147</v>
      </c>
      <c r="T58">
        <v>7</v>
      </c>
      <c r="U58" s="8">
        <f>T58*D58*3</f>
        <v>75.599999999999994</v>
      </c>
      <c r="V58">
        <v>32.85</v>
      </c>
      <c r="W58">
        <v>7.4</v>
      </c>
      <c r="X58" s="5">
        <f>W58*D58*3</f>
        <v>79.92</v>
      </c>
      <c r="Y58">
        <v>9.18</v>
      </c>
      <c r="Z58">
        <v>7.5</v>
      </c>
      <c r="AA58">
        <f>Z58*D58*3</f>
        <v>81</v>
      </c>
      <c r="AC58">
        <v>45.68</v>
      </c>
      <c r="AD58">
        <v>8</v>
      </c>
      <c r="AE58" s="1">
        <f>AD58*3*D58</f>
        <v>86.4</v>
      </c>
      <c r="AF58">
        <v>11.81</v>
      </c>
      <c r="AG58" s="5">
        <v>4</v>
      </c>
      <c r="AH58" s="5">
        <f>AG58*D58*3</f>
        <v>43.2</v>
      </c>
      <c r="AI58" s="13"/>
      <c r="AK58" s="8">
        <f>AJ58*D58*3</f>
        <v>0</v>
      </c>
      <c r="AL58" s="13"/>
      <c r="AM58">
        <v>31.49</v>
      </c>
      <c r="AN58">
        <v>6.9</v>
      </c>
      <c r="AO58" s="8">
        <f>AN58*D58*3</f>
        <v>74.52000000000001</v>
      </c>
      <c r="AP58">
        <v>14.14</v>
      </c>
      <c r="AQ58">
        <v>10</v>
      </c>
      <c r="AR58">
        <f>AQ58*D58*3</f>
        <v>108</v>
      </c>
      <c r="AS58">
        <v>10.88</v>
      </c>
      <c r="AT58">
        <v>8.5</v>
      </c>
      <c r="AU58">
        <f>AT58*D58*3</f>
        <v>91.800000000000011</v>
      </c>
      <c r="AW58">
        <v>22.63</v>
      </c>
      <c r="AX58">
        <v>8.8000000000000007</v>
      </c>
      <c r="AY58">
        <f>AX58*D58*3</f>
        <v>95.04</v>
      </c>
      <c r="AZ58">
        <v>22.63</v>
      </c>
      <c r="BA58">
        <v>7.9</v>
      </c>
      <c r="BB58">
        <f>BA58*D58*3</f>
        <v>85.320000000000007</v>
      </c>
      <c r="BD58">
        <v>7.9</v>
      </c>
      <c r="BE58">
        <f>BD58*D58*3</f>
        <v>85.320000000000007</v>
      </c>
      <c r="BG58" s="10"/>
      <c r="BH58" s="1">
        <f>CHOOSE(MATCH(MIN(ABS(BP58-C58),ABS(BQ58-C58),ABS(BR58-C58)),CHOOSE({1;2;3},ABS(BP58-C58),ABS(BQ58-C58),ABS(BR58-C58)),0),BP58,BQ58,BR58)</f>
        <v>95.04</v>
      </c>
      <c r="BJ58" s="1" cm="1">
        <f t="array" ref="BJ58">(INDEX(_xlfn._xlws.SORT(CHOOSE({1;2;3;4;5;6},BQ58,BR58,L58,AE58,BO58,BP58)),3) + INDEX(_xlfn._xlws.SORT(CHOOSE({1;2;3;4;5;6},BQ58,BR58,L58,AE58,BO58,BP58)),4))/2</f>
        <v>92.88000000000001</v>
      </c>
      <c r="BK58">
        <v>8.9417995290242391</v>
      </c>
      <c r="BL58" t="s">
        <v>6117</v>
      </c>
      <c r="BM58" s="1">
        <f>BK58*3*D58</f>
        <v>96.571434913461786</v>
      </c>
      <c r="BN58" s="1">
        <f>BM58-C58</f>
        <v>-0.62856508653821663</v>
      </c>
      <c r="BO58" s="1">
        <f>GK58*3*D58</f>
        <v>90.720000000000013</v>
      </c>
      <c r="BP58" s="1">
        <f>DO58*3*D58</f>
        <v>95.04</v>
      </c>
      <c r="BQ58" s="1">
        <f>FJ58*3*D58</f>
        <v>86.4</v>
      </c>
      <c r="BR58" s="1">
        <f>GL58*3*D58</f>
        <v>108</v>
      </c>
      <c r="BT58">
        <v>33.61</v>
      </c>
      <c r="BU58">
        <v>8.6999999999999993</v>
      </c>
      <c r="BV58" t="s">
        <v>5203</v>
      </c>
      <c r="BW58" t="s">
        <v>5204</v>
      </c>
      <c r="BX58" t="s">
        <v>5205</v>
      </c>
      <c r="BY58" t="s">
        <v>5206</v>
      </c>
      <c r="BZ58" t="s">
        <v>5207</v>
      </c>
      <c r="CA58" t="s">
        <v>2633</v>
      </c>
      <c r="CC58" t="s">
        <v>2634</v>
      </c>
      <c r="CD58" t="s">
        <v>2635</v>
      </c>
      <c r="CE58" t="s">
        <v>2553</v>
      </c>
      <c r="CG58" t="s">
        <v>2634</v>
      </c>
      <c r="CH58" t="s">
        <v>2832</v>
      </c>
      <c r="CI58" t="s">
        <v>2833</v>
      </c>
      <c r="CK58" t="s">
        <v>2634</v>
      </c>
      <c r="CL58" t="s">
        <v>2834</v>
      </c>
      <c r="CM58" t="s">
        <v>2595</v>
      </c>
      <c r="CO58" t="s">
        <v>2634</v>
      </c>
      <c r="CP58" t="s">
        <v>2835</v>
      </c>
      <c r="CQ58" t="s">
        <v>2836</v>
      </c>
      <c r="CR58" t="s">
        <v>2837</v>
      </c>
      <c r="CS58" t="s">
        <v>2838</v>
      </c>
      <c r="CT58" t="s">
        <v>2839</v>
      </c>
      <c r="CV58">
        <v>9</v>
      </c>
      <c r="CW58">
        <v>9</v>
      </c>
      <c r="CX58">
        <v>9</v>
      </c>
      <c r="CY58">
        <v>9</v>
      </c>
      <c r="CZ58">
        <v>8</v>
      </c>
      <c r="DA58">
        <v>0.1</v>
      </c>
      <c r="DB58">
        <v>0.1</v>
      </c>
      <c r="DC58">
        <v>0.2</v>
      </c>
      <c r="DD58">
        <v>0.3</v>
      </c>
      <c r="DE58">
        <v>0.3</v>
      </c>
      <c r="DF58">
        <v>0.9</v>
      </c>
      <c r="DG58">
        <v>0.9</v>
      </c>
      <c r="DH58">
        <v>1.8</v>
      </c>
      <c r="DI58">
        <v>2.7</v>
      </c>
      <c r="DJ58">
        <v>2.4</v>
      </c>
      <c r="DK58">
        <v>8.6999999999999993</v>
      </c>
      <c r="DL58">
        <v>0</v>
      </c>
      <c r="DM58">
        <v>8.6999999999999993</v>
      </c>
      <c r="DN58">
        <v>9</v>
      </c>
      <c r="DO58">
        <f>AVERAGE(CV58:CZ58)</f>
        <v>8.8000000000000007</v>
      </c>
      <c r="DQ58">
        <v>8</v>
      </c>
      <c r="DR58" t="s">
        <v>47</v>
      </c>
      <c r="DS58" t="s">
        <v>48</v>
      </c>
      <c r="DT58" t="s">
        <v>49</v>
      </c>
      <c r="DU58" t="s">
        <v>185</v>
      </c>
      <c r="DV58" t="s">
        <v>186</v>
      </c>
      <c r="DW58" t="s">
        <v>3769</v>
      </c>
      <c r="DX58" t="s">
        <v>4186</v>
      </c>
      <c r="DY58" t="s">
        <v>3826</v>
      </c>
      <c r="DZ58" t="s">
        <v>3827</v>
      </c>
      <c r="EA58" t="s">
        <v>3828</v>
      </c>
      <c r="EB58" t="s">
        <v>3793</v>
      </c>
      <c r="EC58" t="s">
        <v>3829</v>
      </c>
      <c r="ED58" t="s">
        <v>3827</v>
      </c>
      <c r="EE58" t="s">
        <v>3830</v>
      </c>
      <c r="EF58" t="s">
        <v>3797</v>
      </c>
      <c r="EG58" t="s">
        <v>3831</v>
      </c>
      <c r="EH58" t="s">
        <v>3827</v>
      </c>
      <c r="EI58" t="s">
        <v>4187</v>
      </c>
      <c r="EJ58" t="s">
        <v>3800</v>
      </c>
      <c r="EK58" t="s">
        <v>3833</v>
      </c>
      <c r="EL58" t="s">
        <v>3827</v>
      </c>
      <c r="EM58" t="s">
        <v>4188</v>
      </c>
      <c r="EN58" t="s">
        <v>3803</v>
      </c>
      <c r="EO58" t="s">
        <v>3835</v>
      </c>
      <c r="EP58" t="s">
        <v>3827</v>
      </c>
      <c r="EQ58">
        <v>8</v>
      </c>
      <c r="ER58">
        <v>8</v>
      </c>
      <c r="ES58">
        <v>8</v>
      </c>
      <c r="ET58">
        <v>8</v>
      </c>
      <c r="EU58">
        <v>8</v>
      </c>
      <c r="EV58">
        <v>0.1</v>
      </c>
      <c r="EW58">
        <v>0.1</v>
      </c>
      <c r="EX58">
        <v>0.2</v>
      </c>
      <c r="EY58">
        <v>0.3</v>
      </c>
      <c r="EZ58">
        <v>0.3</v>
      </c>
      <c r="FA58">
        <f>EV58*EQ58</f>
        <v>0.8</v>
      </c>
      <c r="FB58">
        <f>EW58*ER58</f>
        <v>0.8</v>
      </c>
      <c r="FC58">
        <f>EX58*ES58</f>
        <v>1.6</v>
      </c>
      <c r="FD58">
        <f>EY58*ET58</f>
        <v>2.4</v>
      </c>
      <c r="FE58">
        <f>EZ58*EU58</f>
        <v>2.4</v>
      </c>
      <c r="FF58">
        <v>16</v>
      </c>
      <c r="FG58">
        <v>0</v>
      </c>
      <c r="FH58">
        <v>8</v>
      </c>
      <c r="FI58">
        <f>FA58+FB58+FC58+FD58+FE58</f>
        <v>8</v>
      </c>
      <c r="FJ58">
        <f>MEDIAN(EQ58:EU58)</f>
        <v>8</v>
      </c>
      <c r="FL58">
        <v>42.57</v>
      </c>
      <c r="FM58">
        <v>8.4</v>
      </c>
      <c r="FN58" t="s">
        <v>879</v>
      </c>
      <c r="FO58" t="s">
        <v>880</v>
      </c>
      <c r="FP58" t="s">
        <v>881</v>
      </c>
      <c r="FQ58" t="s">
        <v>882</v>
      </c>
      <c r="FR58" t="s">
        <v>883</v>
      </c>
      <c r="FS58">
        <v>10</v>
      </c>
      <c r="FT58">
        <v>9</v>
      </c>
      <c r="FU58">
        <v>10</v>
      </c>
      <c r="FV58">
        <v>10</v>
      </c>
      <c r="FW58">
        <v>5</v>
      </c>
      <c r="FX58">
        <v>0.1</v>
      </c>
      <c r="FY58">
        <v>0.1</v>
      </c>
      <c r="FZ58">
        <v>0.2</v>
      </c>
      <c r="GA58">
        <v>0.3</v>
      </c>
      <c r="GB58">
        <v>0.3</v>
      </c>
      <c r="GC58">
        <f>FS58*FX58</f>
        <v>1</v>
      </c>
      <c r="GD58">
        <f>FT58*FY58</f>
        <v>0.9</v>
      </c>
      <c r="GE58">
        <f>FU58*FZ58</f>
        <v>2</v>
      </c>
      <c r="GF58">
        <f>FV58*GA58</f>
        <v>3</v>
      </c>
      <c r="GG58">
        <f>FW58*GB58</f>
        <v>1.5</v>
      </c>
      <c r="GH58">
        <v>8.4</v>
      </c>
      <c r="GJ58">
        <v>8.4</v>
      </c>
      <c r="GK58">
        <f>GC58+GD58+GE58+GF58+GG58</f>
        <v>8.4</v>
      </c>
      <c r="GL58">
        <f>MEDIAN(FS58:FW58)</f>
        <v>10</v>
      </c>
    </row>
    <row r="59" spans="1:194" hidden="1" x14ac:dyDescent="0.25">
      <c r="A59">
        <v>58</v>
      </c>
      <c r="B59" t="s">
        <v>2</v>
      </c>
      <c r="C59" s="4">
        <v>91.8</v>
      </c>
      <c r="D59">
        <v>3.6</v>
      </c>
      <c r="E59" s="1">
        <f>C59/3/D59</f>
        <v>8.5</v>
      </c>
      <c r="G59">
        <v>37.75</v>
      </c>
      <c r="H59">
        <v>8.1999999999999993</v>
      </c>
      <c r="I59">
        <f>H59*D59*3</f>
        <v>88.56</v>
      </c>
      <c r="J59">
        <v>16.53</v>
      </c>
      <c r="K59">
        <v>9</v>
      </c>
      <c r="L59" s="3">
        <f>K59*3*D59</f>
        <v>97.2</v>
      </c>
      <c r="M59">
        <v>5.17</v>
      </c>
      <c r="N59">
        <v>6</v>
      </c>
      <c r="O59">
        <f>N59*D59*3</f>
        <v>64.800000000000011</v>
      </c>
      <c r="P59" s="5">
        <v>9</v>
      </c>
      <c r="Q59" s="5">
        <f>P59*D59*3</f>
        <v>97.199999999999989</v>
      </c>
      <c r="S59" t="s">
        <v>6195</v>
      </c>
      <c r="T59">
        <v>4</v>
      </c>
      <c r="U59" s="8">
        <f>T59*D59*3</f>
        <v>43.2</v>
      </c>
      <c r="V59">
        <v>35.26</v>
      </c>
      <c r="W59">
        <v>8.4</v>
      </c>
      <c r="X59" s="5">
        <f>W59*D59*3</f>
        <v>90.72</v>
      </c>
      <c r="Y59">
        <v>9.31</v>
      </c>
      <c r="Z59">
        <v>6</v>
      </c>
      <c r="AA59">
        <f>Z59*D59*3</f>
        <v>64.800000000000011</v>
      </c>
      <c r="AC59">
        <v>48.44</v>
      </c>
      <c r="AD59">
        <v>8</v>
      </c>
      <c r="AE59" s="1">
        <f>AD59*3*D59</f>
        <v>86.4</v>
      </c>
      <c r="AF59">
        <v>12.01</v>
      </c>
      <c r="AG59" s="5">
        <v>7</v>
      </c>
      <c r="AH59" s="5">
        <f>AG59*D59*3</f>
        <v>75.599999999999994</v>
      </c>
      <c r="AI59" s="13"/>
      <c r="AK59" s="8">
        <f>AJ59*D59*3</f>
        <v>0</v>
      </c>
      <c r="AL59" s="13"/>
      <c r="AM59">
        <v>29.87</v>
      </c>
      <c r="AN59">
        <v>8.1</v>
      </c>
      <c r="AO59" s="8">
        <f>AN59*D59*3</f>
        <v>87.48</v>
      </c>
      <c r="AP59">
        <v>11.94</v>
      </c>
      <c r="AQ59">
        <v>9.4</v>
      </c>
      <c r="AR59">
        <f>AQ59*D59*3</f>
        <v>101.52000000000001</v>
      </c>
      <c r="AS59">
        <v>10.56</v>
      </c>
      <c r="AT59">
        <v>9</v>
      </c>
      <c r="AU59">
        <f>AT59*D59*3</f>
        <v>97.199999999999989</v>
      </c>
      <c r="AW59">
        <v>24.86</v>
      </c>
      <c r="AX59">
        <v>8.6</v>
      </c>
      <c r="AY59">
        <f>AX59*D59*3</f>
        <v>92.88</v>
      </c>
      <c r="AZ59">
        <v>24.86</v>
      </c>
      <c r="BA59">
        <v>9.1999999999999993</v>
      </c>
      <c r="BB59">
        <f>BA59*D59*3</f>
        <v>99.359999999999985</v>
      </c>
      <c r="BD59">
        <v>9</v>
      </c>
      <c r="BE59">
        <f>BD59*D59*3</f>
        <v>97.199999999999989</v>
      </c>
      <c r="BG59" s="10"/>
      <c r="BH59" s="1">
        <f>CHOOSE(MATCH(MIN(ABS(BP59-C59),ABS(BQ59-C59),ABS(BR59-C59)),CHOOSE({1;2;3},ABS(BP59-C59),ABS(BQ59-C59),ABS(BR59-C59)),0),BP59,BQ59,BR59)</f>
        <v>86.4</v>
      </c>
      <c r="BJ59" s="1" cm="1">
        <f t="array" ref="BJ59">(INDEX(_xlfn._xlws.SORT(CHOOSE({1;2;3;4;5;6},BQ59,BR59,L59,AE59,BO59,BP59)),3) + INDEX(_xlfn._xlws.SORT(CHOOSE({1;2;3;4;5;6},BQ59,BR59,L59,AE59,BO59,BP59)),4))/2</f>
        <v>86.4</v>
      </c>
      <c r="BK59">
        <v>8.4426403798177603</v>
      </c>
      <c r="BL59" t="s">
        <v>6117</v>
      </c>
      <c r="BM59" s="1">
        <f>BK59*3*D59</f>
        <v>91.180516102031817</v>
      </c>
      <c r="BN59" s="1">
        <f>BM59-C59</f>
        <v>-0.61948389796818049</v>
      </c>
      <c r="BO59" s="1">
        <f>GK59*3*D59</f>
        <v>50.759999999999991</v>
      </c>
      <c r="BP59" s="1">
        <f>DO59*3*D59</f>
        <v>97.2</v>
      </c>
      <c r="BQ59" s="1">
        <f>FJ59*3*D59</f>
        <v>86.4</v>
      </c>
      <c r="BR59" s="1">
        <f>GL59*3*D59</f>
        <v>54</v>
      </c>
      <c r="BT59">
        <v>37.75</v>
      </c>
      <c r="BU59">
        <v>8.1999999999999993</v>
      </c>
      <c r="BV59" t="s">
        <v>5208</v>
      </c>
      <c r="BW59" t="s">
        <v>5209</v>
      </c>
      <c r="BX59" t="s">
        <v>5210</v>
      </c>
      <c r="BY59" t="s">
        <v>5211</v>
      </c>
      <c r="BZ59" t="s">
        <v>5212</v>
      </c>
      <c r="CA59" t="s">
        <v>2437</v>
      </c>
      <c r="CC59" t="s">
        <v>2548</v>
      </c>
      <c r="CD59" t="s">
        <v>2508</v>
      </c>
      <c r="CE59" t="s">
        <v>2440</v>
      </c>
      <c r="CG59" t="s">
        <v>2509</v>
      </c>
      <c r="CH59" t="s">
        <v>2510</v>
      </c>
      <c r="CI59" t="s">
        <v>2443</v>
      </c>
      <c r="CK59" t="s">
        <v>2655</v>
      </c>
      <c r="CL59" t="s">
        <v>2512</v>
      </c>
      <c r="CM59" t="s">
        <v>2521</v>
      </c>
      <c r="CO59" t="s">
        <v>2840</v>
      </c>
      <c r="CP59" t="s">
        <v>2514</v>
      </c>
      <c r="CQ59" t="s">
        <v>2449</v>
      </c>
      <c r="CS59" t="s">
        <v>2841</v>
      </c>
      <c r="CT59" t="s">
        <v>2524</v>
      </c>
      <c r="CV59">
        <v>9</v>
      </c>
      <c r="CW59">
        <v>9</v>
      </c>
      <c r="CX59">
        <v>9</v>
      </c>
      <c r="CY59">
        <v>9</v>
      </c>
      <c r="CZ59">
        <v>9</v>
      </c>
      <c r="DA59">
        <v>0.1</v>
      </c>
      <c r="DB59">
        <v>0.1</v>
      </c>
      <c r="DC59">
        <v>0.2</v>
      </c>
      <c r="DD59">
        <v>0.3</v>
      </c>
      <c r="DE59">
        <v>0.3</v>
      </c>
      <c r="DF59">
        <v>0.9</v>
      </c>
      <c r="DG59">
        <v>0.9</v>
      </c>
      <c r="DH59">
        <v>1.8</v>
      </c>
      <c r="DI59">
        <v>2.7</v>
      </c>
      <c r="DJ59">
        <v>2.7</v>
      </c>
      <c r="DK59">
        <v>8.1999999999999993</v>
      </c>
      <c r="DL59">
        <v>0</v>
      </c>
      <c r="DM59">
        <v>8.1999999999999993</v>
      </c>
      <c r="DN59">
        <v>9</v>
      </c>
      <c r="DO59">
        <f>AVERAGE(CV59:CZ59)</f>
        <v>9</v>
      </c>
      <c r="DQ59">
        <v>8</v>
      </c>
      <c r="DR59" t="s">
        <v>33</v>
      </c>
      <c r="DS59" t="s">
        <v>187</v>
      </c>
      <c r="DT59" t="s">
        <v>188</v>
      </c>
      <c r="DU59" t="s">
        <v>189</v>
      </c>
      <c r="DV59" t="s">
        <v>190</v>
      </c>
      <c r="DW59" t="s">
        <v>3788</v>
      </c>
      <c r="DX59" t="s">
        <v>3789</v>
      </c>
      <c r="DY59" t="s">
        <v>3790</v>
      </c>
      <c r="DZ59" t="s">
        <v>3933</v>
      </c>
      <c r="EA59" t="s">
        <v>3792</v>
      </c>
      <c r="EB59" t="s">
        <v>3793</v>
      </c>
      <c r="EC59" t="s">
        <v>4189</v>
      </c>
      <c r="ED59" t="s">
        <v>4190</v>
      </c>
      <c r="EE59" t="s">
        <v>4191</v>
      </c>
      <c r="EF59" t="s">
        <v>3797</v>
      </c>
      <c r="EG59" t="s">
        <v>4192</v>
      </c>
      <c r="EH59" t="s">
        <v>4193</v>
      </c>
      <c r="EI59" t="s">
        <v>4194</v>
      </c>
      <c r="EJ59" t="s">
        <v>3800</v>
      </c>
      <c r="EK59" t="s">
        <v>4195</v>
      </c>
      <c r="EL59" t="s">
        <v>4196</v>
      </c>
      <c r="EM59" t="s">
        <v>3943</v>
      </c>
      <c r="EN59" t="s">
        <v>3803</v>
      </c>
      <c r="EO59" t="s">
        <v>4197</v>
      </c>
      <c r="EP59" t="s">
        <v>4198</v>
      </c>
      <c r="EQ59">
        <v>8</v>
      </c>
      <c r="ER59">
        <v>8</v>
      </c>
      <c r="ES59">
        <v>8</v>
      </c>
      <c r="ET59">
        <v>8</v>
      </c>
      <c r="EU59">
        <v>8</v>
      </c>
      <c r="EV59">
        <v>0.1</v>
      </c>
      <c r="EW59">
        <v>0.1</v>
      </c>
      <c r="EX59">
        <v>0.2</v>
      </c>
      <c r="EY59">
        <v>0.3</v>
      </c>
      <c r="EZ59">
        <v>0.3</v>
      </c>
      <c r="FA59">
        <f>EV59*EQ59</f>
        <v>0.8</v>
      </c>
      <c r="FB59">
        <f>EW59*ER59</f>
        <v>0.8</v>
      </c>
      <c r="FC59">
        <f>EX59*ES59</f>
        <v>1.6</v>
      </c>
      <c r="FD59">
        <f>EY59*ET59</f>
        <v>2.4</v>
      </c>
      <c r="FE59">
        <f>EZ59*EU59</f>
        <v>2.4</v>
      </c>
      <c r="FF59">
        <v>16</v>
      </c>
      <c r="FG59">
        <v>0</v>
      </c>
      <c r="FH59">
        <v>8</v>
      </c>
      <c r="FI59">
        <f>FA59+FB59+FC59+FD59+FE59</f>
        <v>8</v>
      </c>
      <c r="FJ59">
        <f>MEDIAN(EQ59:EU59)</f>
        <v>8</v>
      </c>
      <c r="FL59">
        <v>37.24</v>
      </c>
      <c r="FM59">
        <v>7</v>
      </c>
      <c r="FN59" t="s">
        <v>884</v>
      </c>
      <c r="FO59" t="s">
        <v>885</v>
      </c>
      <c r="FP59" t="s">
        <v>886</v>
      </c>
      <c r="FQ59" t="s">
        <v>887</v>
      </c>
      <c r="FR59" t="s">
        <v>629</v>
      </c>
      <c r="FS59">
        <v>5</v>
      </c>
      <c r="FT59">
        <v>7</v>
      </c>
      <c r="FU59">
        <v>4</v>
      </c>
      <c r="FV59">
        <v>6</v>
      </c>
      <c r="FW59">
        <v>3</v>
      </c>
      <c r="FX59">
        <v>0.1</v>
      </c>
      <c r="FY59">
        <v>0.1</v>
      </c>
      <c r="FZ59">
        <v>0.2</v>
      </c>
      <c r="GA59">
        <v>0.3</v>
      </c>
      <c r="GB59">
        <v>0.3</v>
      </c>
      <c r="GC59">
        <f>FS59*FX59</f>
        <v>0.5</v>
      </c>
      <c r="GD59">
        <f>FT59*FY59</f>
        <v>0.70000000000000007</v>
      </c>
      <c r="GE59">
        <f>FU59*FZ59</f>
        <v>0.8</v>
      </c>
      <c r="GF59">
        <f>FV59*GA59</f>
        <v>1.7999999999999998</v>
      </c>
      <c r="GG59">
        <f>FW59*GB59</f>
        <v>0.89999999999999991</v>
      </c>
      <c r="GH59">
        <v>7.2</v>
      </c>
      <c r="GI59">
        <v>-0.2</v>
      </c>
      <c r="GJ59">
        <v>7</v>
      </c>
      <c r="GK59">
        <f>GC59+GD59+GE59+GF59+GG59</f>
        <v>4.6999999999999993</v>
      </c>
      <c r="GL59">
        <f>MEDIAN(FS59:FW59)</f>
        <v>5</v>
      </c>
    </row>
    <row r="60" spans="1:194" hidden="1" x14ac:dyDescent="0.25">
      <c r="A60">
        <v>59</v>
      </c>
      <c r="B60" t="s">
        <v>2</v>
      </c>
      <c r="C60" s="4">
        <v>91.8</v>
      </c>
      <c r="D60">
        <v>3.6</v>
      </c>
      <c r="E60" s="1">
        <f>C60/3/D60</f>
        <v>8.5</v>
      </c>
      <c r="G60">
        <v>37.590000000000003</v>
      </c>
      <c r="H60">
        <v>8</v>
      </c>
      <c r="I60">
        <f>H60*D60*3</f>
        <v>86.4</v>
      </c>
      <c r="J60">
        <v>17.97</v>
      </c>
      <c r="K60">
        <v>8.4</v>
      </c>
      <c r="L60" s="3">
        <f>K60*3*D60</f>
        <v>90.720000000000013</v>
      </c>
      <c r="M60">
        <v>4.76</v>
      </c>
      <c r="N60">
        <v>5.5</v>
      </c>
      <c r="O60">
        <f>N60*D60*3</f>
        <v>59.400000000000006</v>
      </c>
      <c r="P60" s="5">
        <v>8.6999999999999993</v>
      </c>
      <c r="Q60" s="5">
        <f>P60*D60*3</f>
        <v>93.96</v>
      </c>
      <c r="S60" t="s">
        <v>6196</v>
      </c>
      <c r="T60">
        <v>5</v>
      </c>
      <c r="U60" s="8">
        <f>T60*D60*3</f>
        <v>54</v>
      </c>
      <c r="V60">
        <v>34.119999999999997</v>
      </c>
      <c r="W60">
        <v>9</v>
      </c>
      <c r="X60" s="5">
        <f>W60*D60*3</f>
        <v>97.199999999999989</v>
      </c>
      <c r="Y60">
        <v>11.27</v>
      </c>
      <c r="Z60">
        <v>7.8</v>
      </c>
      <c r="AA60">
        <f>Z60*D60*3</f>
        <v>84.24</v>
      </c>
      <c r="AC60">
        <v>46.24</v>
      </c>
      <c r="AD60">
        <v>7.9</v>
      </c>
      <c r="AE60" s="1">
        <f>AD60*3*D60</f>
        <v>85.320000000000007</v>
      </c>
      <c r="AF60">
        <v>12.05</v>
      </c>
      <c r="AG60" s="5">
        <v>7</v>
      </c>
      <c r="AH60" s="5">
        <f>AG60*D60*3</f>
        <v>75.599999999999994</v>
      </c>
      <c r="AI60" s="13"/>
      <c r="AJ60">
        <v>7.3</v>
      </c>
      <c r="AK60" s="8">
        <f>AJ60*D60*3</f>
        <v>78.84</v>
      </c>
      <c r="AL60" s="13"/>
      <c r="AM60">
        <v>30.77</v>
      </c>
      <c r="AN60">
        <v>7.2</v>
      </c>
      <c r="AO60" s="8">
        <f>AN60*D60*3</f>
        <v>77.760000000000005</v>
      </c>
      <c r="AP60">
        <v>13.57</v>
      </c>
      <c r="AQ60">
        <v>9.1999999999999993</v>
      </c>
      <c r="AR60">
        <f>AQ60*D60*3</f>
        <v>99.359999999999985</v>
      </c>
      <c r="AS60">
        <v>10.37</v>
      </c>
      <c r="AT60">
        <v>7.5</v>
      </c>
      <c r="AU60">
        <f>AT60*D60*3</f>
        <v>81</v>
      </c>
      <c r="AW60">
        <v>23.59</v>
      </c>
      <c r="AX60">
        <v>9.6</v>
      </c>
      <c r="AY60">
        <f>AX60*D60*3</f>
        <v>103.68</v>
      </c>
      <c r="AZ60">
        <v>23.59</v>
      </c>
      <c r="BA60">
        <v>9</v>
      </c>
      <c r="BB60">
        <f>BA60*D60*3</f>
        <v>97.199999999999989</v>
      </c>
      <c r="BD60">
        <v>8.1</v>
      </c>
      <c r="BE60">
        <f>BD60*D60*3</f>
        <v>87.48</v>
      </c>
      <c r="BG60" s="10"/>
      <c r="BH60" s="1">
        <f>CHOOSE(MATCH(MIN(ABS(BP60-C60),ABS(BQ60-C60),ABS(BR60-C60)),CHOOSE({1;2;3},ABS(BP60-C60),ABS(BQ60-C60),ABS(BR60-C60)),0),BP60,BQ60,BR60)</f>
        <v>86.4</v>
      </c>
      <c r="BJ60" s="1" cm="1">
        <f t="array" ref="BJ60">(INDEX(_xlfn._xlws.SORT(CHOOSE({1;2;3;4;5;6},BQ60,BR60,L60,AE60,BO60,BP60)),3) + INDEX(_xlfn._xlws.SORT(CHOOSE({1;2;3;4;5;6},BQ60,BR60,L60,AE60,BO60,BP60)),4))/2</f>
        <v>85.860000000000014</v>
      </c>
      <c r="BK60">
        <v>8.5310976732802999</v>
      </c>
      <c r="BL60" t="s">
        <v>6117</v>
      </c>
      <c r="BM60" s="1">
        <f>BK60*3*D60</f>
        <v>92.135854871427242</v>
      </c>
      <c r="BN60" s="1">
        <f>BM60-C60</f>
        <v>0.33585487142724446</v>
      </c>
      <c r="BO60" s="1">
        <f>GK60*3*D60</f>
        <v>45.359999999999992</v>
      </c>
      <c r="BP60" s="1">
        <f>DO60*3*D60</f>
        <v>97.2</v>
      </c>
      <c r="BQ60" s="1">
        <f>FJ60*3*D60</f>
        <v>86.4</v>
      </c>
      <c r="BR60" s="1">
        <f>GL60*3*D60</f>
        <v>48.6</v>
      </c>
      <c r="BT60">
        <v>37.590000000000003</v>
      </c>
      <c r="BU60">
        <v>8</v>
      </c>
      <c r="BV60" t="s">
        <v>5003</v>
      </c>
      <c r="BW60" t="s">
        <v>5004</v>
      </c>
      <c r="BX60" t="s">
        <v>5029</v>
      </c>
      <c r="BY60" t="s">
        <v>5053</v>
      </c>
      <c r="BZ60" t="s">
        <v>5031</v>
      </c>
      <c r="CA60" t="s">
        <v>2437</v>
      </c>
      <c r="CC60" t="s">
        <v>2438</v>
      </c>
      <c r="CD60" t="s">
        <v>2533</v>
      </c>
      <c r="CE60" t="s">
        <v>2440</v>
      </c>
      <c r="CG60" t="s">
        <v>2441</v>
      </c>
      <c r="CH60" t="s">
        <v>2534</v>
      </c>
      <c r="CI60" t="s">
        <v>2535</v>
      </c>
      <c r="CK60" t="s">
        <v>2444</v>
      </c>
      <c r="CL60" t="s">
        <v>2536</v>
      </c>
      <c r="CM60" t="s">
        <v>2446</v>
      </c>
      <c r="CO60" t="s">
        <v>2447</v>
      </c>
      <c r="CP60" t="s">
        <v>2537</v>
      </c>
      <c r="CQ60" t="s">
        <v>2666</v>
      </c>
      <c r="CS60" t="s">
        <v>2450</v>
      </c>
      <c r="CT60" t="s">
        <v>2539</v>
      </c>
      <c r="CV60">
        <v>9</v>
      </c>
      <c r="CW60">
        <v>9</v>
      </c>
      <c r="CX60">
        <v>9</v>
      </c>
      <c r="CY60">
        <v>9</v>
      </c>
      <c r="CZ60">
        <v>9</v>
      </c>
      <c r="DA60">
        <v>0.1</v>
      </c>
      <c r="DB60">
        <v>0.1</v>
      </c>
      <c r="DC60">
        <v>0.2</v>
      </c>
      <c r="DD60">
        <v>0.3</v>
      </c>
      <c r="DE60">
        <v>0.3</v>
      </c>
      <c r="DF60">
        <v>0.9</v>
      </c>
      <c r="DG60">
        <v>0.9</v>
      </c>
      <c r="DH60">
        <v>1.8</v>
      </c>
      <c r="DI60">
        <v>2.7</v>
      </c>
      <c r="DJ60">
        <v>2.7</v>
      </c>
      <c r="DK60">
        <v>8</v>
      </c>
      <c r="DL60">
        <v>0</v>
      </c>
      <c r="DM60">
        <v>8</v>
      </c>
      <c r="DN60">
        <v>8.4</v>
      </c>
      <c r="DO60">
        <f>AVERAGE(CV60:CZ60)</f>
        <v>9</v>
      </c>
      <c r="DQ60">
        <v>8</v>
      </c>
      <c r="DR60" t="s">
        <v>47</v>
      </c>
      <c r="DS60" t="s">
        <v>53</v>
      </c>
      <c r="DT60" t="s">
        <v>191</v>
      </c>
      <c r="DU60" t="s">
        <v>192</v>
      </c>
      <c r="DV60" t="s">
        <v>193</v>
      </c>
      <c r="DW60" t="s">
        <v>3769</v>
      </c>
      <c r="DX60" t="s">
        <v>3770</v>
      </c>
      <c r="DY60" t="s">
        <v>3771</v>
      </c>
      <c r="DZ60" t="s">
        <v>3772</v>
      </c>
      <c r="EA60" t="s">
        <v>3806</v>
      </c>
      <c r="EB60" t="s">
        <v>3807</v>
      </c>
      <c r="EC60" t="s">
        <v>3775</v>
      </c>
      <c r="ED60" t="s">
        <v>3776</v>
      </c>
      <c r="EE60" t="s">
        <v>4199</v>
      </c>
      <c r="EF60" t="s">
        <v>3809</v>
      </c>
      <c r="EG60" t="s">
        <v>4200</v>
      </c>
      <c r="EH60" t="s">
        <v>4201</v>
      </c>
      <c r="EI60" t="s">
        <v>4202</v>
      </c>
      <c r="EJ60" t="s">
        <v>3813</v>
      </c>
      <c r="EK60" t="s">
        <v>4049</v>
      </c>
      <c r="EL60" t="s">
        <v>3815</v>
      </c>
      <c r="EM60" t="s">
        <v>3816</v>
      </c>
      <c r="EN60" t="s">
        <v>4050</v>
      </c>
      <c r="EO60" t="s">
        <v>4203</v>
      </c>
      <c r="EP60" t="s">
        <v>3818</v>
      </c>
      <c r="EQ60">
        <v>7</v>
      </c>
      <c r="ER60">
        <v>8</v>
      </c>
      <c r="ES60">
        <v>8</v>
      </c>
      <c r="ET60">
        <v>8</v>
      </c>
      <c r="EU60">
        <v>8</v>
      </c>
      <c r="EV60">
        <v>0.1</v>
      </c>
      <c r="EW60">
        <v>0.1</v>
      </c>
      <c r="EX60">
        <v>0.2</v>
      </c>
      <c r="EY60">
        <v>0.3</v>
      </c>
      <c r="EZ60">
        <v>0.3</v>
      </c>
      <c r="FA60">
        <f>EV60*EQ60</f>
        <v>0.70000000000000007</v>
      </c>
      <c r="FB60">
        <f>EW60*ER60</f>
        <v>0.8</v>
      </c>
      <c r="FC60">
        <f>EX60*ES60</f>
        <v>1.6</v>
      </c>
      <c r="FD60">
        <f>EY60*ET60</f>
        <v>2.4</v>
      </c>
      <c r="FE60">
        <f>EZ60*EU60</f>
        <v>2.4</v>
      </c>
      <c r="FF60">
        <v>15</v>
      </c>
      <c r="FG60">
        <v>0</v>
      </c>
      <c r="FH60">
        <v>15</v>
      </c>
      <c r="FI60">
        <f>FA60+FB60+FC60+FD60+FE60</f>
        <v>7.9</v>
      </c>
      <c r="FJ60">
        <f>MEDIAN(EQ60:EU60)</f>
        <v>8</v>
      </c>
      <c r="FL60">
        <v>38.979999999999997</v>
      </c>
      <c r="FM60">
        <v>5.5</v>
      </c>
      <c r="FN60" t="s">
        <v>888</v>
      </c>
      <c r="FO60" t="s">
        <v>889</v>
      </c>
      <c r="FP60" t="s">
        <v>890</v>
      </c>
      <c r="FQ60" t="s">
        <v>891</v>
      </c>
      <c r="FR60" t="s">
        <v>892</v>
      </c>
      <c r="FS60">
        <v>5</v>
      </c>
      <c r="FT60">
        <v>4.5</v>
      </c>
      <c r="FU60">
        <v>3.5</v>
      </c>
      <c r="FV60">
        <v>6</v>
      </c>
      <c r="FW60">
        <v>2.5</v>
      </c>
      <c r="FX60">
        <v>0.1</v>
      </c>
      <c r="FY60">
        <v>0.1</v>
      </c>
      <c r="FZ60">
        <v>0.2</v>
      </c>
      <c r="GA60">
        <v>0.3</v>
      </c>
      <c r="GB60">
        <v>0.3</v>
      </c>
      <c r="GC60">
        <f>FS60*FX60</f>
        <v>0.5</v>
      </c>
      <c r="GD60">
        <f>FT60*FY60</f>
        <v>0.45</v>
      </c>
      <c r="GE60">
        <f>FU60*FZ60</f>
        <v>0.70000000000000007</v>
      </c>
      <c r="GF60">
        <f>FV60*GA60</f>
        <v>1.7999999999999998</v>
      </c>
      <c r="GG60">
        <f>FW60*GB60</f>
        <v>0.75</v>
      </c>
      <c r="GH60">
        <v>5.5</v>
      </c>
      <c r="GI60">
        <v>0</v>
      </c>
      <c r="GJ60">
        <v>5.5</v>
      </c>
      <c r="GK60">
        <f>GC60+GD60+GE60+GF60+GG60</f>
        <v>4.1999999999999993</v>
      </c>
      <c r="GL60">
        <f>MEDIAN(FS60:FW60)</f>
        <v>4.5</v>
      </c>
    </row>
    <row r="61" spans="1:194" hidden="1" x14ac:dyDescent="0.25">
      <c r="A61">
        <v>60</v>
      </c>
      <c r="B61" t="s">
        <v>2</v>
      </c>
      <c r="C61" s="4">
        <v>94.35</v>
      </c>
      <c r="D61">
        <v>3.7</v>
      </c>
      <c r="E61" s="1">
        <f>C61/3/D61</f>
        <v>8.5</v>
      </c>
      <c r="G61">
        <v>75.459999999999994</v>
      </c>
      <c r="H61">
        <v>8.1999999999999993</v>
      </c>
      <c r="I61">
        <f>H61*D61*3</f>
        <v>91.02</v>
      </c>
      <c r="J61">
        <v>18.170000000000002</v>
      </c>
      <c r="K61">
        <v>8.6999999999999993</v>
      </c>
      <c r="L61" s="3">
        <f>K61*3*D61</f>
        <v>96.57</v>
      </c>
      <c r="M61">
        <v>4.08</v>
      </c>
      <c r="N61">
        <v>8.9</v>
      </c>
      <c r="O61">
        <f>N61*D61*3</f>
        <v>98.789999999999992</v>
      </c>
      <c r="P61" s="5">
        <v>7.5</v>
      </c>
      <c r="Q61" s="5">
        <f>P61*D61*3</f>
        <v>83.25</v>
      </c>
      <c r="S61" t="s">
        <v>6197</v>
      </c>
      <c r="T61">
        <v>7.5</v>
      </c>
      <c r="U61" s="8">
        <f>T61*D61*3</f>
        <v>83.25</v>
      </c>
      <c r="V61">
        <v>33.869999999999997</v>
      </c>
      <c r="W61">
        <v>8.6999999999999993</v>
      </c>
      <c r="X61" s="5">
        <f>W61*D61*3</f>
        <v>96.57</v>
      </c>
      <c r="Y61">
        <v>9.23</v>
      </c>
      <c r="Z61">
        <v>6</v>
      </c>
      <c r="AA61">
        <f>Z61*D61*3</f>
        <v>66.600000000000009</v>
      </c>
      <c r="AC61">
        <v>48.12</v>
      </c>
      <c r="AD61">
        <v>7.9</v>
      </c>
      <c r="AE61" s="1">
        <f>AD61*3*D61</f>
        <v>87.690000000000012</v>
      </c>
      <c r="AF61">
        <v>11.92</v>
      </c>
      <c r="AG61" s="5">
        <v>7</v>
      </c>
      <c r="AH61" s="5">
        <f>AG61*D61*3</f>
        <v>77.7</v>
      </c>
      <c r="AI61" s="13"/>
      <c r="AJ61">
        <v>0.8</v>
      </c>
      <c r="AK61" s="8">
        <f>AJ61*D61*3</f>
        <v>8.8800000000000008</v>
      </c>
      <c r="AL61" s="13"/>
      <c r="AM61">
        <v>31.44</v>
      </c>
      <c r="AN61">
        <v>7.7</v>
      </c>
      <c r="AO61" s="8">
        <f>AN61*D61*3</f>
        <v>85.47</v>
      </c>
      <c r="AP61">
        <v>12.52</v>
      </c>
      <c r="AQ61">
        <v>10</v>
      </c>
      <c r="AR61">
        <f>AQ61*D61*3</f>
        <v>111</v>
      </c>
      <c r="AT61">
        <v>8.5</v>
      </c>
      <c r="AU61">
        <f>AT61*D61*3</f>
        <v>94.350000000000009</v>
      </c>
      <c r="AW61">
        <v>23.51</v>
      </c>
      <c r="AX61">
        <v>9.9</v>
      </c>
      <c r="AY61">
        <f>AX61*D61*3</f>
        <v>109.89000000000001</v>
      </c>
      <c r="AZ61">
        <v>23.51</v>
      </c>
      <c r="BA61">
        <v>8.4</v>
      </c>
      <c r="BB61">
        <f>BA61*D61*3</f>
        <v>93.240000000000009</v>
      </c>
      <c r="BD61">
        <v>8.9</v>
      </c>
      <c r="BE61">
        <f>BD61*D61*3</f>
        <v>98.789999999999992</v>
      </c>
      <c r="BG61" s="10"/>
      <c r="BH61" s="1">
        <f>CHOOSE(MATCH(MIN(ABS(BP61-C61),ABS(BQ61-C61),ABS(BR61-C61)),CHOOSE({1;2;3},ABS(BP61-C61),ABS(BQ61-C61),ABS(BR61-C61)),0),BP61,BQ61,BR61)</f>
        <v>88.800000000000011</v>
      </c>
      <c r="BJ61" s="1" cm="1">
        <f t="array" ref="BJ61">(INDEX(_xlfn._xlws.SORT(CHOOSE({1;2;3;4;5;6},BQ61,BR61,L61,AE61,BO61,BP61)),3) + INDEX(_xlfn._xlws.SORT(CHOOSE({1;2;3;4;5;6},BQ61,BR61,L61,AE61,BO61,BP61)),4))/2</f>
        <v>88.245000000000005</v>
      </c>
      <c r="BK61">
        <v>8.4512174825446902</v>
      </c>
      <c r="BL61" t="s">
        <v>6117</v>
      </c>
      <c r="BM61" s="1">
        <f>BK61*3*D61</f>
        <v>93.808514056246054</v>
      </c>
      <c r="BN61" s="1">
        <f>BM61-C61</f>
        <v>-0.54148594375394055</v>
      </c>
      <c r="BO61" s="1">
        <f>GK61*3*D61</f>
        <v>64.38</v>
      </c>
      <c r="BP61" s="1">
        <f>DO61*3*D61</f>
        <v>99.9</v>
      </c>
      <c r="BQ61" s="1">
        <f>FJ61*3*D61</f>
        <v>88.800000000000011</v>
      </c>
      <c r="BR61" s="1">
        <f>GL61*3*D61</f>
        <v>66.600000000000009</v>
      </c>
      <c r="BT61">
        <v>75.459999999999994</v>
      </c>
      <c r="BU61">
        <v>8.1999999999999993</v>
      </c>
      <c r="BV61" t="s">
        <v>5213</v>
      </c>
      <c r="BW61" t="s">
        <v>5214</v>
      </c>
      <c r="BX61" t="s">
        <v>5215</v>
      </c>
      <c r="BY61" t="s">
        <v>5216</v>
      </c>
      <c r="BZ61" t="s">
        <v>5217</v>
      </c>
      <c r="CA61" t="s">
        <v>2437</v>
      </c>
      <c r="CC61" t="s">
        <v>2842</v>
      </c>
      <c r="CD61" t="s">
        <v>2533</v>
      </c>
      <c r="CE61" t="s">
        <v>2440</v>
      </c>
      <c r="CG61" t="s">
        <v>2843</v>
      </c>
      <c r="CH61" t="s">
        <v>2534</v>
      </c>
      <c r="CI61" t="s">
        <v>2443</v>
      </c>
      <c r="CK61" t="s">
        <v>2844</v>
      </c>
      <c r="CL61" t="s">
        <v>2536</v>
      </c>
      <c r="CM61" t="s">
        <v>2446</v>
      </c>
      <c r="CO61" t="s">
        <v>2845</v>
      </c>
      <c r="CP61" t="s">
        <v>2537</v>
      </c>
      <c r="CQ61" t="s">
        <v>2449</v>
      </c>
      <c r="CS61" t="s">
        <v>2846</v>
      </c>
      <c r="CT61" t="s">
        <v>2539</v>
      </c>
      <c r="CV61">
        <v>9</v>
      </c>
      <c r="CW61">
        <v>9</v>
      </c>
      <c r="CX61">
        <v>9</v>
      </c>
      <c r="CY61">
        <v>9</v>
      </c>
      <c r="CZ61">
        <v>9</v>
      </c>
      <c r="DA61">
        <v>0.1</v>
      </c>
      <c r="DB61">
        <v>0.1</v>
      </c>
      <c r="DC61">
        <v>0.2</v>
      </c>
      <c r="DD61">
        <v>0.3</v>
      </c>
      <c r="DE61">
        <v>0.3</v>
      </c>
      <c r="DF61">
        <v>0.9</v>
      </c>
      <c r="DG61">
        <v>0.9</v>
      </c>
      <c r="DH61">
        <v>1.8</v>
      </c>
      <c r="DI61">
        <v>2.7</v>
      </c>
      <c r="DJ61">
        <v>2.7</v>
      </c>
      <c r="DK61">
        <v>8.1999999999999993</v>
      </c>
      <c r="DL61">
        <v>0</v>
      </c>
      <c r="DM61">
        <v>8.1999999999999993</v>
      </c>
      <c r="DN61">
        <v>8.6999999999999993</v>
      </c>
      <c r="DO61">
        <f>AVERAGE(CV61:CZ61)</f>
        <v>9</v>
      </c>
      <c r="DQ61">
        <v>8</v>
      </c>
      <c r="DR61" t="s">
        <v>28</v>
      </c>
      <c r="DS61" t="s">
        <v>43</v>
      </c>
      <c r="DT61" t="s">
        <v>44</v>
      </c>
      <c r="DU61" t="s">
        <v>45</v>
      </c>
      <c r="DV61" t="s">
        <v>46</v>
      </c>
      <c r="DW61" t="s">
        <v>3769</v>
      </c>
      <c r="DX61" t="s">
        <v>3770</v>
      </c>
      <c r="DY61" t="s">
        <v>3771</v>
      </c>
      <c r="DZ61" t="s">
        <v>3772</v>
      </c>
      <c r="EA61" t="s">
        <v>3806</v>
      </c>
      <c r="EB61" t="s">
        <v>3807</v>
      </c>
      <c r="EC61" t="s">
        <v>3775</v>
      </c>
      <c r="ED61" t="s">
        <v>3776</v>
      </c>
      <c r="EE61" t="s">
        <v>3819</v>
      </c>
      <c r="EF61" t="s">
        <v>3809</v>
      </c>
      <c r="EG61" t="s">
        <v>3810</v>
      </c>
      <c r="EH61" t="s">
        <v>3811</v>
      </c>
      <c r="EI61" t="s">
        <v>3820</v>
      </c>
      <c r="EJ61" t="s">
        <v>3813</v>
      </c>
      <c r="EK61" t="s">
        <v>3925</v>
      </c>
      <c r="EL61" t="s">
        <v>3926</v>
      </c>
      <c r="EM61" t="s">
        <v>3816</v>
      </c>
      <c r="EN61" t="s">
        <v>3823</v>
      </c>
      <c r="EO61" t="s">
        <v>3824</v>
      </c>
      <c r="EP61" t="s">
        <v>3825</v>
      </c>
      <c r="EQ61">
        <v>7</v>
      </c>
      <c r="ER61">
        <v>8</v>
      </c>
      <c r="ES61">
        <v>8</v>
      </c>
      <c r="ET61">
        <v>8</v>
      </c>
      <c r="EU61">
        <v>8</v>
      </c>
      <c r="EV61">
        <v>0.1</v>
      </c>
      <c r="EW61">
        <v>0.1</v>
      </c>
      <c r="EX61">
        <v>0.2</v>
      </c>
      <c r="EY61">
        <v>0.3</v>
      </c>
      <c r="EZ61">
        <v>0.3</v>
      </c>
      <c r="FA61">
        <f>EV61*EQ61</f>
        <v>0.70000000000000007</v>
      </c>
      <c r="FB61">
        <f>EW61*ER61</f>
        <v>0.8</v>
      </c>
      <c r="FC61">
        <f>EX61*ES61</f>
        <v>1.6</v>
      </c>
      <c r="FD61">
        <f>EY61*ET61</f>
        <v>2.4</v>
      </c>
      <c r="FE61">
        <f>EZ61*EU61</f>
        <v>2.4</v>
      </c>
      <c r="FF61">
        <v>15</v>
      </c>
      <c r="FG61">
        <v>0</v>
      </c>
      <c r="FH61">
        <v>15</v>
      </c>
      <c r="FI61">
        <f>FA61+FB61+FC61+FD61+FE61</f>
        <v>7.9</v>
      </c>
      <c r="FJ61">
        <f>MEDIAN(EQ61:EU61)</f>
        <v>8</v>
      </c>
      <c r="FL61">
        <v>71.290000000000006</v>
      </c>
      <c r="FM61">
        <v>6</v>
      </c>
      <c r="FN61" t="s">
        <v>893</v>
      </c>
      <c r="FO61" t="s">
        <v>894</v>
      </c>
      <c r="FP61" t="s">
        <v>895</v>
      </c>
      <c r="FQ61" t="s">
        <v>896</v>
      </c>
      <c r="FR61" t="s">
        <v>897</v>
      </c>
      <c r="FS61">
        <v>6</v>
      </c>
      <c r="FT61">
        <v>8</v>
      </c>
      <c r="FU61">
        <v>7</v>
      </c>
      <c r="FV61">
        <v>6</v>
      </c>
      <c r="FW61">
        <v>4</v>
      </c>
      <c r="FX61">
        <v>0.1</v>
      </c>
      <c r="FY61">
        <v>0.1</v>
      </c>
      <c r="FZ61">
        <v>0.2</v>
      </c>
      <c r="GA61">
        <v>0.3</v>
      </c>
      <c r="GB61">
        <v>0.3</v>
      </c>
      <c r="GC61">
        <f>FS61*FX61</f>
        <v>0.60000000000000009</v>
      </c>
      <c r="GD61">
        <f>FT61*FY61</f>
        <v>0.8</v>
      </c>
      <c r="GE61">
        <f>FU61*FZ61</f>
        <v>1.4000000000000001</v>
      </c>
      <c r="GF61">
        <f>FV61*GA61</f>
        <v>1.7999999999999998</v>
      </c>
      <c r="GG61">
        <f>FW61*GB61</f>
        <v>1.2</v>
      </c>
      <c r="GH61">
        <v>6</v>
      </c>
      <c r="GI61">
        <v>0</v>
      </c>
      <c r="GJ61">
        <v>6</v>
      </c>
      <c r="GK61">
        <f>GC61+GD61+GE61+GF61+GG61</f>
        <v>5.8</v>
      </c>
      <c r="GL61">
        <f>MEDIAN(FS61:FW61)</f>
        <v>6</v>
      </c>
    </row>
    <row r="62" spans="1:194" hidden="1" x14ac:dyDescent="0.25">
      <c r="A62">
        <v>61</v>
      </c>
      <c r="B62" t="s">
        <v>2</v>
      </c>
      <c r="C62" s="4">
        <v>95.4</v>
      </c>
      <c r="D62">
        <v>3.6</v>
      </c>
      <c r="E62" s="1">
        <f>C62/3/D62</f>
        <v>8.8333333333333339</v>
      </c>
      <c r="G62">
        <v>34.56</v>
      </c>
      <c r="H62">
        <v>8.1999999999999993</v>
      </c>
      <c r="I62">
        <f>H62*D62*3</f>
        <v>88.56</v>
      </c>
      <c r="J62">
        <v>17.440000000000001</v>
      </c>
      <c r="K62">
        <v>9</v>
      </c>
      <c r="L62" s="3">
        <f>K62*3*D62</f>
        <v>97.2</v>
      </c>
      <c r="M62">
        <v>4.34</v>
      </c>
      <c r="N62">
        <v>8.4</v>
      </c>
      <c r="O62">
        <f>N62*D62*3</f>
        <v>90.72</v>
      </c>
      <c r="P62" s="5">
        <v>7.2</v>
      </c>
      <c r="Q62" s="5">
        <f>P62*D62*3</f>
        <v>77.760000000000005</v>
      </c>
      <c r="S62" t="s">
        <v>6198</v>
      </c>
      <c r="T62">
        <v>5</v>
      </c>
      <c r="U62" s="8">
        <f>T62*D62*3</f>
        <v>54</v>
      </c>
      <c r="V62">
        <v>33.39</v>
      </c>
      <c r="W62">
        <v>8.4</v>
      </c>
      <c r="X62" s="5">
        <f>W62*D62*3</f>
        <v>90.72</v>
      </c>
      <c r="Y62">
        <v>9.3699999999999992</v>
      </c>
      <c r="Z62">
        <v>7.8</v>
      </c>
      <c r="AA62">
        <f>Z62*D62*3</f>
        <v>84.24</v>
      </c>
      <c r="AC62">
        <v>46.22</v>
      </c>
      <c r="AD62">
        <v>7.9</v>
      </c>
      <c r="AE62" s="1">
        <f>AD62*3*D62</f>
        <v>85.320000000000007</v>
      </c>
      <c r="AF62">
        <v>11.94</v>
      </c>
      <c r="AG62" s="5">
        <v>7</v>
      </c>
      <c r="AH62" s="5">
        <f>AG62*D62*3</f>
        <v>75.599999999999994</v>
      </c>
      <c r="AI62" s="13"/>
      <c r="AJ62">
        <v>8.1999999999999993</v>
      </c>
      <c r="AK62" s="8">
        <f>AJ62*D62*3</f>
        <v>88.56</v>
      </c>
      <c r="AL62" s="13"/>
      <c r="AM62">
        <v>30.39</v>
      </c>
      <c r="AN62">
        <v>7.5</v>
      </c>
      <c r="AO62" s="8">
        <f>AN62*D62*3</f>
        <v>81</v>
      </c>
      <c r="AP62">
        <v>14.85</v>
      </c>
      <c r="AQ62">
        <v>9.5</v>
      </c>
      <c r="AR62">
        <f>AQ62*D62*3</f>
        <v>102.60000000000001</v>
      </c>
      <c r="AT62">
        <v>8.6999999999999993</v>
      </c>
      <c r="AU62">
        <f>AT62*D62*3</f>
        <v>93.96</v>
      </c>
      <c r="AW62">
        <v>23.96</v>
      </c>
      <c r="AX62">
        <v>8</v>
      </c>
      <c r="AY62">
        <f>AX62*D62*3</f>
        <v>86.4</v>
      </c>
      <c r="AZ62">
        <v>23.96</v>
      </c>
      <c r="BA62">
        <v>7.8</v>
      </c>
      <c r="BB62">
        <f>BA62*D62*3</f>
        <v>84.24</v>
      </c>
      <c r="BD62">
        <v>7.7</v>
      </c>
      <c r="BE62">
        <f>BD62*D62*3</f>
        <v>83.160000000000011</v>
      </c>
      <c r="BG62" s="10"/>
      <c r="BH62" s="1">
        <f>CHOOSE(MATCH(MIN(ABS(BP62-C62),ABS(BQ62-C62),ABS(BR62-C62)),CHOOSE({1;2;3},ABS(BP62-C62),ABS(BQ62-C62),ABS(BR62-C62)),0),BP62,BQ62,BR62)</f>
        <v>97.2</v>
      </c>
      <c r="BJ62" s="1" cm="1">
        <f t="array" ref="BJ62">(INDEX(_xlfn._xlws.SORT(CHOOSE({1;2;3;4;5;6},BQ62,BR62,L62,AE62,BO62,BP62)),3) + INDEX(_xlfn._xlws.SORT(CHOOSE({1;2;3;4;5;6},BQ62,BR62,L62,AE62,BO62,BP62)),4))/2</f>
        <v>85.860000000000014</v>
      </c>
      <c r="BK62">
        <v>8.7670161580041306</v>
      </c>
      <c r="BL62" t="s">
        <v>6117</v>
      </c>
      <c r="BM62" s="1">
        <f>BK62*3*D62</f>
        <v>94.683774506444607</v>
      </c>
      <c r="BN62" s="1">
        <f>BM62-C62</f>
        <v>-0.71622549355539888</v>
      </c>
      <c r="BO62" s="1">
        <f>GK62*3*D62</f>
        <v>60.480000000000004</v>
      </c>
      <c r="BP62" s="1">
        <f>DO62*3*D62</f>
        <v>97.2</v>
      </c>
      <c r="BQ62" s="1">
        <f>FJ62*3*D62</f>
        <v>86.4</v>
      </c>
      <c r="BR62" s="1">
        <f>GL62*3*D62</f>
        <v>64.8</v>
      </c>
      <c r="BT62">
        <v>34.56</v>
      </c>
      <c r="BU62">
        <v>8.1999999999999993</v>
      </c>
      <c r="BV62" t="s">
        <v>5032</v>
      </c>
      <c r="BW62" t="s">
        <v>5218</v>
      </c>
      <c r="BX62" t="s">
        <v>5219</v>
      </c>
      <c r="BY62" t="s">
        <v>5220</v>
      </c>
      <c r="BZ62" t="s">
        <v>5221</v>
      </c>
      <c r="CA62" t="s">
        <v>2437</v>
      </c>
      <c r="CC62" t="s">
        <v>2758</v>
      </c>
      <c r="CD62" t="s">
        <v>2508</v>
      </c>
      <c r="CE62" t="s">
        <v>2440</v>
      </c>
      <c r="CG62" t="s">
        <v>2761</v>
      </c>
      <c r="CH62" t="s">
        <v>2510</v>
      </c>
      <c r="CI62" t="s">
        <v>2443</v>
      </c>
      <c r="CK62" t="s">
        <v>2795</v>
      </c>
      <c r="CL62" t="s">
        <v>2512</v>
      </c>
      <c r="CM62" t="s">
        <v>2446</v>
      </c>
      <c r="CO62" t="s">
        <v>2796</v>
      </c>
      <c r="CP62" t="s">
        <v>2514</v>
      </c>
      <c r="CQ62" t="s">
        <v>2449</v>
      </c>
      <c r="CS62" t="s">
        <v>2679</v>
      </c>
      <c r="CT62" t="s">
        <v>2524</v>
      </c>
      <c r="CV62">
        <v>9</v>
      </c>
      <c r="CW62">
        <v>9</v>
      </c>
      <c r="CX62">
        <v>9</v>
      </c>
      <c r="CY62">
        <v>9</v>
      </c>
      <c r="CZ62">
        <v>9</v>
      </c>
      <c r="DA62">
        <v>0.1</v>
      </c>
      <c r="DB62">
        <v>0.1</v>
      </c>
      <c r="DC62">
        <v>0.2</v>
      </c>
      <c r="DD62">
        <v>0.3</v>
      </c>
      <c r="DE62">
        <v>0.3</v>
      </c>
      <c r="DF62">
        <v>0.9</v>
      </c>
      <c r="DG62">
        <v>0.9</v>
      </c>
      <c r="DH62">
        <v>1.8</v>
      </c>
      <c r="DI62">
        <v>2.7</v>
      </c>
      <c r="DJ62">
        <v>2.7</v>
      </c>
      <c r="DK62">
        <v>8.1999999999999993</v>
      </c>
      <c r="DL62">
        <v>0</v>
      </c>
      <c r="DM62">
        <v>8.1999999999999993</v>
      </c>
      <c r="DN62">
        <v>9</v>
      </c>
      <c r="DO62">
        <f>AVERAGE(CV62:CZ62)</f>
        <v>9</v>
      </c>
      <c r="DQ62">
        <v>15</v>
      </c>
      <c r="DR62" t="s">
        <v>194</v>
      </c>
      <c r="DS62" t="s">
        <v>29</v>
      </c>
      <c r="DT62" t="s">
        <v>180</v>
      </c>
      <c r="DU62" t="s">
        <v>58</v>
      </c>
      <c r="DV62" t="s">
        <v>193</v>
      </c>
      <c r="DW62" t="s">
        <v>3769</v>
      </c>
      <c r="DX62" t="s">
        <v>3770</v>
      </c>
      <c r="DY62" t="s">
        <v>3771</v>
      </c>
      <c r="DZ62" t="s">
        <v>3772</v>
      </c>
      <c r="EA62" t="s">
        <v>3806</v>
      </c>
      <c r="EB62" t="s">
        <v>3807</v>
      </c>
      <c r="EC62" t="s">
        <v>3775</v>
      </c>
      <c r="ED62" t="s">
        <v>3776</v>
      </c>
      <c r="EE62" t="s">
        <v>3819</v>
      </c>
      <c r="EF62" t="s">
        <v>4104</v>
      </c>
      <c r="EG62" t="s">
        <v>3810</v>
      </c>
      <c r="EH62" t="s">
        <v>3811</v>
      </c>
      <c r="EI62" t="s">
        <v>3820</v>
      </c>
      <c r="EJ62" t="s">
        <v>4174</v>
      </c>
      <c r="EK62" t="s">
        <v>4175</v>
      </c>
      <c r="EL62" t="s">
        <v>3856</v>
      </c>
      <c r="EM62" t="s">
        <v>3816</v>
      </c>
      <c r="EN62" t="s">
        <v>4050</v>
      </c>
      <c r="EO62" t="s">
        <v>4176</v>
      </c>
      <c r="EP62" t="s">
        <v>4177</v>
      </c>
      <c r="EQ62">
        <v>7</v>
      </c>
      <c r="ER62">
        <v>8</v>
      </c>
      <c r="ES62">
        <v>8</v>
      </c>
      <c r="ET62">
        <v>8</v>
      </c>
      <c r="EU62">
        <v>8</v>
      </c>
      <c r="EV62">
        <v>0.1</v>
      </c>
      <c r="EW62">
        <v>0.1</v>
      </c>
      <c r="EX62">
        <v>0.2</v>
      </c>
      <c r="EY62">
        <v>0.3</v>
      </c>
      <c r="EZ62">
        <v>0.3</v>
      </c>
      <c r="FA62">
        <f>EV62*EQ62</f>
        <v>0.70000000000000007</v>
      </c>
      <c r="FB62">
        <f>EW62*ER62</f>
        <v>0.8</v>
      </c>
      <c r="FC62">
        <f>EX62*ES62</f>
        <v>1.6</v>
      </c>
      <c r="FD62">
        <f>EY62*ET62</f>
        <v>2.4</v>
      </c>
      <c r="FE62">
        <f>EZ62*EU62</f>
        <v>2.4</v>
      </c>
      <c r="FF62">
        <v>15</v>
      </c>
      <c r="FG62">
        <v>0</v>
      </c>
      <c r="FH62">
        <v>15</v>
      </c>
      <c r="FI62">
        <f>FA62+FB62+FC62+FD62+FE62</f>
        <v>7.9</v>
      </c>
      <c r="FJ62">
        <f>MEDIAN(EQ62:EU62)</f>
        <v>8</v>
      </c>
      <c r="FL62">
        <v>39.9</v>
      </c>
      <c r="FM62">
        <v>5.3</v>
      </c>
      <c r="FN62" t="s">
        <v>898</v>
      </c>
      <c r="FO62" t="s">
        <v>899</v>
      </c>
      <c r="FP62" t="s">
        <v>900</v>
      </c>
      <c r="FQ62" t="s">
        <v>901</v>
      </c>
      <c r="FR62" t="s">
        <v>902</v>
      </c>
      <c r="FS62">
        <v>5</v>
      </c>
      <c r="FT62">
        <v>7.5</v>
      </c>
      <c r="FU62">
        <v>6</v>
      </c>
      <c r="FV62">
        <v>6.5</v>
      </c>
      <c r="FW62">
        <v>4</v>
      </c>
      <c r="FX62">
        <v>0.1</v>
      </c>
      <c r="FY62">
        <v>0.1</v>
      </c>
      <c r="FZ62">
        <v>0.2</v>
      </c>
      <c r="GA62">
        <v>0.3</v>
      </c>
      <c r="GB62">
        <v>0.3</v>
      </c>
      <c r="GC62">
        <f>FS62*FX62</f>
        <v>0.5</v>
      </c>
      <c r="GD62">
        <f>FT62*FY62</f>
        <v>0.75</v>
      </c>
      <c r="GE62">
        <f>FU62*FZ62</f>
        <v>1.2000000000000002</v>
      </c>
      <c r="GF62">
        <f>FV62*GA62</f>
        <v>1.95</v>
      </c>
      <c r="GG62">
        <f>FW62*GB62</f>
        <v>1.2</v>
      </c>
      <c r="GH62">
        <v>5.85</v>
      </c>
      <c r="GI62">
        <v>-0.5</v>
      </c>
      <c r="GJ62">
        <v>5.3</v>
      </c>
      <c r="GK62">
        <f>GC62+GD62+GE62+GF62+GG62</f>
        <v>5.6000000000000005</v>
      </c>
      <c r="GL62">
        <f>MEDIAN(FS62:FW62)</f>
        <v>6</v>
      </c>
    </row>
    <row r="63" spans="1:194" hidden="1" x14ac:dyDescent="0.25">
      <c r="A63">
        <v>62</v>
      </c>
      <c r="B63" t="s">
        <v>2</v>
      </c>
      <c r="C63" s="4">
        <v>64.8</v>
      </c>
      <c r="D63">
        <v>3.6</v>
      </c>
      <c r="E63" s="1">
        <f>C63/3/D63</f>
        <v>5.9999999999999991</v>
      </c>
      <c r="G63">
        <v>40.81</v>
      </c>
      <c r="H63">
        <v>5.7</v>
      </c>
      <c r="I63">
        <f>H63*D63*3</f>
        <v>61.56</v>
      </c>
      <c r="J63">
        <v>19.38</v>
      </c>
      <c r="K63">
        <v>9</v>
      </c>
      <c r="L63" s="3">
        <f>K63*3*D63</f>
        <v>97.2</v>
      </c>
      <c r="M63">
        <v>4.6900000000000004</v>
      </c>
      <c r="N63">
        <v>3</v>
      </c>
      <c r="O63">
        <f>N63*D63*3</f>
        <v>32.400000000000006</v>
      </c>
      <c r="P63" s="5">
        <v>7</v>
      </c>
      <c r="Q63" s="5">
        <f>P63*D63*3</f>
        <v>75.599999999999994</v>
      </c>
      <c r="S63" t="s">
        <v>6199</v>
      </c>
      <c r="T63">
        <v>7.4</v>
      </c>
      <c r="U63" s="8">
        <f>T63*D63*3</f>
        <v>79.92</v>
      </c>
      <c r="V63">
        <v>35.69</v>
      </c>
      <c r="W63">
        <v>8.4</v>
      </c>
      <c r="X63" s="5">
        <f>W63*D63*3</f>
        <v>90.72</v>
      </c>
      <c r="Y63">
        <v>9.06</v>
      </c>
      <c r="Z63">
        <v>7.5</v>
      </c>
      <c r="AA63">
        <f>Z63*D63*3</f>
        <v>81</v>
      </c>
      <c r="AC63">
        <v>44.93</v>
      </c>
      <c r="AD63">
        <v>8</v>
      </c>
      <c r="AE63" s="1">
        <f>AD63*3*D63</f>
        <v>86.4</v>
      </c>
      <c r="AF63">
        <v>11.81</v>
      </c>
      <c r="AG63" s="5">
        <v>7</v>
      </c>
      <c r="AH63" s="5">
        <f>AG63*D63*3</f>
        <v>75.599999999999994</v>
      </c>
      <c r="AI63" s="13"/>
      <c r="AK63" s="8">
        <f>AJ63*D63*3</f>
        <v>0</v>
      </c>
      <c r="AL63" s="13"/>
      <c r="AM63">
        <v>30.06</v>
      </c>
      <c r="AN63">
        <v>8.1</v>
      </c>
      <c r="AO63" s="8">
        <f>AN63*D63*3</f>
        <v>87.48</v>
      </c>
      <c r="AP63">
        <v>14.54</v>
      </c>
      <c r="AQ63">
        <v>9.4</v>
      </c>
      <c r="AR63">
        <f>AQ63*D63*3</f>
        <v>101.52000000000001</v>
      </c>
      <c r="AT63">
        <v>8.8000000000000007</v>
      </c>
      <c r="AU63">
        <f>AT63*D63*3</f>
        <v>95.04</v>
      </c>
      <c r="AW63">
        <v>28</v>
      </c>
      <c r="AX63">
        <v>8.8000000000000007</v>
      </c>
      <c r="AY63">
        <f>AX63*D63*3</f>
        <v>95.04</v>
      </c>
      <c r="AZ63">
        <v>28</v>
      </c>
      <c r="BA63">
        <v>9</v>
      </c>
      <c r="BB63">
        <f>BA63*D63*3</f>
        <v>97.199999999999989</v>
      </c>
      <c r="BD63">
        <v>7.6</v>
      </c>
      <c r="BE63">
        <f>BD63*D63*3</f>
        <v>82.08</v>
      </c>
      <c r="BG63" s="10"/>
      <c r="BH63" s="1">
        <f>CHOOSE(MATCH(MIN(ABS(BP63-C63),ABS(BQ63-C63),ABS(BR63-C63)),CHOOSE({1;2;3},ABS(BP63-C63),ABS(BQ63-C63),ABS(BR63-C63)),0),BP63,BQ63,BR63)</f>
        <v>71.279999999999987</v>
      </c>
      <c r="BJ63" s="1" cm="1">
        <f t="array" ref="BJ63">(INDEX(_xlfn._xlws.SORT(CHOOSE({1;2;3;4;5;6},BQ63,BR63,L63,AE63,BO63,BP63)),3) + INDEX(_xlfn._xlws.SORT(CHOOSE({1;2;3;4;5;6},BQ63,BR63,L63,AE63,BO63,BP63)),4))/2</f>
        <v>78.84</v>
      </c>
      <c r="BK63">
        <v>6.0638908127364699</v>
      </c>
      <c r="BL63" t="s">
        <v>6117</v>
      </c>
      <c r="BM63" s="1">
        <f>BK63*3*D63</f>
        <v>65.49002077755388</v>
      </c>
      <c r="BN63" s="1">
        <f>BM63-C63</f>
        <v>0.69002077755388314</v>
      </c>
      <c r="BO63" s="1">
        <f>GK63*3*D63</f>
        <v>56.7</v>
      </c>
      <c r="BP63" s="1">
        <f>DO63*3*D63</f>
        <v>71.279999999999987</v>
      </c>
      <c r="BQ63" s="1">
        <f>FJ63*3*D63</f>
        <v>86.4</v>
      </c>
      <c r="BR63" s="1">
        <f>GL63*3*D63</f>
        <v>43.2</v>
      </c>
      <c r="BT63">
        <v>40.81</v>
      </c>
      <c r="BU63">
        <v>5.7</v>
      </c>
      <c r="BV63" t="s">
        <v>5013</v>
      </c>
      <c r="BW63" t="s">
        <v>5014</v>
      </c>
      <c r="BX63" t="s">
        <v>5222</v>
      </c>
      <c r="BY63" t="s">
        <v>5223</v>
      </c>
      <c r="BZ63" t="s">
        <v>5224</v>
      </c>
      <c r="CA63" t="s">
        <v>2420</v>
      </c>
      <c r="CC63" t="s">
        <v>2743</v>
      </c>
      <c r="CD63" t="s">
        <v>2744</v>
      </c>
      <c r="CE63" t="s">
        <v>2572</v>
      </c>
      <c r="CG63" t="s">
        <v>2847</v>
      </c>
      <c r="CH63" t="s">
        <v>2848</v>
      </c>
      <c r="CI63" t="s">
        <v>2746</v>
      </c>
      <c r="CJ63" t="s">
        <v>2747</v>
      </c>
      <c r="CK63" t="s">
        <v>2849</v>
      </c>
      <c r="CL63" t="s">
        <v>2850</v>
      </c>
      <c r="CM63" t="s">
        <v>2750</v>
      </c>
      <c r="CN63" t="s">
        <v>2751</v>
      </c>
      <c r="CO63" t="s">
        <v>2851</v>
      </c>
      <c r="CP63" t="s">
        <v>2852</v>
      </c>
      <c r="CQ63" t="s">
        <v>2754</v>
      </c>
      <c r="CR63" t="s">
        <v>2755</v>
      </c>
      <c r="CS63" t="s">
        <v>2853</v>
      </c>
      <c r="CT63" t="s">
        <v>2854</v>
      </c>
      <c r="CV63">
        <v>9</v>
      </c>
      <c r="CW63">
        <v>9</v>
      </c>
      <c r="CX63">
        <v>6</v>
      </c>
      <c r="CY63">
        <v>5</v>
      </c>
      <c r="CZ63">
        <v>4</v>
      </c>
      <c r="DA63">
        <v>0.1</v>
      </c>
      <c r="DB63">
        <v>0.1</v>
      </c>
      <c r="DC63">
        <v>0.2</v>
      </c>
      <c r="DD63">
        <v>0.3</v>
      </c>
      <c r="DE63">
        <v>0.3</v>
      </c>
      <c r="DF63">
        <v>0.9</v>
      </c>
      <c r="DG63">
        <v>0.9</v>
      </c>
      <c r="DH63">
        <v>1.2</v>
      </c>
      <c r="DI63">
        <v>1.5</v>
      </c>
      <c r="DJ63">
        <v>1.2</v>
      </c>
      <c r="DK63">
        <v>5.7</v>
      </c>
      <c r="DL63">
        <v>0</v>
      </c>
      <c r="DM63">
        <v>5.7</v>
      </c>
      <c r="DN63">
        <v>9</v>
      </c>
      <c r="DO63">
        <f>AVERAGE(CV63:CZ63)</f>
        <v>6.6</v>
      </c>
      <c r="DQ63">
        <v>8</v>
      </c>
      <c r="DR63" t="s">
        <v>65</v>
      </c>
      <c r="DS63" t="s">
        <v>66</v>
      </c>
      <c r="DT63" t="s">
        <v>67</v>
      </c>
      <c r="DU63" t="s">
        <v>68</v>
      </c>
      <c r="DV63" t="s">
        <v>69</v>
      </c>
      <c r="DW63" t="s">
        <v>3836</v>
      </c>
      <c r="DX63" t="s">
        <v>3858</v>
      </c>
      <c r="DY63" t="s">
        <v>3875</v>
      </c>
      <c r="DZ63" t="s">
        <v>3827</v>
      </c>
      <c r="EA63" t="s">
        <v>3860</v>
      </c>
      <c r="EB63" t="s">
        <v>3840</v>
      </c>
      <c r="EC63" t="s">
        <v>3876</v>
      </c>
      <c r="ED63" t="s">
        <v>3827</v>
      </c>
      <c r="EE63" t="s">
        <v>3877</v>
      </c>
      <c r="EF63" t="s">
        <v>4204</v>
      </c>
      <c r="EG63" t="s">
        <v>3878</v>
      </c>
      <c r="EH63" t="s">
        <v>3827</v>
      </c>
      <c r="EI63" t="s">
        <v>3879</v>
      </c>
      <c r="EJ63" t="s">
        <v>4205</v>
      </c>
      <c r="EK63" t="s">
        <v>4206</v>
      </c>
      <c r="EL63" t="s">
        <v>3827</v>
      </c>
      <c r="EM63" t="s">
        <v>3881</v>
      </c>
      <c r="EN63" t="s">
        <v>4207</v>
      </c>
      <c r="EO63" t="s">
        <v>3882</v>
      </c>
      <c r="EP63" t="s">
        <v>3827</v>
      </c>
      <c r="EQ63">
        <v>8</v>
      </c>
      <c r="ER63">
        <v>8</v>
      </c>
      <c r="ES63">
        <v>8</v>
      </c>
      <c r="ET63">
        <v>8</v>
      </c>
      <c r="EU63">
        <v>8</v>
      </c>
      <c r="EV63">
        <v>0.1</v>
      </c>
      <c r="EW63">
        <v>0.1</v>
      </c>
      <c r="EX63">
        <v>0.2</v>
      </c>
      <c r="EY63">
        <v>0.3</v>
      </c>
      <c r="EZ63">
        <v>0.3</v>
      </c>
      <c r="FA63">
        <f>EV63*EQ63</f>
        <v>0.8</v>
      </c>
      <c r="FB63">
        <f>EW63*ER63</f>
        <v>0.8</v>
      </c>
      <c r="FC63">
        <f>EX63*ES63</f>
        <v>1.6</v>
      </c>
      <c r="FD63">
        <f>EY63*ET63</f>
        <v>2.4</v>
      </c>
      <c r="FE63">
        <f>EZ63*EU63</f>
        <v>2.4</v>
      </c>
      <c r="FF63">
        <v>18</v>
      </c>
      <c r="FG63">
        <v>0</v>
      </c>
      <c r="FH63">
        <v>8</v>
      </c>
      <c r="FI63">
        <f>FA63+FB63+FC63+FD63+FE63</f>
        <v>8</v>
      </c>
      <c r="FJ63">
        <f>MEDIAN(EQ63:EU63)</f>
        <v>8</v>
      </c>
      <c r="FL63">
        <v>39.799999999999997</v>
      </c>
      <c r="FM63">
        <v>9</v>
      </c>
      <c r="FN63" t="s">
        <v>903</v>
      </c>
      <c r="FO63" t="s">
        <v>904</v>
      </c>
      <c r="FP63" t="s">
        <v>905</v>
      </c>
      <c r="FQ63" t="s">
        <v>906</v>
      </c>
      <c r="FR63" t="s">
        <v>907</v>
      </c>
      <c r="FS63">
        <v>3</v>
      </c>
      <c r="FT63">
        <v>2.5</v>
      </c>
      <c r="FU63">
        <v>4</v>
      </c>
      <c r="FV63">
        <v>6</v>
      </c>
      <c r="FW63">
        <v>7</v>
      </c>
      <c r="FX63">
        <v>0.1</v>
      </c>
      <c r="FY63">
        <v>0.1</v>
      </c>
      <c r="FZ63">
        <v>0.2</v>
      </c>
      <c r="GA63">
        <v>0.3</v>
      </c>
      <c r="GB63">
        <v>0.3</v>
      </c>
      <c r="GC63">
        <f>FS63*FX63</f>
        <v>0.30000000000000004</v>
      </c>
      <c r="GD63">
        <f>FT63*FY63</f>
        <v>0.25</v>
      </c>
      <c r="GE63">
        <f>FU63*FZ63</f>
        <v>0.8</v>
      </c>
      <c r="GF63">
        <f>FV63*GA63</f>
        <v>1.7999999999999998</v>
      </c>
      <c r="GG63">
        <f>FW63*GB63</f>
        <v>2.1</v>
      </c>
      <c r="GH63">
        <v>9</v>
      </c>
      <c r="GI63">
        <v>0</v>
      </c>
      <c r="GJ63">
        <v>9</v>
      </c>
      <c r="GK63">
        <f>GC63+GD63+GE63+GF63+GG63</f>
        <v>5.25</v>
      </c>
      <c r="GL63">
        <f>MEDIAN(FS63:FW63)</f>
        <v>4</v>
      </c>
    </row>
    <row r="64" spans="1:194" hidden="1" x14ac:dyDescent="0.25">
      <c r="A64">
        <v>63</v>
      </c>
      <c r="B64" t="s">
        <v>2</v>
      </c>
      <c r="C64" s="4">
        <v>87.4</v>
      </c>
      <c r="D64">
        <v>3.8</v>
      </c>
      <c r="E64" s="1">
        <f>C64/3/D64</f>
        <v>7.6666666666666679</v>
      </c>
      <c r="G64">
        <v>38.54</v>
      </c>
      <c r="H64">
        <v>8.1999999999999993</v>
      </c>
      <c r="I64">
        <f>H64*D64*3</f>
        <v>93.47999999999999</v>
      </c>
      <c r="J64">
        <v>16.84</v>
      </c>
      <c r="K64">
        <v>8.4</v>
      </c>
      <c r="L64" s="3">
        <f>K64*3*D64</f>
        <v>95.76</v>
      </c>
      <c r="M64">
        <v>4.13</v>
      </c>
      <c r="N64">
        <v>8.9</v>
      </c>
      <c r="O64">
        <f>N64*D64*3</f>
        <v>101.46000000000001</v>
      </c>
      <c r="P64" s="5">
        <v>7</v>
      </c>
      <c r="Q64" s="5">
        <f>P64*D64*3</f>
        <v>79.8</v>
      </c>
      <c r="S64" t="s">
        <v>6200</v>
      </c>
      <c r="T64">
        <v>2</v>
      </c>
      <c r="U64" s="8">
        <f>T64*D64*3</f>
        <v>22.799999999999997</v>
      </c>
      <c r="V64">
        <v>34.450000000000003</v>
      </c>
      <c r="W64">
        <v>8.4</v>
      </c>
      <c r="X64" s="5">
        <f>W64*D64*3</f>
        <v>95.759999999999991</v>
      </c>
      <c r="Y64">
        <v>9.5</v>
      </c>
      <c r="Z64">
        <v>7.5</v>
      </c>
      <c r="AA64">
        <f>Z64*D64*3</f>
        <v>85.5</v>
      </c>
      <c r="AC64">
        <v>47.94</v>
      </c>
      <c r="AD64">
        <v>7.3000000000000007</v>
      </c>
      <c r="AE64" s="1">
        <f>AD64*3*D64</f>
        <v>83.22</v>
      </c>
      <c r="AF64">
        <v>11.9</v>
      </c>
      <c r="AG64" s="5">
        <v>7</v>
      </c>
      <c r="AH64" s="5">
        <f>AG64*D64*3</f>
        <v>79.8</v>
      </c>
      <c r="AI64" s="13"/>
      <c r="AK64" s="8">
        <f>AJ64*D64*3</f>
        <v>0</v>
      </c>
      <c r="AL64" s="13"/>
      <c r="AM64">
        <v>30.64</v>
      </c>
      <c r="AN64">
        <v>7.6</v>
      </c>
      <c r="AO64" s="8">
        <f>AN64*D64*3</f>
        <v>86.64</v>
      </c>
      <c r="AP64">
        <v>14.11</v>
      </c>
      <c r="AQ64">
        <v>9.5</v>
      </c>
      <c r="AR64">
        <f>AQ64*D64*3</f>
        <v>108.30000000000001</v>
      </c>
      <c r="AT64">
        <v>9</v>
      </c>
      <c r="AU64">
        <f>AT64*D64*3</f>
        <v>102.6</v>
      </c>
      <c r="AW64">
        <v>24.09</v>
      </c>
      <c r="AX64">
        <v>8.8000000000000007</v>
      </c>
      <c r="AY64">
        <f>AX64*D64*3</f>
        <v>100.32</v>
      </c>
      <c r="AZ64">
        <v>24.09</v>
      </c>
      <c r="BA64">
        <v>9</v>
      </c>
      <c r="BB64">
        <f>BA64*D64*3</f>
        <v>102.6</v>
      </c>
      <c r="BD64">
        <v>8.9</v>
      </c>
      <c r="BE64">
        <f>BD64*D64*3</f>
        <v>101.46000000000001</v>
      </c>
      <c r="BG64" s="10"/>
      <c r="BH64" s="1">
        <f>CHOOSE(MATCH(MIN(ABS(BP64-C64),ABS(BQ64-C64),ABS(BR64-C64)),CHOOSE({1;2;3},ABS(BP64-C64),ABS(BQ64-C64),ABS(BR64-C64)),0),BP64,BQ64,BR64)</f>
        <v>79.8</v>
      </c>
      <c r="BJ64" s="1" cm="1">
        <f t="array" ref="BJ64">(INDEX(_xlfn._xlws.SORT(CHOOSE({1;2;3;4;5;6},BQ64,BR64,L64,AE64,BO64,BP64)),3) + INDEX(_xlfn._xlws.SORT(CHOOSE({1;2;3;4;5;6},BQ64,BR64,L64,AE64,BO64,BP64)),4))/2</f>
        <v>98.04</v>
      </c>
      <c r="BK64">
        <v>7.6610415835048897</v>
      </c>
      <c r="BL64" t="s">
        <v>6117</v>
      </c>
      <c r="BM64" s="1">
        <f>BK64*3*D64</f>
        <v>87.335874051955741</v>
      </c>
      <c r="BN64" s="1">
        <f>BM64-C64</f>
        <v>-6.4125948044264192E-2</v>
      </c>
      <c r="BO64" s="1">
        <f>GK64*3*D64</f>
        <v>100.32000000000001</v>
      </c>
      <c r="BP64" s="1">
        <f>DO64*3*D64</f>
        <v>102.6</v>
      </c>
      <c r="BQ64" s="1">
        <f>FJ64*3*D64</f>
        <v>79.8</v>
      </c>
      <c r="BR64" s="1">
        <f>GL64*3*D64</f>
        <v>114</v>
      </c>
      <c r="BT64">
        <v>38.54</v>
      </c>
      <c r="BU64">
        <v>8.1999999999999993</v>
      </c>
      <c r="BV64" t="s">
        <v>5225</v>
      </c>
      <c r="BW64" t="s">
        <v>4992</v>
      </c>
      <c r="BX64" t="s">
        <v>5226</v>
      </c>
      <c r="BY64" t="s">
        <v>4994</v>
      </c>
      <c r="BZ64" t="s">
        <v>5227</v>
      </c>
      <c r="CA64" t="s">
        <v>2452</v>
      </c>
      <c r="CC64" t="s">
        <v>2585</v>
      </c>
      <c r="CD64" t="s">
        <v>2453</v>
      </c>
      <c r="CE64" t="s">
        <v>2855</v>
      </c>
      <c r="CG64" t="s">
        <v>2856</v>
      </c>
      <c r="CH64" t="s">
        <v>2857</v>
      </c>
      <c r="CI64" t="s">
        <v>2858</v>
      </c>
      <c r="CK64" t="s">
        <v>2859</v>
      </c>
      <c r="CL64" t="s">
        <v>2860</v>
      </c>
      <c r="CM64" t="s">
        <v>2861</v>
      </c>
      <c r="CO64" t="s">
        <v>2862</v>
      </c>
      <c r="CP64" t="s">
        <v>2863</v>
      </c>
      <c r="CQ64" t="s">
        <v>2864</v>
      </c>
      <c r="CS64" t="s">
        <v>2865</v>
      </c>
      <c r="CT64" t="s">
        <v>2866</v>
      </c>
      <c r="CV64">
        <v>9</v>
      </c>
      <c r="CW64">
        <v>9</v>
      </c>
      <c r="CX64">
        <v>9</v>
      </c>
      <c r="CY64">
        <v>9</v>
      </c>
      <c r="CZ64">
        <v>9</v>
      </c>
      <c r="DA64">
        <v>0.1</v>
      </c>
      <c r="DB64">
        <v>0.1</v>
      </c>
      <c r="DC64">
        <v>0.2</v>
      </c>
      <c r="DD64">
        <v>0.3</v>
      </c>
      <c r="DE64">
        <v>0.3</v>
      </c>
      <c r="DF64">
        <v>0.9</v>
      </c>
      <c r="DG64">
        <v>0.9</v>
      </c>
      <c r="DH64">
        <v>1.8</v>
      </c>
      <c r="DI64">
        <v>2.7</v>
      </c>
      <c r="DJ64">
        <v>2.7</v>
      </c>
      <c r="DK64">
        <v>8.1999999999999993</v>
      </c>
      <c r="DL64">
        <v>0</v>
      </c>
      <c r="DM64">
        <v>8.1999999999999993</v>
      </c>
      <c r="DN64">
        <v>8.4</v>
      </c>
      <c r="DO64">
        <f>AVERAGE(CV64:CZ64)</f>
        <v>9</v>
      </c>
      <c r="DQ64">
        <v>7</v>
      </c>
      <c r="DR64" t="s">
        <v>195</v>
      </c>
      <c r="DS64" t="s">
        <v>196</v>
      </c>
      <c r="DT64" t="s">
        <v>197</v>
      </c>
      <c r="DU64" t="s">
        <v>198</v>
      </c>
      <c r="DV64" t="s">
        <v>199</v>
      </c>
      <c r="DW64" t="s">
        <v>4208</v>
      </c>
      <c r="DX64" t="s">
        <v>4209</v>
      </c>
      <c r="DY64" t="s">
        <v>4210</v>
      </c>
      <c r="DZ64" t="s">
        <v>4211</v>
      </c>
      <c r="EA64" t="s">
        <v>4212</v>
      </c>
      <c r="EB64" t="s">
        <v>4213</v>
      </c>
      <c r="EC64" t="s">
        <v>4214</v>
      </c>
      <c r="ED64" t="s">
        <v>4215</v>
      </c>
      <c r="EE64" t="s">
        <v>3966</v>
      </c>
      <c r="EF64" t="s">
        <v>4216</v>
      </c>
      <c r="EG64" t="s">
        <v>4217</v>
      </c>
      <c r="EH64" t="s">
        <v>4218</v>
      </c>
      <c r="EI64" t="s">
        <v>4219</v>
      </c>
      <c r="EJ64" t="s">
        <v>4220</v>
      </c>
      <c r="EK64" t="s">
        <v>4221</v>
      </c>
      <c r="EL64" t="s">
        <v>4222</v>
      </c>
      <c r="EM64" t="s">
        <v>4223</v>
      </c>
      <c r="EN64" t="s">
        <v>4224</v>
      </c>
      <c r="EO64" t="s">
        <v>4225</v>
      </c>
      <c r="EP64" t="s">
        <v>4226</v>
      </c>
      <c r="EQ64">
        <v>8</v>
      </c>
      <c r="ER64">
        <v>7</v>
      </c>
      <c r="ES64">
        <v>8</v>
      </c>
      <c r="ET64">
        <v>7</v>
      </c>
      <c r="EU64">
        <v>7</v>
      </c>
      <c r="EV64">
        <v>0.1</v>
      </c>
      <c r="EW64">
        <v>0.1</v>
      </c>
      <c r="EX64">
        <v>0.2</v>
      </c>
      <c r="EY64">
        <v>0.3</v>
      </c>
      <c r="EZ64">
        <v>0.3</v>
      </c>
      <c r="FA64">
        <f>EV64*EQ64</f>
        <v>0.8</v>
      </c>
      <c r="FB64">
        <f>EW64*ER64</f>
        <v>0.70000000000000007</v>
      </c>
      <c r="FC64">
        <f>EX64*ES64</f>
        <v>1.6</v>
      </c>
      <c r="FD64">
        <f>EY64*ET64</f>
        <v>2.1</v>
      </c>
      <c r="FE64">
        <f>EZ64*EU64</f>
        <v>2.1</v>
      </c>
      <c r="FF64">
        <v>15.8</v>
      </c>
      <c r="FG64">
        <v>0</v>
      </c>
      <c r="FH64">
        <v>15.8</v>
      </c>
      <c r="FI64">
        <f>FA64+FB64+FC64+FD64+FE64</f>
        <v>7.3000000000000007</v>
      </c>
      <c r="FJ64">
        <f>MEDIAN(EQ64:EU64)</f>
        <v>7</v>
      </c>
      <c r="FL64">
        <v>43.53</v>
      </c>
      <c r="FM64">
        <v>9.8000000000000007</v>
      </c>
      <c r="FN64" t="s">
        <v>908</v>
      </c>
      <c r="FO64" t="s">
        <v>909</v>
      </c>
      <c r="FP64" t="s">
        <v>910</v>
      </c>
      <c r="FQ64" t="s">
        <v>911</v>
      </c>
      <c r="FR64" t="s">
        <v>912</v>
      </c>
      <c r="FS64">
        <v>10</v>
      </c>
      <c r="FT64">
        <v>10</v>
      </c>
      <c r="FU64">
        <v>10</v>
      </c>
      <c r="FV64">
        <v>8.5</v>
      </c>
      <c r="FW64">
        <v>7.5</v>
      </c>
      <c r="FX64">
        <v>0.1</v>
      </c>
      <c r="FY64">
        <v>0.1</v>
      </c>
      <c r="FZ64">
        <v>0.2</v>
      </c>
      <c r="GA64">
        <v>0.3</v>
      </c>
      <c r="GB64">
        <v>0.3</v>
      </c>
      <c r="GC64">
        <f>FS64*FX64</f>
        <v>1</v>
      </c>
      <c r="GD64">
        <f>FT64*FY64</f>
        <v>1</v>
      </c>
      <c r="GE64">
        <f>FU64*FZ64</f>
        <v>2</v>
      </c>
      <c r="GF64">
        <f>FV64*GA64</f>
        <v>2.5499999999999998</v>
      </c>
      <c r="GG64">
        <f>FW64*GB64</f>
        <v>2.25</v>
      </c>
      <c r="GH64">
        <v>9.85</v>
      </c>
      <c r="GI64">
        <v>0</v>
      </c>
      <c r="GJ64">
        <v>9.8000000000000007</v>
      </c>
      <c r="GK64">
        <f>GC64+GD64+GE64+GF64+GG64</f>
        <v>8.8000000000000007</v>
      </c>
      <c r="GL64">
        <f>MEDIAN(FS64:FW64)</f>
        <v>10</v>
      </c>
    </row>
    <row r="65" spans="1:194" hidden="1" x14ac:dyDescent="0.25">
      <c r="A65">
        <v>64</v>
      </c>
      <c r="B65" t="s">
        <v>2</v>
      </c>
      <c r="C65" s="4">
        <v>97.2</v>
      </c>
      <c r="D65">
        <v>3.6</v>
      </c>
      <c r="E65" s="1">
        <f>C65/3/D65</f>
        <v>9</v>
      </c>
      <c r="G65">
        <v>34.549999999999997</v>
      </c>
      <c r="H65">
        <v>8.65</v>
      </c>
      <c r="I65">
        <f>H65*D65*3</f>
        <v>93.42</v>
      </c>
      <c r="J65">
        <v>17.190000000000001</v>
      </c>
      <c r="K65">
        <v>8.4</v>
      </c>
      <c r="L65" s="3">
        <f>K65*3*D65</f>
        <v>90.720000000000013</v>
      </c>
      <c r="M65">
        <v>5.14</v>
      </c>
      <c r="N65">
        <v>6.8</v>
      </c>
      <c r="O65">
        <f>N65*D65*3</f>
        <v>73.44</v>
      </c>
      <c r="P65" s="5">
        <v>8.9</v>
      </c>
      <c r="Q65" s="5">
        <f>P65*D65*3</f>
        <v>96.12</v>
      </c>
      <c r="S65" t="s">
        <v>6201</v>
      </c>
      <c r="T65">
        <v>6.6</v>
      </c>
      <c r="U65" s="8">
        <f>T65*D65*3</f>
        <v>71.28</v>
      </c>
      <c r="V65">
        <v>35.4</v>
      </c>
      <c r="W65">
        <v>8.6999999999999993</v>
      </c>
      <c r="X65" s="5">
        <f>W65*D65*3</f>
        <v>93.96</v>
      </c>
      <c r="Y65">
        <v>10.99</v>
      </c>
      <c r="Z65">
        <v>7.8</v>
      </c>
      <c r="AA65">
        <f>Z65*D65*3</f>
        <v>84.24</v>
      </c>
      <c r="AC65">
        <v>48.41</v>
      </c>
      <c r="AD65">
        <v>8</v>
      </c>
      <c r="AE65" s="1">
        <f>AD65*3*D65</f>
        <v>86.4</v>
      </c>
      <c r="AF65">
        <v>12.03</v>
      </c>
      <c r="AG65" s="5">
        <v>7</v>
      </c>
      <c r="AH65" s="5">
        <f>AG65*D65*3</f>
        <v>75.599999999999994</v>
      </c>
      <c r="AI65" s="13"/>
      <c r="AJ65">
        <v>24.5</v>
      </c>
      <c r="AK65" s="8">
        <f>AJ65*D65*3</f>
        <v>264.60000000000002</v>
      </c>
      <c r="AL65" s="13"/>
      <c r="AM65">
        <v>30.46</v>
      </c>
      <c r="AN65">
        <v>7.5</v>
      </c>
      <c r="AO65" s="8">
        <f>AN65*D65*3</f>
        <v>81</v>
      </c>
      <c r="AP65">
        <v>12.89</v>
      </c>
      <c r="AQ65">
        <v>10</v>
      </c>
      <c r="AR65">
        <f>AQ65*D65*3</f>
        <v>108</v>
      </c>
      <c r="AT65">
        <v>9</v>
      </c>
      <c r="AU65">
        <f>AT65*D65*3</f>
        <v>97.199999999999989</v>
      </c>
      <c r="AW65">
        <v>24.1</v>
      </c>
      <c r="AX65">
        <v>9.3000000000000007</v>
      </c>
      <c r="AY65">
        <f>AX65*D65*3</f>
        <v>100.44000000000001</v>
      </c>
      <c r="AZ65">
        <v>24.1</v>
      </c>
      <c r="BA65">
        <v>9</v>
      </c>
      <c r="BB65">
        <f>BA65*D65*3</f>
        <v>97.199999999999989</v>
      </c>
      <c r="BD65">
        <v>9</v>
      </c>
      <c r="BE65">
        <f>BD65*D65*3</f>
        <v>97.199999999999989</v>
      </c>
      <c r="BG65" s="10"/>
      <c r="BH65" s="1">
        <f>CHOOSE(MATCH(MIN(ABS(BP65-C65),ABS(BQ65-C65),ABS(BR65-C65)),CHOOSE({1;2;3},ABS(BP65-C65),ABS(BQ65-C65),ABS(BR65-C65)),0),BP65,BQ65,BR65)</f>
        <v>96.120000000000019</v>
      </c>
      <c r="BJ65" s="1" cm="1">
        <f t="array" ref="BJ65">(INDEX(_xlfn._xlws.SORT(CHOOSE({1;2;3;4;5;6},BQ65,BR65,L65,AE65,BO65,BP65)),3) + INDEX(_xlfn._xlws.SORT(CHOOSE({1;2;3;4;5;6},BQ65,BR65,L65,AE65,BO65,BP65)),4))/2</f>
        <v>86.4</v>
      </c>
      <c r="BK65">
        <v>8.9726066005570093</v>
      </c>
      <c r="BL65" t="s">
        <v>6117</v>
      </c>
      <c r="BM65" s="1">
        <f>BK65*3*D65</f>
        <v>96.904151286015704</v>
      </c>
      <c r="BN65" s="1">
        <f>BM65-C65</f>
        <v>-0.29584871398429868</v>
      </c>
      <c r="BO65" s="1">
        <f>GK65*3*D65</f>
        <v>52.92</v>
      </c>
      <c r="BP65" s="1">
        <f>DO65*3*D65</f>
        <v>96.120000000000019</v>
      </c>
      <c r="BQ65" s="1">
        <f>FJ65*3*D65</f>
        <v>86.4</v>
      </c>
      <c r="BR65" s="1">
        <f>GL65*3*D65</f>
        <v>54</v>
      </c>
      <c r="BT65">
        <v>34.549999999999997</v>
      </c>
      <c r="BU65">
        <v>8.65</v>
      </c>
      <c r="BV65" t="s">
        <v>5228</v>
      </c>
      <c r="BW65" t="s">
        <v>5125</v>
      </c>
      <c r="BX65" t="s">
        <v>5229</v>
      </c>
      <c r="BY65" t="s">
        <v>5230</v>
      </c>
      <c r="BZ65" t="s">
        <v>5007</v>
      </c>
      <c r="CA65" t="s">
        <v>2550</v>
      </c>
      <c r="CC65" t="s">
        <v>2634</v>
      </c>
      <c r="CD65" t="s">
        <v>2635</v>
      </c>
      <c r="CE65" t="s">
        <v>2553</v>
      </c>
      <c r="CG65" t="s">
        <v>2634</v>
      </c>
      <c r="CH65" t="s">
        <v>2773</v>
      </c>
      <c r="CI65" t="s">
        <v>2867</v>
      </c>
      <c r="CK65" t="s">
        <v>2634</v>
      </c>
      <c r="CL65" t="s">
        <v>2669</v>
      </c>
      <c r="CM65" t="s">
        <v>2868</v>
      </c>
      <c r="CO65" t="s">
        <v>2634</v>
      </c>
      <c r="CP65" t="s">
        <v>2869</v>
      </c>
      <c r="CQ65" t="s">
        <v>2560</v>
      </c>
      <c r="CR65" t="s">
        <v>2870</v>
      </c>
      <c r="CS65" t="s">
        <v>2871</v>
      </c>
      <c r="CT65" t="s">
        <v>2872</v>
      </c>
      <c r="CV65">
        <v>9</v>
      </c>
      <c r="CW65">
        <v>9</v>
      </c>
      <c r="CX65">
        <v>9</v>
      </c>
      <c r="CY65">
        <v>9</v>
      </c>
      <c r="CZ65">
        <v>8.5</v>
      </c>
      <c r="DA65">
        <v>0.1</v>
      </c>
      <c r="DB65">
        <v>0.1</v>
      </c>
      <c r="DC65">
        <v>0.2</v>
      </c>
      <c r="DD65">
        <v>0.3</v>
      </c>
      <c r="DE65">
        <v>0.3</v>
      </c>
      <c r="DF65">
        <v>0.9</v>
      </c>
      <c r="DG65">
        <v>0.9</v>
      </c>
      <c r="DH65">
        <v>1.8</v>
      </c>
      <c r="DI65">
        <v>2.7</v>
      </c>
      <c r="DJ65">
        <v>2.5499999999999998</v>
      </c>
      <c r="DK65">
        <v>8.65</v>
      </c>
      <c r="DL65">
        <v>0</v>
      </c>
      <c r="DM65">
        <v>8.65</v>
      </c>
      <c r="DN65">
        <v>8.4</v>
      </c>
      <c r="DO65">
        <f>AVERAGE(CV65:CZ65)</f>
        <v>8.9</v>
      </c>
      <c r="DQ65">
        <v>8</v>
      </c>
      <c r="DR65" t="s">
        <v>33</v>
      </c>
      <c r="DS65" t="s">
        <v>34</v>
      </c>
      <c r="DT65" t="s">
        <v>35</v>
      </c>
      <c r="DU65" t="s">
        <v>36</v>
      </c>
      <c r="DV65" t="s">
        <v>200</v>
      </c>
      <c r="DW65" t="s">
        <v>3788</v>
      </c>
      <c r="DX65" t="s">
        <v>3789</v>
      </c>
      <c r="DY65" t="s">
        <v>3790</v>
      </c>
      <c r="DZ65" t="s">
        <v>3791</v>
      </c>
      <c r="EA65" t="s">
        <v>3792</v>
      </c>
      <c r="EB65" t="s">
        <v>3793</v>
      </c>
      <c r="EC65" t="s">
        <v>3794</v>
      </c>
      <c r="ED65" t="s">
        <v>3795</v>
      </c>
      <c r="EE65" t="s">
        <v>3796</v>
      </c>
      <c r="EF65" t="s">
        <v>3797</v>
      </c>
      <c r="EG65" t="s">
        <v>3798</v>
      </c>
      <c r="EH65" t="s">
        <v>3798</v>
      </c>
      <c r="EI65" t="s">
        <v>3799</v>
      </c>
      <c r="EJ65" t="s">
        <v>3800</v>
      </c>
      <c r="EK65" t="s">
        <v>3801</v>
      </c>
      <c r="EL65" t="s">
        <v>3801</v>
      </c>
      <c r="EM65" t="s">
        <v>4227</v>
      </c>
      <c r="EN65" t="s">
        <v>3803</v>
      </c>
      <c r="EO65" t="s">
        <v>4228</v>
      </c>
      <c r="EP65" t="s">
        <v>4229</v>
      </c>
      <c r="EQ65">
        <v>8</v>
      </c>
      <c r="ER65">
        <v>8</v>
      </c>
      <c r="ES65">
        <v>8</v>
      </c>
      <c r="ET65">
        <v>8</v>
      </c>
      <c r="EU65">
        <v>8</v>
      </c>
      <c r="EV65">
        <v>0.1</v>
      </c>
      <c r="EW65">
        <v>0.1</v>
      </c>
      <c r="EX65">
        <v>0.2</v>
      </c>
      <c r="EY65">
        <v>0.3</v>
      </c>
      <c r="EZ65">
        <v>0.3</v>
      </c>
      <c r="FA65">
        <f>EV65*EQ65</f>
        <v>0.8</v>
      </c>
      <c r="FB65">
        <f>EW65*ER65</f>
        <v>0.8</v>
      </c>
      <c r="FC65">
        <f>EX65*ES65</f>
        <v>1.6</v>
      </c>
      <c r="FD65">
        <f>EY65*ET65</f>
        <v>2.4</v>
      </c>
      <c r="FE65">
        <f>EZ65*EU65</f>
        <v>2.4</v>
      </c>
      <c r="FF65">
        <v>17</v>
      </c>
      <c r="FG65">
        <v>0</v>
      </c>
      <c r="FH65">
        <v>8</v>
      </c>
      <c r="FI65">
        <f>FA65+FB65+FC65+FD65+FE65</f>
        <v>8</v>
      </c>
      <c r="FJ65">
        <f>MEDIAN(EQ65:EU65)</f>
        <v>8</v>
      </c>
      <c r="FL65">
        <v>39.49</v>
      </c>
      <c r="FM65">
        <v>8.5</v>
      </c>
      <c r="FN65" t="s">
        <v>913</v>
      </c>
      <c r="FO65" t="s">
        <v>914</v>
      </c>
      <c r="FP65" t="s">
        <v>915</v>
      </c>
      <c r="FQ65" t="s">
        <v>916</v>
      </c>
      <c r="FR65" t="s">
        <v>917</v>
      </c>
      <c r="FS65">
        <v>5</v>
      </c>
      <c r="FT65">
        <v>6</v>
      </c>
      <c r="FU65">
        <v>4</v>
      </c>
      <c r="FV65">
        <v>7</v>
      </c>
      <c r="FW65">
        <v>3</v>
      </c>
      <c r="FX65">
        <v>0.1</v>
      </c>
      <c r="FY65">
        <v>0.1</v>
      </c>
      <c r="FZ65">
        <v>0.2</v>
      </c>
      <c r="GA65">
        <v>0.3</v>
      </c>
      <c r="GB65">
        <v>0.3</v>
      </c>
      <c r="GC65">
        <f>FS65*FX65</f>
        <v>0.5</v>
      </c>
      <c r="GD65">
        <f>FT65*FY65</f>
        <v>0.60000000000000009</v>
      </c>
      <c r="GE65">
        <f>FU65*FZ65</f>
        <v>0.8</v>
      </c>
      <c r="GF65">
        <f>FV65*GA65</f>
        <v>2.1</v>
      </c>
      <c r="GG65">
        <f>FW65*GB65</f>
        <v>0.89999999999999991</v>
      </c>
      <c r="GH65">
        <v>9</v>
      </c>
      <c r="GI65">
        <v>-0.5</v>
      </c>
      <c r="GJ65">
        <v>8.5</v>
      </c>
      <c r="GK65">
        <f>GC65+GD65+GE65+GF65+GG65</f>
        <v>4.9000000000000004</v>
      </c>
      <c r="GL65">
        <f>MEDIAN(FS65:FW65)</f>
        <v>5</v>
      </c>
    </row>
    <row r="66" spans="1:194" hidden="1" x14ac:dyDescent="0.25">
      <c r="A66">
        <v>65</v>
      </c>
      <c r="B66" t="s">
        <v>2</v>
      </c>
      <c r="C66" s="4">
        <v>91.8</v>
      </c>
      <c r="D66">
        <v>3.6</v>
      </c>
      <c r="E66" s="1">
        <f>C66/3/D66</f>
        <v>8.5</v>
      </c>
      <c r="G66">
        <v>34.76</v>
      </c>
      <c r="H66">
        <v>8.1999999999999993</v>
      </c>
      <c r="I66">
        <f>H66*D66*3</f>
        <v>88.56</v>
      </c>
      <c r="J66">
        <v>16.57</v>
      </c>
      <c r="K66">
        <v>8.4</v>
      </c>
      <c r="L66" s="3">
        <f>K66*3*D66</f>
        <v>90.720000000000013</v>
      </c>
      <c r="M66">
        <v>4.95</v>
      </c>
      <c r="N66">
        <v>5</v>
      </c>
      <c r="O66">
        <f>N66*D66*3</f>
        <v>54</v>
      </c>
      <c r="P66" s="5">
        <v>7.5</v>
      </c>
      <c r="Q66" s="5">
        <f>P66*D66*3</f>
        <v>81</v>
      </c>
      <c r="S66" t="s">
        <v>6202</v>
      </c>
      <c r="T66">
        <v>8.1999999999999993</v>
      </c>
      <c r="U66" s="8">
        <f>T66*D66*3</f>
        <v>88.56</v>
      </c>
      <c r="V66">
        <v>35.909999999999997</v>
      </c>
      <c r="W66">
        <v>8.4</v>
      </c>
      <c r="X66" s="5">
        <f>W66*D66*3</f>
        <v>90.72</v>
      </c>
      <c r="Y66">
        <v>12.29</v>
      </c>
      <c r="Z66">
        <v>7.5</v>
      </c>
      <c r="AA66">
        <f>Z66*D66*3</f>
        <v>81</v>
      </c>
      <c r="AC66">
        <v>45.11</v>
      </c>
      <c r="AD66">
        <v>8</v>
      </c>
      <c r="AE66" s="1">
        <f>AD66*3*D66</f>
        <v>86.4</v>
      </c>
      <c r="AF66">
        <v>11.98</v>
      </c>
      <c r="AG66" s="5">
        <v>7</v>
      </c>
      <c r="AH66" s="5">
        <f>AG66*D66*3</f>
        <v>75.599999999999994</v>
      </c>
      <c r="AI66" s="13"/>
      <c r="AK66" s="8">
        <f>AJ66*D66*3</f>
        <v>0</v>
      </c>
      <c r="AL66" s="13"/>
      <c r="AM66">
        <v>29.72</v>
      </c>
      <c r="AN66">
        <v>8.1</v>
      </c>
      <c r="AO66" s="8">
        <f>AN66*D66*3</f>
        <v>87.48</v>
      </c>
      <c r="AP66">
        <v>11.97</v>
      </c>
      <c r="AQ66">
        <v>9.4</v>
      </c>
      <c r="AR66">
        <f>AQ66*D66*3</f>
        <v>101.52000000000001</v>
      </c>
      <c r="AT66">
        <v>8.8000000000000007</v>
      </c>
      <c r="AU66">
        <f>AT66*D66*3</f>
        <v>95.04</v>
      </c>
      <c r="AW66">
        <v>26.8</v>
      </c>
      <c r="AX66">
        <v>8.6</v>
      </c>
      <c r="AY66">
        <f>AX66*D66*3</f>
        <v>92.88</v>
      </c>
      <c r="AZ66">
        <v>26.8</v>
      </c>
      <c r="BA66">
        <v>9.4</v>
      </c>
      <c r="BB66">
        <f>BA66*D66*3</f>
        <v>101.52000000000001</v>
      </c>
      <c r="BD66">
        <v>9</v>
      </c>
      <c r="BE66">
        <f>BD66*D66*3</f>
        <v>97.199999999999989</v>
      </c>
      <c r="BG66" s="10"/>
      <c r="BH66" s="1">
        <f>CHOOSE(MATCH(MIN(ABS(BP66-C66),ABS(BQ66-C66),ABS(BR66-C66)),CHOOSE({1;2;3},ABS(BP66-C66),ABS(BQ66-C66),ABS(BR66-C66)),0),BP66,BQ66,BR66)</f>
        <v>86.4</v>
      </c>
      <c r="BJ66" s="1" cm="1">
        <f t="array" ref="BJ66">(INDEX(_xlfn._xlws.SORT(CHOOSE({1;2;3;4;5;6},BQ66,BR66,L66,AE66,BO66,BP66)),3) + INDEX(_xlfn._xlws.SORT(CHOOSE({1;2;3;4;5;6},BQ66,BR66,L66,AE66,BO66,BP66)),4))/2</f>
        <v>86.4</v>
      </c>
      <c r="BK66">
        <v>8.5165310519623798</v>
      </c>
      <c r="BL66" t="s">
        <v>6117</v>
      </c>
      <c r="BM66" s="1">
        <f>BK66*3*D66</f>
        <v>91.978535361193693</v>
      </c>
      <c r="BN66" s="1">
        <f>BM66-C66</f>
        <v>0.17853536119369551</v>
      </c>
      <c r="BO66" s="1">
        <f>GK66*3*D66</f>
        <v>27</v>
      </c>
      <c r="BP66" s="1">
        <f>DO66*3*D66</f>
        <v>97.2</v>
      </c>
      <c r="BQ66" s="1">
        <f>FJ66*3*D66</f>
        <v>86.4</v>
      </c>
      <c r="BR66" s="1">
        <f>GL66*3*D66</f>
        <v>32.4</v>
      </c>
      <c r="BT66">
        <v>34.76</v>
      </c>
      <c r="BU66">
        <v>8.1999999999999993</v>
      </c>
      <c r="BV66" t="s">
        <v>4991</v>
      </c>
      <c r="BW66" t="s">
        <v>5231</v>
      </c>
      <c r="BX66" t="s">
        <v>5232</v>
      </c>
      <c r="BY66" t="s">
        <v>5233</v>
      </c>
      <c r="BZ66" t="s">
        <v>5234</v>
      </c>
      <c r="CA66" t="s">
        <v>2723</v>
      </c>
      <c r="CC66" t="s">
        <v>2758</v>
      </c>
      <c r="CD66" t="s">
        <v>2873</v>
      </c>
      <c r="CE66" t="s">
        <v>2440</v>
      </c>
      <c r="CG66" t="s">
        <v>2761</v>
      </c>
      <c r="CH66" t="s">
        <v>2874</v>
      </c>
      <c r="CI66" t="s">
        <v>2443</v>
      </c>
      <c r="CK66" t="s">
        <v>2795</v>
      </c>
      <c r="CL66" t="s">
        <v>2875</v>
      </c>
      <c r="CM66" t="s">
        <v>2446</v>
      </c>
      <c r="CO66" t="s">
        <v>2796</v>
      </c>
      <c r="CP66" t="s">
        <v>2876</v>
      </c>
      <c r="CQ66" t="s">
        <v>2449</v>
      </c>
      <c r="CS66" t="s">
        <v>2679</v>
      </c>
      <c r="CT66" t="s">
        <v>2877</v>
      </c>
      <c r="CV66">
        <v>9</v>
      </c>
      <c r="CW66">
        <v>9</v>
      </c>
      <c r="CX66">
        <v>9</v>
      </c>
      <c r="CY66">
        <v>9</v>
      </c>
      <c r="CZ66">
        <v>9</v>
      </c>
      <c r="DA66">
        <v>0.1</v>
      </c>
      <c r="DB66">
        <v>0.1</v>
      </c>
      <c r="DC66">
        <v>0.2</v>
      </c>
      <c r="DD66">
        <v>0.3</v>
      </c>
      <c r="DE66">
        <v>0.3</v>
      </c>
      <c r="DF66">
        <v>0.9</v>
      </c>
      <c r="DG66">
        <v>0.9</v>
      </c>
      <c r="DH66">
        <v>1.8</v>
      </c>
      <c r="DI66">
        <v>2.7</v>
      </c>
      <c r="DJ66">
        <v>2.7</v>
      </c>
      <c r="DK66">
        <v>8.1999999999999993</v>
      </c>
      <c r="DL66">
        <v>0</v>
      </c>
      <c r="DM66">
        <v>8.1999999999999993</v>
      </c>
      <c r="DN66">
        <v>8.4</v>
      </c>
      <c r="DO66">
        <f>AVERAGE(CV66:CZ66)</f>
        <v>9</v>
      </c>
      <c r="DQ66">
        <v>8</v>
      </c>
      <c r="DR66" t="s">
        <v>65</v>
      </c>
      <c r="DS66" t="s">
        <v>66</v>
      </c>
      <c r="DT66" t="s">
        <v>67</v>
      </c>
      <c r="DU66" t="s">
        <v>68</v>
      </c>
      <c r="DV66" t="s">
        <v>69</v>
      </c>
      <c r="DW66" t="s">
        <v>3836</v>
      </c>
      <c r="DX66" t="s">
        <v>3858</v>
      </c>
      <c r="DY66" t="s">
        <v>3875</v>
      </c>
      <c r="DZ66" t="s">
        <v>3827</v>
      </c>
      <c r="EA66" t="s">
        <v>3860</v>
      </c>
      <c r="EB66" t="s">
        <v>3840</v>
      </c>
      <c r="EC66" t="s">
        <v>3876</v>
      </c>
      <c r="ED66" t="s">
        <v>3827</v>
      </c>
      <c r="EE66" t="s">
        <v>3877</v>
      </c>
      <c r="EF66" t="s">
        <v>4204</v>
      </c>
      <c r="EG66" t="s">
        <v>3878</v>
      </c>
      <c r="EH66" t="s">
        <v>3827</v>
      </c>
      <c r="EI66" t="s">
        <v>3879</v>
      </c>
      <c r="EJ66" t="s">
        <v>4230</v>
      </c>
      <c r="EK66" t="s">
        <v>3987</v>
      </c>
      <c r="EL66" t="s">
        <v>3827</v>
      </c>
      <c r="EM66" t="s">
        <v>3881</v>
      </c>
      <c r="EN66" t="s">
        <v>4231</v>
      </c>
      <c r="EO66" t="s">
        <v>4232</v>
      </c>
      <c r="EP66" t="s">
        <v>3827</v>
      </c>
      <c r="EQ66">
        <v>8</v>
      </c>
      <c r="ER66">
        <v>8</v>
      </c>
      <c r="ES66">
        <v>8</v>
      </c>
      <c r="ET66">
        <v>8</v>
      </c>
      <c r="EU66">
        <v>8</v>
      </c>
      <c r="EV66">
        <v>0.1</v>
      </c>
      <c r="EW66">
        <v>0.1</v>
      </c>
      <c r="EX66">
        <v>0.2</v>
      </c>
      <c r="EY66">
        <v>0.3</v>
      </c>
      <c r="EZ66">
        <v>0.3</v>
      </c>
      <c r="FA66">
        <f>EV66*EQ66</f>
        <v>0.8</v>
      </c>
      <c r="FB66">
        <f>EW66*ER66</f>
        <v>0.8</v>
      </c>
      <c r="FC66">
        <f>EX66*ES66</f>
        <v>1.6</v>
      </c>
      <c r="FD66">
        <f>EY66*ET66</f>
        <v>2.4</v>
      </c>
      <c r="FE66">
        <f>EZ66*EU66</f>
        <v>2.4</v>
      </c>
      <c r="FF66">
        <v>17</v>
      </c>
      <c r="FG66">
        <v>0</v>
      </c>
      <c r="FH66">
        <v>8</v>
      </c>
      <c r="FI66">
        <f>FA66+FB66+FC66+FD66+FE66</f>
        <v>8</v>
      </c>
      <c r="FJ66">
        <f>MEDIAN(EQ66:EU66)</f>
        <v>8</v>
      </c>
      <c r="FL66">
        <v>38.64</v>
      </c>
      <c r="FM66">
        <v>2.5</v>
      </c>
      <c r="FN66" t="s">
        <v>918</v>
      </c>
      <c r="FO66" t="s">
        <v>919</v>
      </c>
      <c r="FP66" t="s">
        <v>920</v>
      </c>
      <c r="FQ66" t="s">
        <v>921</v>
      </c>
      <c r="FR66" t="s">
        <v>704</v>
      </c>
      <c r="FS66">
        <v>6</v>
      </c>
      <c r="FT66">
        <v>4</v>
      </c>
      <c r="FU66">
        <v>3</v>
      </c>
      <c r="FV66">
        <v>2</v>
      </c>
      <c r="FW66">
        <v>1</v>
      </c>
      <c r="FX66">
        <v>0.1</v>
      </c>
      <c r="FY66">
        <v>0.1</v>
      </c>
      <c r="FZ66">
        <v>0.2</v>
      </c>
      <c r="GA66">
        <v>0.3</v>
      </c>
      <c r="GB66">
        <v>0.3</v>
      </c>
      <c r="GC66">
        <f>FS66*FX66</f>
        <v>0.60000000000000009</v>
      </c>
      <c r="GD66">
        <f>FT66*FY66</f>
        <v>0.4</v>
      </c>
      <c r="GE66">
        <f>FU66*FZ66</f>
        <v>0.60000000000000009</v>
      </c>
      <c r="GF66">
        <f>FV66*GA66</f>
        <v>0.6</v>
      </c>
      <c r="GG66">
        <f>FW66*GB66</f>
        <v>0.3</v>
      </c>
      <c r="GH66">
        <v>2.7</v>
      </c>
      <c r="GI66">
        <v>-0.2</v>
      </c>
      <c r="GJ66">
        <v>2.5</v>
      </c>
      <c r="GK66">
        <f>GC66+GD66+GE66+GF66+GG66</f>
        <v>2.5</v>
      </c>
      <c r="GL66">
        <f>MEDIAN(FS66:FW66)</f>
        <v>3</v>
      </c>
    </row>
    <row r="67" spans="1:194" hidden="1" x14ac:dyDescent="0.25">
      <c r="A67">
        <v>66</v>
      </c>
      <c r="B67" t="s">
        <v>2</v>
      </c>
      <c r="C67" s="4">
        <v>97.2</v>
      </c>
      <c r="D67">
        <v>3.6</v>
      </c>
      <c r="E67" s="1">
        <f>C67/3/D67</f>
        <v>9</v>
      </c>
      <c r="G67">
        <v>36.19</v>
      </c>
      <c r="H67">
        <v>8.1999999999999993</v>
      </c>
      <c r="I67">
        <f>H67*D67*3</f>
        <v>88.56</v>
      </c>
      <c r="J67">
        <v>15.97</v>
      </c>
      <c r="K67">
        <v>8.6999999999999993</v>
      </c>
      <c r="L67" s="3">
        <f>K67*3*D67</f>
        <v>93.96</v>
      </c>
      <c r="M67">
        <v>4.8899999999999997</v>
      </c>
      <c r="N67">
        <v>5</v>
      </c>
      <c r="O67">
        <f>N67*D67*3</f>
        <v>54</v>
      </c>
      <c r="P67" s="5">
        <v>7.9</v>
      </c>
      <c r="Q67" s="5">
        <f>P67*D67*3</f>
        <v>85.320000000000007</v>
      </c>
      <c r="S67" t="s">
        <v>6203</v>
      </c>
      <c r="T67">
        <v>8.5</v>
      </c>
      <c r="U67" s="8">
        <f>T67*D67*3</f>
        <v>91.800000000000011</v>
      </c>
      <c r="V67">
        <v>33.56</v>
      </c>
      <c r="W67">
        <v>8.4</v>
      </c>
      <c r="X67" s="5">
        <f>W67*D67*3</f>
        <v>90.72</v>
      </c>
      <c r="Y67">
        <v>11.58</v>
      </c>
      <c r="Z67">
        <v>7.8</v>
      </c>
      <c r="AA67">
        <f>Z67*D67*3</f>
        <v>84.24</v>
      </c>
      <c r="AC67">
        <v>46.56</v>
      </c>
      <c r="AD67">
        <v>8</v>
      </c>
      <c r="AE67" s="1">
        <f>AD67*3*D67</f>
        <v>86.4</v>
      </c>
      <c r="AF67">
        <v>11.98</v>
      </c>
      <c r="AG67" s="5">
        <v>7</v>
      </c>
      <c r="AH67" s="5">
        <f>AG67*D67*3</f>
        <v>75.599999999999994</v>
      </c>
      <c r="AI67" s="13"/>
      <c r="AK67" s="8">
        <f>AJ67*D67*3</f>
        <v>0</v>
      </c>
      <c r="AL67" s="13"/>
      <c r="AM67">
        <v>30.43</v>
      </c>
      <c r="AN67">
        <v>7.6</v>
      </c>
      <c r="AO67" s="8">
        <f>AN67*D67*3</f>
        <v>82.08</v>
      </c>
      <c r="AP67">
        <v>14.62</v>
      </c>
      <c r="AQ67">
        <v>9.5</v>
      </c>
      <c r="AR67">
        <f>AQ67*D67*3</f>
        <v>102.60000000000001</v>
      </c>
      <c r="AT67">
        <v>8.8000000000000007</v>
      </c>
      <c r="AU67">
        <f>AT67*D67*3</f>
        <v>95.04</v>
      </c>
      <c r="AW67">
        <v>26.51</v>
      </c>
      <c r="AX67">
        <v>9.3000000000000007</v>
      </c>
      <c r="AY67">
        <f>AX67*D67*3</f>
        <v>100.44000000000001</v>
      </c>
      <c r="AZ67">
        <v>26.51</v>
      </c>
      <c r="BA67">
        <v>9.1999999999999993</v>
      </c>
      <c r="BB67">
        <f>BA67*D67*3</f>
        <v>99.359999999999985</v>
      </c>
      <c r="BD67">
        <v>9</v>
      </c>
      <c r="BE67">
        <f>BD67*D67*3</f>
        <v>97.199999999999989</v>
      </c>
      <c r="BG67" s="10"/>
      <c r="BH67" s="1">
        <f>CHOOSE(MATCH(MIN(ABS(BP67-C67),ABS(BQ67-C67),ABS(BR67-C67)),CHOOSE({1;2;3},ABS(BP67-C67),ABS(BQ67-C67),ABS(BR67-C67)),0),BP67,BQ67,BR67)</f>
        <v>97.2</v>
      </c>
      <c r="BJ67" s="1" cm="1">
        <f t="array" ref="BJ67">(INDEX(_xlfn._xlws.SORT(CHOOSE({1;2;3;4;5;6},BQ67,BR67,L67,AE67,BO67,BP67)),3) + INDEX(_xlfn._xlws.SORT(CHOOSE({1;2;3;4;5;6},BQ67,BR67,L67,AE67,BO67,BP67)),4))/2</f>
        <v>86.4</v>
      </c>
      <c r="BK67">
        <v>8.9040129032860307</v>
      </c>
      <c r="BL67" t="s">
        <v>6117</v>
      </c>
      <c r="BM67" s="1">
        <f>BK67*3*D67</f>
        <v>96.163339355489128</v>
      </c>
      <c r="BN67" s="1">
        <f>BM67-C67</f>
        <v>-1.0366606445108744</v>
      </c>
      <c r="BO67" s="1">
        <f>GK67*3*D67</f>
        <v>81.540000000000006</v>
      </c>
      <c r="BP67" s="1">
        <f>DO67*3*D67</f>
        <v>97.2</v>
      </c>
      <c r="BQ67" s="1">
        <f>FJ67*3*D67</f>
        <v>86.4</v>
      </c>
      <c r="BR67" s="1">
        <f>GL67*3*D67</f>
        <v>81</v>
      </c>
      <c r="BT67">
        <v>36.19</v>
      </c>
      <c r="BU67">
        <v>8.1999999999999993</v>
      </c>
      <c r="BV67" t="s">
        <v>5235</v>
      </c>
      <c r="BW67" t="s">
        <v>5056</v>
      </c>
      <c r="BX67" t="s">
        <v>5057</v>
      </c>
      <c r="BY67" t="s">
        <v>5090</v>
      </c>
      <c r="BZ67" t="s">
        <v>5236</v>
      </c>
      <c r="CA67" t="s">
        <v>2723</v>
      </c>
      <c r="CC67" t="s">
        <v>2878</v>
      </c>
      <c r="CD67" t="s">
        <v>2508</v>
      </c>
      <c r="CE67" t="s">
        <v>2440</v>
      </c>
      <c r="CG67" t="s">
        <v>2509</v>
      </c>
      <c r="CH67" t="s">
        <v>2510</v>
      </c>
      <c r="CI67" t="s">
        <v>2443</v>
      </c>
      <c r="CK67" t="s">
        <v>2655</v>
      </c>
      <c r="CL67" t="s">
        <v>2512</v>
      </c>
      <c r="CM67" t="s">
        <v>2446</v>
      </c>
      <c r="CO67" t="s">
        <v>2879</v>
      </c>
      <c r="CP67" t="s">
        <v>2514</v>
      </c>
      <c r="CQ67" t="s">
        <v>2449</v>
      </c>
      <c r="CS67" t="s">
        <v>2841</v>
      </c>
      <c r="CT67" t="s">
        <v>2524</v>
      </c>
      <c r="CV67">
        <v>9</v>
      </c>
      <c r="CW67">
        <v>9</v>
      </c>
      <c r="CX67">
        <v>9</v>
      </c>
      <c r="CY67">
        <v>9</v>
      </c>
      <c r="CZ67">
        <v>9</v>
      </c>
      <c r="DA67">
        <v>0.1</v>
      </c>
      <c r="DB67">
        <v>0.1</v>
      </c>
      <c r="DC67">
        <v>0.2</v>
      </c>
      <c r="DD67">
        <v>0.3</v>
      </c>
      <c r="DE67">
        <v>0.3</v>
      </c>
      <c r="DF67">
        <v>0.9</v>
      </c>
      <c r="DG67">
        <v>0.9</v>
      </c>
      <c r="DH67">
        <v>1.8</v>
      </c>
      <c r="DI67">
        <v>2.7</v>
      </c>
      <c r="DJ67">
        <v>2.7</v>
      </c>
      <c r="DK67">
        <v>8.1999999999999993</v>
      </c>
      <c r="DL67">
        <v>0</v>
      </c>
      <c r="DM67">
        <v>8.1999999999999993</v>
      </c>
      <c r="DN67">
        <v>8.6999999999999993</v>
      </c>
      <c r="DO67">
        <f>AVERAGE(CV67:CZ67)</f>
        <v>9</v>
      </c>
      <c r="DQ67" t="s">
        <v>27</v>
      </c>
      <c r="DR67" t="s">
        <v>201</v>
      </c>
      <c r="DS67" t="s">
        <v>61</v>
      </c>
      <c r="DT67" t="s">
        <v>159</v>
      </c>
      <c r="DU67" t="s">
        <v>71</v>
      </c>
      <c r="DV67" t="s">
        <v>202</v>
      </c>
      <c r="DW67" t="s">
        <v>3836</v>
      </c>
      <c r="DX67" t="s">
        <v>3858</v>
      </c>
      <c r="DY67" t="s">
        <v>3859</v>
      </c>
      <c r="DZ67" t="s">
        <v>3826</v>
      </c>
      <c r="EA67" t="s">
        <v>3860</v>
      </c>
      <c r="EB67" t="s">
        <v>3840</v>
      </c>
      <c r="EC67" t="s">
        <v>3861</v>
      </c>
      <c r="ED67" t="s">
        <v>3862</v>
      </c>
      <c r="EE67" t="s">
        <v>3863</v>
      </c>
      <c r="EF67" t="s">
        <v>3864</v>
      </c>
      <c r="EG67" t="s">
        <v>3865</v>
      </c>
      <c r="EH67" t="s">
        <v>3866</v>
      </c>
      <c r="EI67" t="s">
        <v>3879</v>
      </c>
      <c r="EJ67" t="s">
        <v>3868</v>
      </c>
      <c r="EK67" t="s">
        <v>3869</v>
      </c>
      <c r="EL67" t="s">
        <v>3870</v>
      </c>
      <c r="EM67" t="s">
        <v>3871</v>
      </c>
      <c r="EN67" t="s">
        <v>3872</v>
      </c>
      <c r="EO67" t="s">
        <v>3873</v>
      </c>
      <c r="EP67" t="s">
        <v>3874</v>
      </c>
      <c r="EQ67">
        <v>8</v>
      </c>
      <c r="ER67">
        <v>8</v>
      </c>
      <c r="ES67">
        <v>8</v>
      </c>
      <c r="ET67">
        <v>8</v>
      </c>
      <c r="EU67">
        <v>8</v>
      </c>
      <c r="EV67">
        <v>0.1</v>
      </c>
      <c r="EW67">
        <v>0.1</v>
      </c>
      <c r="EX67">
        <v>0.2</v>
      </c>
      <c r="EY67">
        <v>0.3</v>
      </c>
      <c r="EZ67">
        <v>0.3</v>
      </c>
      <c r="FA67">
        <f>EV67*EQ67</f>
        <v>0.8</v>
      </c>
      <c r="FB67">
        <f>EW67*ER67</f>
        <v>0.8</v>
      </c>
      <c r="FC67">
        <f>EX67*ES67</f>
        <v>1.6</v>
      </c>
      <c r="FD67">
        <f>EY67*ET67</f>
        <v>2.4</v>
      </c>
      <c r="FE67">
        <f>EZ67*EU67</f>
        <v>2.4</v>
      </c>
      <c r="FF67">
        <v>16</v>
      </c>
      <c r="FG67">
        <v>0</v>
      </c>
      <c r="FH67">
        <v>9</v>
      </c>
      <c r="FI67">
        <f>FA67+FB67+FC67+FD67+FE67</f>
        <v>8</v>
      </c>
      <c r="FJ67">
        <f>MEDIAN(EQ67:EU67)</f>
        <v>8</v>
      </c>
      <c r="FL67">
        <v>41.11</v>
      </c>
      <c r="FM67">
        <v>7.4</v>
      </c>
      <c r="FN67" t="s">
        <v>922</v>
      </c>
      <c r="FO67" t="s">
        <v>923</v>
      </c>
      <c r="FP67" t="s">
        <v>924</v>
      </c>
      <c r="FQ67" t="s">
        <v>925</v>
      </c>
      <c r="FR67" t="s">
        <v>926</v>
      </c>
      <c r="FS67">
        <v>7</v>
      </c>
      <c r="FT67">
        <v>8.5</v>
      </c>
      <c r="FU67">
        <v>9</v>
      </c>
      <c r="FV67">
        <v>7.5</v>
      </c>
      <c r="FW67">
        <v>6.5</v>
      </c>
      <c r="FX67">
        <v>0.1</v>
      </c>
      <c r="FY67">
        <v>0.1</v>
      </c>
      <c r="FZ67">
        <v>0.2</v>
      </c>
      <c r="GA67">
        <v>0.3</v>
      </c>
      <c r="GB67">
        <v>0.3</v>
      </c>
      <c r="GC67">
        <f>FS67*FX67</f>
        <v>0.70000000000000007</v>
      </c>
      <c r="GD67">
        <f>FT67*FY67</f>
        <v>0.85000000000000009</v>
      </c>
      <c r="GE67">
        <f>FU67*FZ67</f>
        <v>1.8</v>
      </c>
      <c r="GF67">
        <f>FV67*GA67</f>
        <v>2.25</v>
      </c>
      <c r="GG67">
        <f>FW67*GB67</f>
        <v>1.95</v>
      </c>
      <c r="GH67">
        <v>7.4</v>
      </c>
      <c r="GI67">
        <v>0</v>
      </c>
      <c r="GJ67">
        <v>7.4</v>
      </c>
      <c r="GK67">
        <f>GC67+GD67+GE67+GF67+GG67</f>
        <v>7.5500000000000007</v>
      </c>
      <c r="GL67">
        <f>MEDIAN(FS67:FW67)</f>
        <v>7.5</v>
      </c>
    </row>
    <row r="68" spans="1:194" hidden="1" x14ac:dyDescent="0.25">
      <c r="A68">
        <v>67</v>
      </c>
      <c r="B68" t="s">
        <v>2</v>
      </c>
      <c r="C68" s="4">
        <v>91.8</v>
      </c>
      <c r="D68">
        <v>3.6</v>
      </c>
      <c r="E68" s="1">
        <f>C68/3/D68</f>
        <v>8.5</v>
      </c>
      <c r="G68">
        <v>33.67</v>
      </c>
      <c r="H68">
        <v>7.85</v>
      </c>
      <c r="I68">
        <f>H68*D68*3</f>
        <v>84.78</v>
      </c>
      <c r="J68">
        <v>16.45</v>
      </c>
      <c r="K68">
        <v>9</v>
      </c>
      <c r="L68" s="3">
        <f>K68*3*D68</f>
        <v>97.2</v>
      </c>
      <c r="M68">
        <v>5.04</v>
      </c>
      <c r="N68">
        <v>3</v>
      </c>
      <c r="O68">
        <f>N68*D68*3</f>
        <v>32.400000000000006</v>
      </c>
      <c r="P68" s="5">
        <v>7.9</v>
      </c>
      <c r="Q68" s="5">
        <f>P68*D68*3</f>
        <v>85.320000000000007</v>
      </c>
      <c r="S68" t="s">
        <v>6204</v>
      </c>
      <c r="T68">
        <v>8.1999999999999993</v>
      </c>
      <c r="U68" s="8">
        <f>T68*D68*3</f>
        <v>88.56</v>
      </c>
      <c r="V68">
        <v>34.46</v>
      </c>
      <c r="W68">
        <v>8.4</v>
      </c>
      <c r="X68" s="5">
        <f>W68*D68*3</f>
        <v>90.72</v>
      </c>
      <c r="Y68">
        <v>11.14</v>
      </c>
      <c r="Z68">
        <v>7.5</v>
      </c>
      <c r="AA68">
        <f>Z68*D68*3</f>
        <v>81</v>
      </c>
      <c r="AC68">
        <v>45.94</v>
      </c>
      <c r="AD68">
        <v>8</v>
      </c>
      <c r="AE68" s="1">
        <f>AD68*3*D68</f>
        <v>86.4</v>
      </c>
      <c r="AF68">
        <v>11.98</v>
      </c>
      <c r="AG68" s="5">
        <v>7</v>
      </c>
      <c r="AH68" s="5">
        <f>AG68*D68*3</f>
        <v>75.599999999999994</v>
      </c>
      <c r="AI68" s="13"/>
      <c r="AK68" s="8">
        <f>AJ68*D68*3</f>
        <v>0</v>
      </c>
      <c r="AL68" s="13"/>
      <c r="AM68">
        <v>30.43</v>
      </c>
      <c r="AN68">
        <v>7.4</v>
      </c>
      <c r="AO68" s="8">
        <f>AN68*D68*3</f>
        <v>79.92</v>
      </c>
      <c r="AP68">
        <v>15.08</v>
      </c>
      <c r="AQ68">
        <v>9.5</v>
      </c>
      <c r="AR68">
        <f>AQ68*D68*3</f>
        <v>102.60000000000001</v>
      </c>
      <c r="AT68">
        <v>8.8000000000000007</v>
      </c>
      <c r="AU68">
        <f>AT68*D68*3</f>
        <v>95.04</v>
      </c>
      <c r="AW68">
        <v>24.29</v>
      </c>
      <c r="AX68">
        <v>8.3000000000000007</v>
      </c>
      <c r="AY68">
        <f>AX68*D68*3</f>
        <v>89.640000000000015</v>
      </c>
      <c r="AZ68">
        <v>24.29</v>
      </c>
      <c r="BA68">
        <v>9</v>
      </c>
      <c r="BB68">
        <f>BA68*D68*3</f>
        <v>97.199999999999989</v>
      </c>
      <c r="BD68">
        <v>7.4</v>
      </c>
      <c r="BE68">
        <f>BD68*D68*3</f>
        <v>79.92</v>
      </c>
      <c r="BG68" s="10"/>
      <c r="BH68" s="1">
        <f>CHOOSE(MATCH(MIN(ABS(BP68-C68),ABS(BQ68-C68),ABS(BR68-C68)),CHOOSE({1;2;3},ABS(BP68-C68),ABS(BQ68-C68),ABS(BR68-C68)),0),BP68,BQ68,BR68)</f>
        <v>96.120000000000019</v>
      </c>
      <c r="BJ68" s="1" cm="1">
        <f t="array" ref="BJ68">(INDEX(_xlfn._xlws.SORT(CHOOSE({1;2;3;4;5;6},BQ68,BR68,L68,AE68,BO68,BP68)),3) + INDEX(_xlfn._xlws.SORT(CHOOSE({1;2;3;4;5;6},BQ68,BR68,L68,AE68,BO68,BP68)),4))/2</f>
        <v>86.4</v>
      </c>
      <c r="BK68">
        <v>8.4136566951452991</v>
      </c>
      <c r="BL68" t="s">
        <v>6117</v>
      </c>
      <c r="BM68" s="1">
        <f>BK68*3*D68</f>
        <v>90.867492307569236</v>
      </c>
      <c r="BN68" s="1">
        <f>BM68-C68</f>
        <v>-0.93250769243076093</v>
      </c>
      <c r="BO68" s="1">
        <f>GK68*3*D68</f>
        <v>56.16</v>
      </c>
      <c r="BP68" s="1">
        <f>DO68*3*D68</f>
        <v>96.120000000000019</v>
      </c>
      <c r="BQ68" s="1">
        <f>FJ68*3*D68</f>
        <v>86.4</v>
      </c>
      <c r="BR68" s="1">
        <f>GL68*3*D68</f>
        <v>43.2</v>
      </c>
      <c r="BT68">
        <v>33.67</v>
      </c>
      <c r="BU68">
        <v>7.85</v>
      </c>
      <c r="BV68" t="s">
        <v>5237</v>
      </c>
      <c r="BW68" t="s">
        <v>5043</v>
      </c>
      <c r="BX68" t="s">
        <v>5238</v>
      </c>
      <c r="BY68" t="s">
        <v>5239</v>
      </c>
      <c r="BZ68" t="s">
        <v>5240</v>
      </c>
      <c r="CA68" t="s">
        <v>2633</v>
      </c>
      <c r="CC68" t="s">
        <v>2634</v>
      </c>
      <c r="CD68" t="s">
        <v>2635</v>
      </c>
      <c r="CE68" t="s">
        <v>2553</v>
      </c>
      <c r="CG68" t="s">
        <v>2634</v>
      </c>
      <c r="CH68" t="s">
        <v>2773</v>
      </c>
      <c r="CI68" t="s">
        <v>2867</v>
      </c>
      <c r="CK68" t="s">
        <v>2634</v>
      </c>
      <c r="CL68" t="s">
        <v>2669</v>
      </c>
      <c r="CM68" t="s">
        <v>2868</v>
      </c>
      <c r="CO68" t="s">
        <v>2634</v>
      </c>
      <c r="CP68" t="s">
        <v>2869</v>
      </c>
      <c r="CQ68" t="s">
        <v>2560</v>
      </c>
      <c r="CR68" t="s">
        <v>2870</v>
      </c>
      <c r="CS68" t="s">
        <v>2871</v>
      </c>
      <c r="CT68" t="s">
        <v>2880</v>
      </c>
      <c r="CV68">
        <v>9</v>
      </c>
      <c r="CW68">
        <v>9</v>
      </c>
      <c r="CX68">
        <v>9</v>
      </c>
      <c r="CY68">
        <v>9</v>
      </c>
      <c r="CZ68">
        <v>8.5</v>
      </c>
      <c r="DA68">
        <v>0.1</v>
      </c>
      <c r="DB68">
        <v>0.1</v>
      </c>
      <c r="DC68">
        <v>0.2</v>
      </c>
      <c r="DD68">
        <v>0.3</v>
      </c>
      <c r="DE68">
        <v>0.3</v>
      </c>
      <c r="DF68">
        <v>0.9</v>
      </c>
      <c r="DG68">
        <v>0.9</v>
      </c>
      <c r="DH68">
        <v>1.8</v>
      </c>
      <c r="DI68">
        <v>2.7</v>
      </c>
      <c r="DJ68">
        <v>2.5499999999999998</v>
      </c>
      <c r="DK68">
        <v>7.85</v>
      </c>
      <c r="DL68">
        <v>0</v>
      </c>
      <c r="DM68">
        <v>7.85</v>
      </c>
      <c r="DN68">
        <v>9</v>
      </c>
      <c r="DO68">
        <f>AVERAGE(CV68:CZ68)</f>
        <v>8.9</v>
      </c>
      <c r="DQ68" t="s">
        <v>27</v>
      </c>
      <c r="DR68" t="s">
        <v>203</v>
      </c>
      <c r="DS68" t="s">
        <v>204</v>
      </c>
      <c r="DT68" t="s">
        <v>120</v>
      </c>
      <c r="DU68" t="s">
        <v>205</v>
      </c>
      <c r="DV68" t="s">
        <v>206</v>
      </c>
      <c r="DW68" t="s">
        <v>3836</v>
      </c>
      <c r="DX68" t="s">
        <v>3858</v>
      </c>
      <c r="DY68" t="s">
        <v>4233</v>
      </c>
      <c r="DZ68" t="s">
        <v>4234</v>
      </c>
      <c r="EA68" t="s">
        <v>3860</v>
      </c>
      <c r="EB68" t="s">
        <v>3840</v>
      </c>
      <c r="EC68" t="s">
        <v>4235</v>
      </c>
      <c r="ED68" t="s">
        <v>4235</v>
      </c>
      <c r="EE68" t="s">
        <v>3886</v>
      </c>
      <c r="EF68" t="s">
        <v>3900</v>
      </c>
      <c r="EG68" t="s">
        <v>4236</v>
      </c>
      <c r="EH68" t="s">
        <v>4236</v>
      </c>
      <c r="EI68" t="s">
        <v>3879</v>
      </c>
      <c r="EJ68" t="s">
        <v>3890</v>
      </c>
      <c r="EK68" t="s">
        <v>4237</v>
      </c>
      <c r="EL68" t="s">
        <v>4237</v>
      </c>
      <c r="EM68" t="s">
        <v>4238</v>
      </c>
      <c r="EN68" t="s">
        <v>3908</v>
      </c>
      <c r="EO68" t="s">
        <v>4239</v>
      </c>
      <c r="EP68" t="s">
        <v>4239</v>
      </c>
      <c r="EQ68">
        <v>8</v>
      </c>
      <c r="ER68">
        <v>8</v>
      </c>
      <c r="ES68">
        <v>8</v>
      </c>
      <c r="ET68">
        <v>8</v>
      </c>
      <c r="EU68">
        <v>8</v>
      </c>
      <c r="EV68">
        <v>0.1</v>
      </c>
      <c r="EW68">
        <v>0.1</v>
      </c>
      <c r="EX68">
        <v>0.2</v>
      </c>
      <c r="EY68">
        <v>0.3</v>
      </c>
      <c r="EZ68">
        <v>0.3</v>
      </c>
      <c r="FA68">
        <f>EV68*EQ68</f>
        <v>0.8</v>
      </c>
      <c r="FB68">
        <f>EW68*ER68</f>
        <v>0.8</v>
      </c>
      <c r="FC68">
        <f>EX68*ES68</f>
        <v>1.6</v>
      </c>
      <c r="FD68">
        <f>EY68*ET68</f>
        <v>2.4</v>
      </c>
      <c r="FE68">
        <f>EZ68*EU68</f>
        <v>2.4</v>
      </c>
      <c r="FF68">
        <v>18</v>
      </c>
      <c r="FG68">
        <v>0</v>
      </c>
      <c r="FH68">
        <v>8</v>
      </c>
      <c r="FI68">
        <f>FA68+FB68+FC68+FD68+FE68</f>
        <v>8</v>
      </c>
      <c r="FJ68">
        <f>MEDIAN(EQ68:EU68)</f>
        <v>8</v>
      </c>
      <c r="FL68">
        <v>38.049999999999997</v>
      </c>
      <c r="FM68">
        <v>9</v>
      </c>
      <c r="FN68" t="s">
        <v>927</v>
      </c>
      <c r="FO68" t="s">
        <v>928</v>
      </c>
      <c r="FP68" t="s">
        <v>929</v>
      </c>
      <c r="FQ68" t="s">
        <v>930</v>
      </c>
      <c r="FR68" t="s">
        <v>931</v>
      </c>
      <c r="FS68">
        <v>2</v>
      </c>
      <c r="FT68">
        <v>3</v>
      </c>
      <c r="FU68">
        <v>4</v>
      </c>
      <c r="FV68">
        <v>6</v>
      </c>
      <c r="FW68">
        <v>7</v>
      </c>
      <c r="FX68">
        <v>0.1</v>
      </c>
      <c r="FY68">
        <v>0.1</v>
      </c>
      <c r="FZ68">
        <v>0.2</v>
      </c>
      <c r="GA68">
        <v>0.3</v>
      </c>
      <c r="GB68">
        <v>0.3</v>
      </c>
      <c r="GC68">
        <f>FS68*FX68</f>
        <v>0.2</v>
      </c>
      <c r="GD68">
        <f>FT68*FY68</f>
        <v>0.30000000000000004</v>
      </c>
      <c r="GE68">
        <f>FU68*FZ68</f>
        <v>0.8</v>
      </c>
      <c r="GF68">
        <f>FV68*GA68</f>
        <v>1.7999999999999998</v>
      </c>
      <c r="GG68">
        <f>FW68*GB68</f>
        <v>2.1</v>
      </c>
      <c r="GH68">
        <v>9</v>
      </c>
      <c r="GI68">
        <v>0</v>
      </c>
      <c r="GJ68">
        <v>9</v>
      </c>
      <c r="GK68">
        <f>GC68+GD68+GE68+GF68+GG68</f>
        <v>5.1999999999999993</v>
      </c>
      <c r="GL68">
        <f>MEDIAN(FS68:FW68)</f>
        <v>4</v>
      </c>
    </row>
    <row r="69" spans="1:194" hidden="1" x14ac:dyDescent="0.25">
      <c r="A69">
        <v>68</v>
      </c>
      <c r="B69" t="s">
        <v>2</v>
      </c>
      <c r="C69" s="4">
        <v>92.5</v>
      </c>
      <c r="D69">
        <v>3.7</v>
      </c>
      <c r="E69" s="1">
        <f>C69/3/D69</f>
        <v>8.3333333333333321</v>
      </c>
      <c r="G69">
        <v>74.989999999999995</v>
      </c>
      <c r="H69">
        <v>6.1</v>
      </c>
      <c r="I69">
        <f>H69*D69*3</f>
        <v>67.710000000000008</v>
      </c>
      <c r="J69">
        <v>18.45</v>
      </c>
      <c r="K69">
        <v>8.6999999999999993</v>
      </c>
      <c r="L69" s="3">
        <f>K69*3*D69</f>
        <v>96.57</v>
      </c>
      <c r="M69">
        <v>4.93</v>
      </c>
      <c r="N69">
        <v>5.5</v>
      </c>
      <c r="O69">
        <f>N69*D69*3</f>
        <v>61.050000000000004</v>
      </c>
      <c r="P69" s="5">
        <v>9</v>
      </c>
      <c r="Q69" s="5">
        <f>P69*D69*3</f>
        <v>99.9</v>
      </c>
      <c r="S69" t="s">
        <v>6205</v>
      </c>
      <c r="T69">
        <v>7</v>
      </c>
      <c r="U69" s="8">
        <f>T69*D69*3</f>
        <v>77.7</v>
      </c>
      <c r="V69">
        <v>33.79</v>
      </c>
      <c r="W69">
        <v>8.6</v>
      </c>
      <c r="X69" s="5">
        <f>W69*D69*3</f>
        <v>95.460000000000008</v>
      </c>
      <c r="Y69">
        <v>9.57</v>
      </c>
      <c r="Z69">
        <v>6</v>
      </c>
      <c r="AA69">
        <f>Z69*D69*3</f>
        <v>66.600000000000009</v>
      </c>
      <c r="AC69">
        <v>47.47</v>
      </c>
      <c r="AD69">
        <v>7.9</v>
      </c>
      <c r="AE69" s="1">
        <f>AD69*3*D69</f>
        <v>87.690000000000012</v>
      </c>
      <c r="AF69">
        <v>11.93</v>
      </c>
      <c r="AG69" s="5">
        <v>7</v>
      </c>
      <c r="AH69" s="5">
        <f>AG69*D69*3</f>
        <v>77.7</v>
      </c>
      <c r="AI69" s="13"/>
      <c r="AJ69">
        <v>2.8</v>
      </c>
      <c r="AK69" s="8">
        <f>AJ69*D69*3</f>
        <v>31.08</v>
      </c>
      <c r="AL69" s="13"/>
      <c r="AM69">
        <v>30.7</v>
      </c>
      <c r="AN69">
        <v>7.6</v>
      </c>
      <c r="AO69" s="8">
        <f>AN69*D69*3</f>
        <v>84.36</v>
      </c>
      <c r="AP69">
        <v>14.56</v>
      </c>
      <c r="AQ69">
        <v>9.5</v>
      </c>
      <c r="AR69">
        <f>AQ69*D69*3</f>
        <v>105.44999999999999</v>
      </c>
      <c r="AT69">
        <v>7.1</v>
      </c>
      <c r="AU69">
        <f>AT69*D69*3</f>
        <v>78.81</v>
      </c>
      <c r="AW69">
        <v>23.27</v>
      </c>
      <c r="AX69">
        <v>9</v>
      </c>
      <c r="AY69">
        <f>AX69*D69*3</f>
        <v>99.9</v>
      </c>
      <c r="AZ69">
        <v>23.27</v>
      </c>
      <c r="BA69">
        <v>9.4</v>
      </c>
      <c r="BB69">
        <f>BA69*D69*3</f>
        <v>104.34</v>
      </c>
      <c r="BD69">
        <v>9</v>
      </c>
      <c r="BE69">
        <f>BD69*D69*3</f>
        <v>99.9</v>
      </c>
      <c r="BG69" s="10"/>
      <c r="BH69" s="1">
        <f>CHOOSE(MATCH(MIN(ABS(BP69-C69),ABS(BQ69-C69),ABS(BR69-C69)),CHOOSE({1;2;3},ABS(BP69-C69),ABS(BQ69-C69),ABS(BR69-C69)),0),BP69,BQ69,BR69)</f>
        <v>94.350000000000009</v>
      </c>
      <c r="BJ69" s="1" cm="1">
        <f t="array" ref="BJ69">(INDEX(_xlfn._xlws.SORT(CHOOSE({1;2;3;4;5;6},BQ69,BR69,L69,AE69,BO69,BP69)),3) + INDEX(_xlfn._xlws.SORT(CHOOSE({1;2;3;4;5;6},BQ69,BR69,L69,AE69,BO69,BP69)),4))/2</f>
        <v>90.465000000000003</v>
      </c>
      <c r="BK69">
        <v>8.3040633835114903</v>
      </c>
      <c r="BL69" t="s">
        <v>6117</v>
      </c>
      <c r="BM69" s="1">
        <f>BK69*3*D69</f>
        <v>92.175103556977547</v>
      </c>
      <c r="BN69" s="1">
        <f>BM69-C69</f>
        <v>-0.32489644302245324</v>
      </c>
      <c r="BO69" s="1">
        <f>GK69*3*D69</f>
        <v>92.13000000000001</v>
      </c>
      <c r="BP69" s="1">
        <f>DO69*3*D69</f>
        <v>84.36</v>
      </c>
      <c r="BQ69" s="1">
        <f>FJ69*3*D69</f>
        <v>88.800000000000011</v>
      </c>
      <c r="BR69" s="1">
        <f>GL69*3*D69</f>
        <v>94.350000000000009</v>
      </c>
      <c r="BT69">
        <v>74.989999999999995</v>
      </c>
      <c r="BU69">
        <v>6.1</v>
      </c>
      <c r="BV69" t="s">
        <v>4986</v>
      </c>
      <c r="BW69" t="s">
        <v>4987</v>
      </c>
      <c r="BX69" t="s">
        <v>5241</v>
      </c>
      <c r="BY69" t="s">
        <v>5242</v>
      </c>
      <c r="BZ69" t="s">
        <v>5243</v>
      </c>
      <c r="CA69" t="s">
        <v>2452</v>
      </c>
      <c r="CC69" t="s">
        <v>2438</v>
      </c>
      <c r="CD69" t="s">
        <v>2744</v>
      </c>
      <c r="CE69" t="s">
        <v>2698</v>
      </c>
      <c r="CG69" t="s">
        <v>2881</v>
      </c>
      <c r="CH69" t="s">
        <v>2527</v>
      </c>
      <c r="CI69" t="s">
        <v>2882</v>
      </c>
      <c r="CK69" t="s">
        <v>2883</v>
      </c>
      <c r="CL69" t="s">
        <v>2884</v>
      </c>
      <c r="CM69" t="s">
        <v>2885</v>
      </c>
      <c r="CN69" t="s">
        <v>2886</v>
      </c>
      <c r="CO69" t="s">
        <v>2887</v>
      </c>
      <c r="CP69" t="s">
        <v>2888</v>
      </c>
      <c r="CQ69" t="s">
        <v>2889</v>
      </c>
      <c r="CR69" t="s">
        <v>2890</v>
      </c>
      <c r="CS69" t="s">
        <v>2891</v>
      </c>
      <c r="CT69" t="s">
        <v>2892</v>
      </c>
      <c r="CV69">
        <v>9</v>
      </c>
      <c r="CW69">
        <v>9</v>
      </c>
      <c r="CX69">
        <v>9</v>
      </c>
      <c r="CY69">
        <v>7</v>
      </c>
      <c r="CZ69">
        <v>4</v>
      </c>
      <c r="DA69">
        <v>0.1</v>
      </c>
      <c r="DB69">
        <v>0.1</v>
      </c>
      <c r="DC69">
        <v>0.2</v>
      </c>
      <c r="DD69">
        <v>0.3</v>
      </c>
      <c r="DE69">
        <v>0.3</v>
      </c>
      <c r="DF69">
        <v>0.9</v>
      </c>
      <c r="DG69">
        <v>0.9</v>
      </c>
      <c r="DH69">
        <v>1.8</v>
      </c>
      <c r="DI69">
        <v>2.1</v>
      </c>
      <c r="DJ69">
        <v>1.2</v>
      </c>
      <c r="DK69">
        <v>6.1</v>
      </c>
      <c r="DL69">
        <v>0</v>
      </c>
      <c r="DM69">
        <v>6.1</v>
      </c>
      <c r="DN69">
        <v>8.6999999999999993</v>
      </c>
      <c r="DO69">
        <f>AVERAGE(CV69:CZ69)</f>
        <v>7.6</v>
      </c>
      <c r="DQ69">
        <v>15</v>
      </c>
      <c r="DR69" t="s">
        <v>28</v>
      </c>
      <c r="DS69" t="s">
        <v>43</v>
      </c>
      <c r="DT69" t="s">
        <v>207</v>
      </c>
      <c r="DU69" t="s">
        <v>157</v>
      </c>
      <c r="DV69" t="s">
        <v>208</v>
      </c>
      <c r="DW69" t="s">
        <v>3805</v>
      </c>
      <c r="DX69" t="s">
        <v>3770</v>
      </c>
      <c r="DY69" t="s">
        <v>3771</v>
      </c>
      <c r="DZ69" t="s">
        <v>3772</v>
      </c>
      <c r="EA69" t="s">
        <v>3806</v>
      </c>
      <c r="EB69" t="s">
        <v>3807</v>
      </c>
      <c r="EC69" t="s">
        <v>3775</v>
      </c>
      <c r="ED69" t="s">
        <v>3776</v>
      </c>
      <c r="EE69" t="s">
        <v>4240</v>
      </c>
      <c r="EF69" t="s">
        <v>3809</v>
      </c>
      <c r="EG69" t="s">
        <v>3810</v>
      </c>
      <c r="EH69" t="s">
        <v>3811</v>
      </c>
      <c r="EI69" t="s">
        <v>3820</v>
      </c>
      <c r="EJ69" t="s">
        <v>3813</v>
      </c>
      <c r="EK69" t="s">
        <v>4241</v>
      </c>
      <c r="EL69" t="s">
        <v>3815</v>
      </c>
      <c r="EM69" t="s">
        <v>4242</v>
      </c>
      <c r="EN69" t="s">
        <v>3786</v>
      </c>
      <c r="EO69" t="s">
        <v>4243</v>
      </c>
      <c r="EP69" t="s">
        <v>3818</v>
      </c>
      <c r="EQ69">
        <v>7</v>
      </c>
      <c r="ER69">
        <v>8</v>
      </c>
      <c r="ES69">
        <v>8</v>
      </c>
      <c r="ET69">
        <v>8</v>
      </c>
      <c r="EU69">
        <v>8</v>
      </c>
      <c r="EV69">
        <v>0.1</v>
      </c>
      <c r="EW69">
        <v>0.1</v>
      </c>
      <c r="EX69">
        <v>0.2</v>
      </c>
      <c r="EY69">
        <v>0.3</v>
      </c>
      <c r="EZ69">
        <v>0.3</v>
      </c>
      <c r="FA69">
        <f>EV69*EQ69</f>
        <v>0.70000000000000007</v>
      </c>
      <c r="FB69">
        <f>EW69*ER69</f>
        <v>0.8</v>
      </c>
      <c r="FC69">
        <f>EX69*ES69</f>
        <v>1.6</v>
      </c>
      <c r="FD69">
        <f>EY69*ET69</f>
        <v>2.4</v>
      </c>
      <c r="FE69">
        <f>EZ69*EU69</f>
        <v>2.4</v>
      </c>
      <c r="FF69">
        <v>15</v>
      </c>
      <c r="FG69">
        <v>0</v>
      </c>
      <c r="FH69">
        <v>15</v>
      </c>
      <c r="FI69">
        <f>FA69+FB69+FC69+FD69+FE69</f>
        <v>7.9</v>
      </c>
      <c r="FJ69">
        <f>MEDIAN(EQ69:EU69)</f>
        <v>8</v>
      </c>
      <c r="FL69">
        <v>70.87</v>
      </c>
      <c r="FM69">
        <v>6.6</v>
      </c>
      <c r="FN69" t="s">
        <v>932</v>
      </c>
      <c r="FO69" t="s">
        <v>933</v>
      </c>
      <c r="FP69" t="s">
        <v>934</v>
      </c>
      <c r="FQ69" t="s">
        <v>935</v>
      </c>
      <c r="FR69" t="s">
        <v>936</v>
      </c>
      <c r="FS69">
        <v>10</v>
      </c>
      <c r="FT69">
        <v>9.5</v>
      </c>
      <c r="FU69">
        <v>8.5</v>
      </c>
      <c r="FV69">
        <v>7.5</v>
      </c>
      <c r="FW69">
        <v>8</v>
      </c>
      <c r="FX69">
        <v>0.1</v>
      </c>
      <c r="FY69">
        <v>0.1</v>
      </c>
      <c r="FZ69">
        <v>0.2</v>
      </c>
      <c r="GA69">
        <v>0.3</v>
      </c>
      <c r="GB69">
        <v>0.3</v>
      </c>
      <c r="GC69">
        <f>FS69*FX69</f>
        <v>1</v>
      </c>
      <c r="GD69">
        <f>FT69*FY69</f>
        <v>0.95000000000000007</v>
      </c>
      <c r="GE69">
        <f>FU69*FZ69</f>
        <v>1.7000000000000002</v>
      </c>
      <c r="GF69">
        <f>FV69*GA69</f>
        <v>2.25</v>
      </c>
      <c r="GG69">
        <f>FW69*GB69</f>
        <v>2.4</v>
      </c>
      <c r="GH69">
        <v>6.65</v>
      </c>
      <c r="GI69">
        <v>0</v>
      </c>
      <c r="GJ69">
        <v>6.6</v>
      </c>
      <c r="GK69">
        <f>GC69+GD69+GE69+GF69+GG69</f>
        <v>8.3000000000000007</v>
      </c>
      <c r="GL69">
        <f>MEDIAN(FS69:FW69)</f>
        <v>8.5</v>
      </c>
    </row>
    <row r="70" spans="1:194" hidden="1" x14ac:dyDescent="0.25">
      <c r="A70">
        <v>69</v>
      </c>
      <c r="B70" t="s">
        <v>2</v>
      </c>
      <c r="C70" s="4">
        <v>90.75</v>
      </c>
      <c r="D70">
        <v>3.3</v>
      </c>
      <c r="E70" s="1">
        <f>C70/3/D70</f>
        <v>9.1666666666666679</v>
      </c>
      <c r="G70">
        <v>37.56</v>
      </c>
      <c r="H70">
        <v>8.1</v>
      </c>
      <c r="I70">
        <f>H70*D70*3</f>
        <v>80.19</v>
      </c>
      <c r="J70">
        <v>16.16</v>
      </c>
      <c r="K70">
        <v>9</v>
      </c>
      <c r="L70" s="3">
        <f>K70*3*D70</f>
        <v>89.1</v>
      </c>
      <c r="M70">
        <v>4.9800000000000004</v>
      </c>
      <c r="N70">
        <v>3</v>
      </c>
      <c r="O70">
        <f>N70*D70*3</f>
        <v>29.699999999999996</v>
      </c>
      <c r="P70" s="5">
        <v>9</v>
      </c>
      <c r="Q70" s="5">
        <f>P70*D70*3</f>
        <v>89.1</v>
      </c>
      <c r="S70" t="s">
        <v>6206</v>
      </c>
      <c r="T70">
        <v>8.1999999999999993</v>
      </c>
      <c r="U70" s="8">
        <f>T70*D70*3</f>
        <v>81.179999999999978</v>
      </c>
      <c r="V70">
        <v>33.6</v>
      </c>
      <c r="W70">
        <v>8</v>
      </c>
      <c r="X70" s="5">
        <f>W70*D70*3</f>
        <v>79.199999999999989</v>
      </c>
      <c r="Y70">
        <v>9.17</v>
      </c>
      <c r="Z70">
        <v>6</v>
      </c>
      <c r="AA70">
        <f>Z70*D70*3</f>
        <v>59.399999999999991</v>
      </c>
      <c r="AC70">
        <v>45.57</v>
      </c>
      <c r="AD70">
        <v>7.4</v>
      </c>
      <c r="AE70" s="1">
        <f>AD70*3*D70</f>
        <v>73.260000000000005</v>
      </c>
      <c r="AF70">
        <v>12.03</v>
      </c>
      <c r="AG70" s="5">
        <v>7</v>
      </c>
      <c r="AH70" s="5">
        <f>AG70*D70*3</f>
        <v>69.3</v>
      </c>
      <c r="AI70" s="13"/>
      <c r="AK70" s="8">
        <f>AJ70*D70*3</f>
        <v>0</v>
      </c>
      <c r="AL70" s="13"/>
      <c r="AM70">
        <v>30.41</v>
      </c>
      <c r="AN70">
        <v>7.2</v>
      </c>
      <c r="AO70" s="8">
        <f>AN70*D70*3</f>
        <v>71.28</v>
      </c>
      <c r="AP70">
        <v>11.08</v>
      </c>
      <c r="AQ70">
        <v>10</v>
      </c>
      <c r="AR70">
        <f>AQ70*D70*3</f>
        <v>99</v>
      </c>
      <c r="AT70">
        <v>8.1999999999999993</v>
      </c>
      <c r="AU70">
        <f>AT70*D70*3</f>
        <v>81.179999999999978</v>
      </c>
      <c r="AW70">
        <v>22.82</v>
      </c>
      <c r="AX70">
        <v>9.3000000000000007</v>
      </c>
      <c r="AY70">
        <f>AX70*D70*3</f>
        <v>92.070000000000007</v>
      </c>
      <c r="AZ70">
        <v>22.82</v>
      </c>
      <c r="BA70">
        <v>9.1</v>
      </c>
      <c r="BB70">
        <f>BA70*D70*3</f>
        <v>90.089999999999989</v>
      </c>
      <c r="BD70">
        <v>8.9</v>
      </c>
      <c r="BE70">
        <f>BD70*D70*3</f>
        <v>88.11</v>
      </c>
      <c r="BG70" s="10"/>
      <c r="BH70" s="1">
        <f>CHOOSE(MATCH(MIN(ABS(BP70-C70),ABS(BQ70-C70),ABS(BR70-C70)),CHOOSE({1;2;3},ABS(BP70-C70),ABS(BQ70-C70),ABS(BR70-C70)),0),BP70,BQ70,BR70)</f>
        <v>89.1</v>
      </c>
      <c r="BJ70" s="1" cm="1">
        <f t="array" ref="BJ70">(INDEX(_xlfn._xlws.SORT(CHOOSE({1;2;3;4;5;6},BQ70,BR70,L70,AE70,BO70,BP70)),3) + INDEX(_xlfn._xlws.SORT(CHOOSE({1;2;3;4;5;6},BQ70,BR70,L70,AE70,BO70,BP70)),4))/2</f>
        <v>71.28</v>
      </c>
      <c r="BK70">
        <v>9.0983731178337592</v>
      </c>
      <c r="BL70" t="s">
        <v>6117</v>
      </c>
      <c r="BM70" s="1">
        <f>BK70*3*D70</f>
        <v>90.073893866554215</v>
      </c>
      <c r="BN70" s="1">
        <f>BM70-C70</f>
        <v>-0.67610613344578496</v>
      </c>
      <c r="BO70" s="1">
        <f>GK70*3*D70</f>
        <v>23.759999999999998</v>
      </c>
      <c r="BP70" s="1">
        <f>DO70*3*D70</f>
        <v>89.1</v>
      </c>
      <c r="BQ70" s="1">
        <f>FJ70*3*D70</f>
        <v>69.3</v>
      </c>
      <c r="BR70" s="1">
        <f>GL70*3*D70</f>
        <v>29.7</v>
      </c>
      <c r="BT70">
        <v>37.56</v>
      </c>
      <c r="BU70">
        <v>8.1</v>
      </c>
      <c r="BV70" t="s">
        <v>5195</v>
      </c>
      <c r="BW70" t="s">
        <v>5244</v>
      </c>
      <c r="BX70" t="s">
        <v>5245</v>
      </c>
      <c r="BY70" t="s">
        <v>5246</v>
      </c>
      <c r="CA70" t="s">
        <v>2723</v>
      </c>
      <c r="CC70" t="s">
        <v>2893</v>
      </c>
      <c r="CD70" t="s">
        <v>2894</v>
      </c>
      <c r="CE70" t="s">
        <v>2440</v>
      </c>
      <c r="CG70" t="s">
        <v>2895</v>
      </c>
      <c r="CH70" t="s">
        <v>2896</v>
      </c>
      <c r="CI70" t="s">
        <v>2897</v>
      </c>
      <c r="CK70" t="s">
        <v>2898</v>
      </c>
      <c r="CL70" t="s">
        <v>2899</v>
      </c>
      <c r="CM70" t="s">
        <v>2900</v>
      </c>
      <c r="CO70" t="s">
        <v>2901</v>
      </c>
      <c r="CP70" t="s">
        <v>2902</v>
      </c>
      <c r="CQ70" t="s">
        <v>2449</v>
      </c>
      <c r="CS70" t="s">
        <v>2903</v>
      </c>
      <c r="CT70" t="s">
        <v>2904</v>
      </c>
      <c r="CV70">
        <v>9</v>
      </c>
      <c r="CW70">
        <v>9</v>
      </c>
      <c r="CX70">
        <v>9</v>
      </c>
      <c r="CY70">
        <v>9</v>
      </c>
      <c r="CZ70">
        <v>9</v>
      </c>
      <c r="DA70">
        <v>0.1</v>
      </c>
      <c r="DB70">
        <v>0.1</v>
      </c>
      <c r="DC70">
        <v>0.2</v>
      </c>
      <c r="DD70">
        <v>0.3</v>
      </c>
      <c r="DE70">
        <v>0.3</v>
      </c>
      <c r="DF70">
        <v>0.9</v>
      </c>
      <c r="DG70">
        <v>0.9</v>
      </c>
      <c r="DH70">
        <v>1.8</v>
      </c>
      <c r="DI70">
        <v>2.7</v>
      </c>
      <c r="DJ70">
        <v>2.7</v>
      </c>
      <c r="DK70">
        <v>8.1</v>
      </c>
      <c r="DL70">
        <v>0</v>
      </c>
      <c r="DM70">
        <v>8.1</v>
      </c>
      <c r="DN70">
        <v>9</v>
      </c>
      <c r="DO70">
        <f>AVERAGE(CV70:CZ70)</f>
        <v>9</v>
      </c>
      <c r="DQ70">
        <v>8</v>
      </c>
      <c r="DR70" t="s">
        <v>65</v>
      </c>
      <c r="DS70" t="s">
        <v>66</v>
      </c>
      <c r="DT70" t="s">
        <v>123</v>
      </c>
      <c r="DU70" t="s">
        <v>80</v>
      </c>
      <c r="DV70" t="s">
        <v>124</v>
      </c>
      <c r="DW70" t="s">
        <v>3769</v>
      </c>
      <c r="DX70" t="s">
        <v>3770</v>
      </c>
      <c r="DY70" t="s">
        <v>3771</v>
      </c>
      <c r="DZ70" t="s">
        <v>3772</v>
      </c>
      <c r="EA70" t="s">
        <v>3806</v>
      </c>
      <c r="EB70" t="s">
        <v>3807</v>
      </c>
      <c r="EC70" t="s">
        <v>3775</v>
      </c>
      <c r="ED70" t="s">
        <v>3776</v>
      </c>
      <c r="EE70" t="s">
        <v>3819</v>
      </c>
      <c r="EF70" t="s">
        <v>4104</v>
      </c>
      <c r="EG70" t="s">
        <v>4048</v>
      </c>
      <c r="EH70" t="s">
        <v>4015</v>
      </c>
      <c r="EI70" t="s">
        <v>4105</v>
      </c>
      <c r="EJ70" t="s">
        <v>3813</v>
      </c>
      <c r="EK70" t="s">
        <v>4049</v>
      </c>
      <c r="EL70" t="s">
        <v>3815</v>
      </c>
      <c r="EM70" t="s">
        <v>3816</v>
      </c>
      <c r="EN70" t="s">
        <v>4050</v>
      </c>
      <c r="EO70" t="s">
        <v>4018</v>
      </c>
      <c r="EP70" t="s">
        <v>4051</v>
      </c>
      <c r="EQ70">
        <v>7</v>
      </c>
      <c r="ER70">
        <v>8</v>
      </c>
      <c r="ES70">
        <v>7</v>
      </c>
      <c r="ET70">
        <v>7</v>
      </c>
      <c r="EU70">
        <v>8</v>
      </c>
      <c r="EV70">
        <v>0.1</v>
      </c>
      <c r="EW70">
        <v>0.1</v>
      </c>
      <c r="EX70">
        <v>0.2</v>
      </c>
      <c r="EY70">
        <v>0.3</v>
      </c>
      <c r="EZ70">
        <v>0.3</v>
      </c>
      <c r="FA70">
        <f>EV70*EQ70</f>
        <v>0.70000000000000007</v>
      </c>
      <c r="FB70">
        <f>EW70*ER70</f>
        <v>0.8</v>
      </c>
      <c r="FC70">
        <f>EX70*ES70</f>
        <v>1.4000000000000001</v>
      </c>
      <c r="FD70">
        <f>EY70*ET70</f>
        <v>2.1</v>
      </c>
      <c r="FE70">
        <f>EZ70*EU70</f>
        <v>2.4</v>
      </c>
      <c r="FF70">
        <v>20</v>
      </c>
      <c r="FG70">
        <v>0</v>
      </c>
      <c r="FH70">
        <v>8</v>
      </c>
      <c r="FI70">
        <f>FA70+FB70+FC70+FD70+FE70</f>
        <v>7.4</v>
      </c>
      <c r="FJ70">
        <f>MEDIAN(EQ70:EU70)</f>
        <v>7</v>
      </c>
      <c r="FL70">
        <v>36.229999999999997</v>
      </c>
      <c r="FM70">
        <v>2</v>
      </c>
      <c r="FN70" t="s">
        <v>937</v>
      </c>
      <c r="FO70" t="s">
        <v>938</v>
      </c>
      <c r="FP70" t="s">
        <v>939</v>
      </c>
      <c r="FQ70" t="s">
        <v>940</v>
      </c>
      <c r="FR70" t="s">
        <v>941</v>
      </c>
      <c r="FS70">
        <v>5</v>
      </c>
      <c r="FT70">
        <v>4</v>
      </c>
      <c r="FU70">
        <v>3</v>
      </c>
      <c r="FV70">
        <v>2</v>
      </c>
      <c r="FW70">
        <v>1</v>
      </c>
      <c r="FX70">
        <v>0.1</v>
      </c>
      <c r="FY70">
        <v>0.1</v>
      </c>
      <c r="FZ70">
        <v>0.2</v>
      </c>
      <c r="GA70">
        <v>0.3</v>
      </c>
      <c r="GB70">
        <v>0.3</v>
      </c>
      <c r="GC70">
        <f>FS70*FX70</f>
        <v>0.5</v>
      </c>
      <c r="GD70">
        <f>FT70*FY70</f>
        <v>0.4</v>
      </c>
      <c r="GE70">
        <f>FU70*FZ70</f>
        <v>0.60000000000000009</v>
      </c>
      <c r="GF70">
        <f>FV70*GA70</f>
        <v>0.6</v>
      </c>
      <c r="GG70">
        <f>FW70*GB70</f>
        <v>0.3</v>
      </c>
      <c r="GH70">
        <v>2.1</v>
      </c>
      <c r="GI70">
        <v>-0.1</v>
      </c>
      <c r="GJ70">
        <v>2</v>
      </c>
      <c r="GK70">
        <f>GC70+GD70+GE70+GF70+GG70</f>
        <v>2.4</v>
      </c>
      <c r="GL70">
        <f>MEDIAN(FS70:FW70)</f>
        <v>3</v>
      </c>
    </row>
    <row r="71" spans="1:194" hidden="1" x14ac:dyDescent="0.25">
      <c r="A71">
        <v>70</v>
      </c>
      <c r="B71" t="s">
        <v>2</v>
      </c>
      <c r="C71" s="4">
        <v>102.6</v>
      </c>
      <c r="D71">
        <v>3.6</v>
      </c>
      <c r="E71" s="1">
        <f>C71/3/D71</f>
        <v>9.4999999999999982</v>
      </c>
      <c r="G71">
        <v>34.11</v>
      </c>
      <c r="H71">
        <v>8.1</v>
      </c>
      <c r="I71">
        <f>H71*D71*3</f>
        <v>87.48</v>
      </c>
      <c r="J71">
        <v>16.940000000000001</v>
      </c>
      <c r="K71">
        <v>8.6999999999999993</v>
      </c>
      <c r="L71" s="3">
        <f>K71*3*D71</f>
        <v>93.96</v>
      </c>
      <c r="M71">
        <v>4.47</v>
      </c>
      <c r="N71">
        <v>4.4000000000000004</v>
      </c>
      <c r="O71">
        <f>N71*D71*3</f>
        <v>47.52</v>
      </c>
      <c r="P71" s="5">
        <v>6.5</v>
      </c>
      <c r="Q71" s="5">
        <f>P71*D71*3</f>
        <v>70.2</v>
      </c>
      <c r="S71" t="s">
        <v>6207</v>
      </c>
      <c r="T71">
        <v>8.1999999999999993</v>
      </c>
      <c r="U71" s="8">
        <f>T71*D71*3</f>
        <v>88.56</v>
      </c>
      <c r="V71">
        <v>34.78</v>
      </c>
      <c r="W71">
        <v>8.4</v>
      </c>
      <c r="X71" s="5">
        <f>W71*D71*3</f>
        <v>90.72</v>
      </c>
      <c r="Y71">
        <v>11.8</v>
      </c>
      <c r="Z71">
        <v>7.8</v>
      </c>
      <c r="AA71">
        <f>Z71*D71*3</f>
        <v>84.24</v>
      </c>
      <c r="AC71">
        <v>45.65</v>
      </c>
      <c r="AD71">
        <v>8</v>
      </c>
      <c r="AE71" s="1">
        <f>AD71*3*D71</f>
        <v>86.4</v>
      </c>
      <c r="AF71">
        <v>11.83</v>
      </c>
      <c r="AG71" s="5">
        <v>7</v>
      </c>
      <c r="AH71" s="5">
        <f>AG71*D71*3</f>
        <v>75.599999999999994</v>
      </c>
      <c r="AI71" s="13"/>
      <c r="AK71" s="8">
        <f>AJ71*D71*3</f>
        <v>0</v>
      </c>
      <c r="AL71" s="13"/>
      <c r="AM71">
        <v>29.93</v>
      </c>
      <c r="AN71">
        <v>8.1</v>
      </c>
      <c r="AO71" s="8">
        <f>AN71*D71*3</f>
        <v>87.48</v>
      </c>
      <c r="AP71">
        <v>12.27</v>
      </c>
      <c r="AQ71">
        <v>10</v>
      </c>
      <c r="AR71">
        <f>AQ71*D71*3</f>
        <v>108</v>
      </c>
      <c r="AT71">
        <v>8.8000000000000007</v>
      </c>
      <c r="AU71">
        <f>AT71*D71*3</f>
        <v>95.04</v>
      </c>
      <c r="AW71">
        <v>22.21</v>
      </c>
      <c r="AX71">
        <v>9.3000000000000007</v>
      </c>
      <c r="AY71">
        <f>AX71*D71*3</f>
        <v>100.44000000000001</v>
      </c>
      <c r="AZ71">
        <v>22.21</v>
      </c>
      <c r="BA71">
        <v>9.4</v>
      </c>
      <c r="BB71">
        <f>BA71*D71*3</f>
        <v>101.52000000000001</v>
      </c>
      <c r="BD71">
        <v>9</v>
      </c>
      <c r="BE71">
        <f>BD71*D71*3</f>
        <v>97.199999999999989</v>
      </c>
      <c r="BG71" s="10"/>
      <c r="BH71" s="1">
        <f>CHOOSE(MATCH(MIN(ABS(BP71-C71),ABS(BQ71-C71),ABS(BR71-C71)),CHOOSE({1;2;3},ABS(BP71-C71),ABS(BQ71-C71),ABS(BR71-C71)),0),BP71,BQ71,BR71)</f>
        <v>97.2</v>
      </c>
      <c r="BJ71" s="1" cm="1">
        <f t="array" ref="BJ71">(INDEX(_xlfn._xlws.SORT(CHOOSE({1;2;3;4;5;6},BQ71,BR71,L71,AE71,BO71,BP71)),3) + INDEX(_xlfn._xlws.SORT(CHOOSE({1;2;3;4;5;6},BQ71,BR71,L71,AE71,BO71,BP71)),4))/2</f>
        <v>86.4</v>
      </c>
      <c r="BK71">
        <v>9.4604385772121091</v>
      </c>
      <c r="BL71" t="s">
        <v>6117</v>
      </c>
      <c r="BM71" s="1">
        <f>BK71*3*D71</f>
        <v>102.17273663389078</v>
      </c>
      <c r="BN71" s="1">
        <f>BM71-C71</f>
        <v>-0.42726336610921578</v>
      </c>
      <c r="BO71" s="1">
        <f>GK71*3*D71</f>
        <v>55.620000000000005</v>
      </c>
      <c r="BP71" s="1">
        <f>DO71*3*D71</f>
        <v>97.2</v>
      </c>
      <c r="BQ71" s="1">
        <f>FJ71*3*D71</f>
        <v>86.4</v>
      </c>
      <c r="BR71" s="1">
        <f>GL71*3*D71</f>
        <v>54</v>
      </c>
      <c r="BT71">
        <v>34.11</v>
      </c>
      <c r="BU71">
        <v>8.1</v>
      </c>
      <c r="BV71" t="s">
        <v>5247</v>
      </c>
      <c r="BW71" t="s">
        <v>5248</v>
      </c>
      <c r="BX71" t="s">
        <v>5249</v>
      </c>
      <c r="BY71" t="s">
        <v>5250</v>
      </c>
      <c r="BZ71" t="s">
        <v>5251</v>
      </c>
      <c r="CA71" t="s">
        <v>2480</v>
      </c>
      <c r="CC71" t="s">
        <v>2905</v>
      </c>
      <c r="CD71" t="s">
        <v>2906</v>
      </c>
      <c r="CE71" t="s">
        <v>2482</v>
      </c>
      <c r="CG71" t="s">
        <v>2761</v>
      </c>
      <c r="CH71" t="s">
        <v>2906</v>
      </c>
      <c r="CI71" t="s">
        <v>2907</v>
      </c>
      <c r="CK71" t="s">
        <v>2908</v>
      </c>
      <c r="CL71" t="s">
        <v>2906</v>
      </c>
      <c r="CM71" t="s">
        <v>2909</v>
      </c>
      <c r="CO71" t="s">
        <v>2910</v>
      </c>
      <c r="CP71" t="s">
        <v>2906</v>
      </c>
      <c r="CQ71" t="s">
        <v>2911</v>
      </c>
      <c r="CS71" t="s">
        <v>2912</v>
      </c>
      <c r="CT71" t="s">
        <v>2906</v>
      </c>
      <c r="CV71">
        <v>9</v>
      </c>
      <c r="CW71">
        <v>9</v>
      </c>
      <c r="CX71">
        <v>9</v>
      </c>
      <c r="CY71">
        <v>9</v>
      </c>
      <c r="CZ71">
        <v>9</v>
      </c>
      <c r="DA71">
        <v>0.1</v>
      </c>
      <c r="DB71">
        <v>0.1</v>
      </c>
      <c r="DC71">
        <v>0.2</v>
      </c>
      <c r="DD71">
        <v>0.3</v>
      </c>
      <c r="DE71">
        <v>0.3</v>
      </c>
      <c r="DF71">
        <v>0.9</v>
      </c>
      <c r="DG71">
        <v>0.9</v>
      </c>
      <c r="DH71">
        <v>1.8</v>
      </c>
      <c r="DI71">
        <v>2.7</v>
      </c>
      <c r="DJ71">
        <v>2.7</v>
      </c>
      <c r="DK71">
        <v>8.1</v>
      </c>
      <c r="DL71">
        <v>0</v>
      </c>
      <c r="DM71">
        <v>8.1</v>
      </c>
      <c r="DN71">
        <v>8.6999999999999993</v>
      </c>
      <c r="DO71">
        <f>AVERAGE(CV71:CZ71)</f>
        <v>9</v>
      </c>
      <c r="DQ71" t="s">
        <v>27</v>
      </c>
      <c r="DR71" t="s">
        <v>65</v>
      </c>
      <c r="DS71" t="s">
        <v>66</v>
      </c>
      <c r="DT71" t="s">
        <v>67</v>
      </c>
      <c r="DU71" t="s">
        <v>209</v>
      </c>
      <c r="DV71" t="s">
        <v>210</v>
      </c>
      <c r="DW71" t="s">
        <v>3836</v>
      </c>
      <c r="DX71" t="s">
        <v>3858</v>
      </c>
      <c r="DY71" t="s">
        <v>3883</v>
      </c>
      <c r="DZ71" t="s">
        <v>3884</v>
      </c>
      <c r="EA71" t="s">
        <v>3860</v>
      </c>
      <c r="EB71" t="s">
        <v>3840</v>
      </c>
      <c r="EC71" t="s">
        <v>3885</v>
      </c>
      <c r="ED71" t="s">
        <v>4244</v>
      </c>
      <c r="EE71" t="s">
        <v>3886</v>
      </c>
      <c r="EF71" t="s">
        <v>4245</v>
      </c>
      <c r="EG71" t="s">
        <v>3888</v>
      </c>
      <c r="EH71" t="s">
        <v>4246</v>
      </c>
      <c r="EI71" t="s">
        <v>3879</v>
      </c>
      <c r="EJ71" t="s">
        <v>4247</v>
      </c>
      <c r="EK71" t="s">
        <v>4248</v>
      </c>
      <c r="EL71" t="s">
        <v>4249</v>
      </c>
      <c r="EM71" t="s">
        <v>3851</v>
      </c>
      <c r="EN71" t="s">
        <v>4250</v>
      </c>
      <c r="EO71" t="s">
        <v>4251</v>
      </c>
      <c r="EP71" t="s">
        <v>4132</v>
      </c>
      <c r="EQ71">
        <v>8</v>
      </c>
      <c r="ER71">
        <v>8</v>
      </c>
      <c r="ES71">
        <v>8</v>
      </c>
      <c r="ET71">
        <v>8</v>
      </c>
      <c r="EU71">
        <v>8</v>
      </c>
      <c r="EV71">
        <v>0.1</v>
      </c>
      <c r="EW71">
        <v>0.1</v>
      </c>
      <c r="EX71">
        <v>0.2</v>
      </c>
      <c r="EY71">
        <v>0.3</v>
      </c>
      <c r="EZ71">
        <v>0.3</v>
      </c>
      <c r="FA71">
        <f>EV71*EQ71</f>
        <v>0.8</v>
      </c>
      <c r="FB71">
        <f>EW71*ER71</f>
        <v>0.8</v>
      </c>
      <c r="FC71">
        <f>EX71*ES71</f>
        <v>1.6</v>
      </c>
      <c r="FD71">
        <f>EY71*ET71</f>
        <v>2.4</v>
      </c>
      <c r="FE71">
        <f>EZ71*EU71</f>
        <v>2.4</v>
      </c>
      <c r="FF71">
        <v>16</v>
      </c>
      <c r="FG71">
        <v>0</v>
      </c>
      <c r="FH71">
        <v>8</v>
      </c>
      <c r="FI71">
        <f>FA71+FB71+FC71+FD71+FE71</f>
        <v>8</v>
      </c>
      <c r="FJ71">
        <f>MEDIAN(EQ71:EU71)</f>
        <v>8</v>
      </c>
      <c r="FL71">
        <v>40.01</v>
      </c>
      <c r="FM71">
        <v>5.8</v>
      </c>
      <c r="FN71" t="s">
        <v>942</v>
      </c>
      <c r="FO71" t="s">
        <v>943</v>
      </c>
      <c r="FP71" t="s">
        <v>944</v>
      </c>
      <c r="FQ71" t="s">
        <v>945</v>
      </c>
      <c r="FR71" t="s">
        <v>946</v>
      </c>
      <c r="FS71">
        <v>5</v>
      </c>
      <c r="FT71">
        <v>4.5</v>
      </c>
      <c r="FU71">
        <v>6</v>
      </c>
      <c r="FV71">
        <v>7</v>
      </c>
      <c r="FW71">
        <v>3</v>
      </c>
      <c r="FX71">
        <v>0.1</v>
      </c>
      <c r="FY71">
        <v>0.1</v>
      </c>
      <c r="FZ71">
        <v>0.2</v>
      </c>
      <c r="GA71">
        <v>0.3</v>
      </c>
      <c r="GB71">
        <v>0.3</v>
      </c>
      <c r="GC71">
        <f>FS71*FX71</f>
        <v>0.5</v>
      </c>
      <c r="GD71">
        <f>FT71*FY71</f>
        <v>0.45</v>
      </c>
      <c r="GE71">
        <f>FU71*FZ71</f>
        <v>1.2000000000000002</v>
      </c>
      <c r="GF71">
        <f>FV71*GA71</f>
        <v>2.1</v>
      </c>
      <c r="GG71">
        <f>FW71*GB71</f>
        <v>0.89999999999999991</v>
      </c>
      <c r="GH71">
        <v>5.8</v>
      </c>
      <c r="GJ71">
        <v>5.8</v>
      </c>
      <c r="GK71">
        <f>GC71+GD71+GE71+GF71+GG71</f>
        <v>5.15</v>
      </c>
      <c r="GL71">
        <f>MEDIAN(FS71:FW71)</f>
        <v>5</v>
      </c>
    </row>
    <row r="72" spans="1:194" hidden="1" x14ac:dyDescent="0.25">
      <c r="A72">
        <v>71</v>
      </c>
      <c r="B72" t="s">
        <v>2</v>
      </c>
      <c r="C72" s="4">
        <v>90</v>
      </c>
      <c r="D72">
        <v>3.6</v>
      </c>
      <c r="E72" s="1">
        <f>C72/3/D72</f>
        <v>8.3333333333333339</v>
      </c>
      <c r="G72">
        <v>39.090000000000003</v>
      </c>
      <c r="H72">
        <v>8.1</v>
      </c>
      <c r="I72">
        <f>H72*D72*3</f>
        <v>87.48</v>
      </c>
      <c r="J72">
        <v>18.61</v>
      </c>
      <c r="K72">
        <v>8.6999999999999993</v>
      </c>
      <c r="L72" s="3">
        <f>K72*3*D72</f>
        <v>93.96</v>
      </c>
      <c r="M72">
        <v>4.4000000000000004</v>
      </c>
      <c r="N72">
        <v>6</v>
      </c>
      <c r="O72">
        <f>N72*D72*3</f>
        <v>64.800000000000011</v>
      </c>
      <c r="P72" s="5">
        <v>7.9</v>
      </c>
      <c r="Q72" s="5">
        <f>P72*D72*3</f>
        <v>85.320000000000007</v>
      </c>
      <c r="S72" t="s">
        <v>6208</v>
      </c>
      <c r="T72">
        <v>6.5</v>
      </c>
      <c r="U72" s="8">
        <f>T72*D72*3</f>
        <v>70.2</v>
      </c>
      <c r="V72">
        <v>34.89</v>
      </c>
      <c r="W72">
        <v>8</v>
      </c>
      <c r="X72" s="5">
        <f>W72*D72*3</f>
        <v>86.4</v>
      </c>
      <c r="Y72">
        <v>12.39</v>
      </c>
      <c r="Z72">
        <v>7.5</v>
      </c>
      <c r="AA72">
        <f>Z72*D72*3</f>
        <v>81</v>
      </c>
      <c r="AC72">
        <v>44.81</v>
      </c>
      <c r="AD72">
        <v>8</v>
      </c>
      <c r="AE72" s="1">
        <f>AD72*3*D72</f>
        <v>86.4</v>
      </c>
      <c r="AF72">
        <v>12.13</v>
      </c>
      <c r="AG72" s="5">
        <v>7</v>
      </c>
      <c r="AH72" s="5">
        <f>AG72*D72*3</f>
        <v>75.599999999999994</v>
      </c>
      <c r="AI72" s="13"/>
      <c r="AK72" s="8">
        <f>AJ72*D72*3</f>
        <v>0</v>
      </c>
      <c r="AL72" s="13"/>
      <c r="AM72">
        <v>30.12</v>
      </c>
      <c r="AN72">
        <v>8.1</v>
      </c>
      <c r="AO72" s="8">
        <f>AN72*D72*3</f>
        <v>87.48</v>
      </c>
      <c r="AP72">
        <v>11.98</v>
      </c>
      <c r="AQ72">
        <v>9.4</v>
      </c>
      <c r="AR72">
        <f>AQ72*D72*3</f>
        <v>101.52000000000001</v>
      </c>
      <c r="AT72">
        <v>9</v>
      </c>
      <c r="AU72">
        <f>AT72*D72*3</f>
        <v>97.199999999999989</v>
      </c>
      <c r="AW72">
        <v>22.94</v>
      </c>
      <c r="AX72">
        <v>9.1</v>
      </c>
      <c r="AY72">
        <f>AX72*D72*3</f>
        <v>98.28</v>
      </c>
      <c r="AZ72">
        <v>22.94</v>
      </c>
      <c r="BA72">
        <v>7.4</v>
      </c>
      <c r="BB72">
        <f>BA72*D72*3</f>
        <v>79.92</v>
      </c>
      <c r="BD72">
        <v>8.9</v>
      </c>
      <c r="BE72">
        <f>BD72*D72*3</f>
        <v>96.12</v>
      </c>
      <c r="BG72" s="10"/>
      <c r="BH72" s="1">
        <f>CHOOSE(MATCH(MIN(ABS(BP72-C72),ABS(BQ72-C72),ABS(BR72-C72)),CHOOSE({1;2;3},ABS(BP72-C72),ABS(BQ72-C72),ABS(BR72-C72)),0),BP72,BQ72,BR72)</f>
        <v>86.4</v>
      </c>
      <c r="BJ72" s="1" cm="1">
        <f t="array" ref="BJ72">(INDEX(_xlfn._xlws.SORT(CHOOSE({1;2;3;4;5;6},BQ72,BR72,L72,AE72,BO72,BP72)),3) + INDEX(_xlfn._xlws.SORT(CHOOSE({1;2;3;4;5;6},BQ72,BR72,L72,AE72,BO72,BP72)),4))/2</f>
        <v>86.4</v>
      </c>
      <c r="BK72">
        <v>8.3602455174020491</v>
      </c>
      <c r="BL72" t="s">
        <v>6117</v>
      </c>
      <c r="BM72" s="1">
        <f>BK72*3*D72</f>
        <v>90.290651587942136</v>
      </c>
      <c r="BN72" s="1">
        <f>BM72-C72</f>
        <v>0.2906515879421363</v>
      </c>
      <c r="BO72" s="1">
        <f>GK72*3*D72</f>
        <v>55.620000000000005</v>
      </c>
      <c r="BP72" s="1">
        <f>DO72*3*D72</f>
        <v>95.04</v>
      </c>
      <c r="BQ72" s="1">
        <f>FJ72*3*D72</f>
        <v>86.4</v>
      </c>
      <c r="BR72" s="1">
        <f>GL72*3*D72</f>
        <v>43.2</v>
      </c>
      <c r="BT72">
        <v>39.090000000000003</v>
      </c>
      <c r="BU72">
        <v>8.1</v>
      </c>
      <c r="BV72" t="s">
        <v>5093</v>
      </c>
      <c r="BW72" t="s">
        <v>5252</v>
      </c>
      <c r="BX72" t="s">
        <v>5253</v>
      </c>
      <c r="BY72" t="s">
        <v>5254</v>
      </c>
      <c r="BZ72" t="s">
        <v>5255</v>
      </c>
      <c r="CA72" t="s">
        <v>2420</v>
      </c>
      <c r="CC72" t="s">
        <v>2525</v>
      </c>
      <c r="CD72" t="s">
        <v>2913</v>
      </c>
      <c r="CE72" t="s">
        <v>2423</v>
      </c>
      <c r="CG72" t="s">
        <v>2914</v>
      </c>
      <c r="CH72" t="s">
        <v>2915</v>
      </c>
      <c r="CI72" t="s">
        <v>2426</v>
      </c>
      <c r="CJ72" t="s">
        <v>2427</v>
      </c>
      <c r="CK72" t="s">
        <v>2916</v>
      </c>
      <c r="CL72" t="s">
        <v>2917</v>
      </c>
      <c r="CM72" t="s">
        <v>2430</v>
      </c>
      <c r="CO72" t="s">
        <v>2918</v>
      </c>
      <c r="CP72" t="s">
        <v>2919</v>
      </c>
      <c r="CQ72" t="s">
        <v>2920</v>
      </c>
      <c r="CS72" t="s">
        <v>2921</v>
      </c>
      <c r="CT72" t="s">
        <v>2922</v>
      </c>
      <c r="CV72">
        <v>9</v>
      </c>
      <c r="CW72">
        <v>9</v>
      </c>
      <c r="CX72">
        <v>8</v>
      </c>
      <c r="CY72">
        <v>9</v>
      </c>
      <c r="CZ72">
        <v>9</v>
      </c>
      <c r="DA72">
        <v>0.1</v>
      </c>
      <c r="DB72">
        <v>0.1</v>
      </c>
      <c r="DC72">
        <v>0.2</v>
      </c>
      <c r="DD72">
        <v>0.3</v>
      </c>
      <c r="DE72">
        <v>0.3</v>
      </c>
      <c r="DF72">
        <v>0.9</v>
      </c>
      <c r="DG72">
        <v>0.9</v>
      </c>
      <c r="DH72">
        <v>1.6</v>
      </c>
      <c r="DI72">
        <v>2.7</v>
      </c>
      <c r="DJ72">
        <v>2.7</v>
      </c>
      <c r="DK72">
        <v>8.1</v>
      </c>
      <c r="DL72">
        <v>0</v>
      </c>
      <c r="DM72">
        <v>8.1</v>
      </c>
      <c r="DN72">
        <v>8.6999999999999993</v>
      </c>
      <c r="DO72">
        <f>AVERAGE(CV72:CZ72)</f>
        <v>8.8000000000000007</v>
      </c>
      <c r="DQ72" t="s">
        <v>27</v>
      </c>
      <c r="DR72" t="s">
        <v>211</v>
      </c>
      <c r="DS72" t="s">
        <v>66</v>
      </c>
      <c r="DT72" t="s">
        <v>67</v>
      </c>
      <c r="DU72" t="s">
        <v>68</v>
      </c>
      <c r="DV72" t="s">
        <v>212</v>
      </c>
      <c r="DW72" t="s">
        <v>3836</v>
      </c>
      <c r="DX72" t="s">
        <v>3858</v>
      </c>
      <c r="DY72" t="s">
        <v>3859</v>
      </c>
      <c r="DZ72" t="s">
        <v>3826</v>
      </c>
      <c r="EA72" t="s">
        <v>3860</v>
      </c>
      <c r="EB72" t="s">
        <v>3840</v>
      </c>
      <c r="EC72" t="s">
        <v>3861</v>
      </c>
      <c r="ED72" t="s">
        <v>3862</v>
      </c>
      <c r="EE72" t="s">
        <v>3863</v>
      </c>
      <c r="EF72" t="s">
        <v>3864</v>
      </c>
      <c r="EG72" t="s">
        <v>3865</v>
      </c>
      <c r="EH72" t="s">
        <v>3866</v>
      </c>
      <c r="EI72" t="s">
        <v>3867</v>
      </c>
      <c r="EJ72" t="s">
        <v>3868</v>
      </c>
      <c r="EK72" t="s">
        <v>3869</v>
      </c>
      <c r="EL72" t="s">
        <v>3870</v>
      </c>
      <c r="EM72" t="s">
        <v>3871</v>
      </c>
      <c r="EN72" t="s">
        <v>3872</v>
      </c>
      <c r="EO72" t="s">
        <v>3873</v>
      </c>
      <c r="EP72" t="s">
        <v>3874</v>
      </c>
      <c r="EQ72">
        <v>8</v>
      </c>
      <c r="ER72">
        <v>8</v>
      </c>
      <c r="ES72">
        <v>8</v>
      </c>
      <c r="ET72">
        <v>8</v>
      </c>
      <c r="EU72">
        <v>8</v>
      </c>
      <c r="EV72">
        <v>0.1</v>
      </c>
      <c r="EW72">
        <v>0.1</v>
      </c>
      <c r="EX72">
        <v>0.2</v>
      </c>
      <c r="EY72">
        <v>0.3</v>
      </c>
      <c r="EZ72">
        <v>0.3</v>
      </c>
      <c r="FA72">
        <f>EV72*EQ72</f>
        <v>0.8</v>
      </c>
      <c r="FB72">
        <f>EW72*ER72</f>
        <v>0.8</v>
      </c>
      <c r="FC72">
        <f>EX72*ES72</f>
        <v>1.6</v>
      </c>
      <c r="FD72">
        <f>EY72*ET72</f>
        <v>2.4</v>
      </c>
      <c r="FE72">
        <f>EZ72*EU72</f>
        <v>2.4</v>
      </c>
      <c r="FF72">
        <v>16</v>
      </c>
      <c r="FG72">
        <v>0</v>
      </c>
      <c r="FH72">
        <v>8</v>
      </c>
      <c r="FI72">
        <f>FA72+FB72+FC72+FD72+FE72</f>
        <v>8</v>
      </c>
      <c r="FJ72">
        <f>MEDIAN(EQ72:EU72)</f>
        <v>8</v>
      </c>
      <c r="FL72">
        <v>37.590000000000003</v>
      </c>
      <c r="FM72">
        <v>7.6</v>
      </c>
      <c r="FN72" t="s">
        <v>947</v>
      </c>
      <c r="FO72" t="s">
        <v>948</v>
      </c>
      <c r="FP72" t="s">
        <v>949</v>
      </c>
      <c r="FQ72" t="s">
        <v>950</v>
      </c>
      <c r="FR72" t="s">
        <v>951</v>
      </c>
      <c r="FS72">
        <v>4</v>
      </c>
      <c r="FT72">
        <v>3.5</v>
      </c>
      <c r="FU72">
        <v>2.5</v>
      </c>
      <c r="FV72">
        <v>6</v>
      </c>
      <c r="FW72">
        <v>7</v>
      </c>
      <c r="FX72">
        <v>0.1</v>
      </c>
      <c r="FY72">
        <v>0.1</v>
      </c>
      <c r="FZ72">
        <v>0.2</v>
      </c>
      <c r="GA72">
        <v>0.3</v>
      </c>
      <c r="GB72">
        <v>0.3</v>
      </c>
      <c r="GC72">
        <f>FS72*FX72</f>
        <v>0.4</v>
      </c>
      <c r="GD72">
        <f>FT72*FY72</f>
        <v>0.35000000000000003</v>
      </c>
      <c r="GE72">
        <f>FU72*FZ72</f>
        <v>0.5</v>
      </c>
      <c r="GF72">
        <f>FV72*GA72</f>
        <v>1.7999999999999998</v>
      </c>
      <c r="GG72">
        <f>FW72*GB72</f>
        <v>2.1</v>
      </c>
      <c r="GH72">
        <v>7.6</v>
      </c>
      <c r="GI72">
        <v>0</v>
      </c>
      <c r="GJ72">
        <v>7.6</v>
      </c>
      <c r="GK72">
        <f>GC72+GD72+GE72+GF72+GG72</f>
        <v>5.15</v>
      </c>
      <c r="GL72">
        <f>MEDIAN(FS72:FW72)</f>
        <v>4</v>
      </c>
    </row>
    <row r="73" spans="1:194" x14ac:dyDescent="0.25">
      <c r="A73">
        <v>170</v>
      </c>
      <c r="B73" t="s">
        <v>2</v>
      </c>
      <c r="C73" s="4">
        <v>97.2</v>
      </c>
      <c r="D73">
        <v>3.6</v>
      </c>
      <c r="E73" s="1">
        <f>C73/3/D73</f>
        <v>9</v>
      </c>
      <c r="G73">
        <v>37.17</v>
      </c>
      <c r="H73">
        <v>8</v>
      </c>
      <c r="I73">
        <f>H73*D73*3</f>
        <v>86.4</v>
      </c>
      <c r="J73">
        <v>16.760000000000002</v>
      </c>
      <c r="K73">
        <v>8.4</v>
      </c>
      <c r="L73" s="3">
        <f>K73*3*D73</f>
        <v>90.720000000000013</v>
      </c>
      <c r="M73">
        <v>5.05</v>
      </c>
      <c r="N73">
        <v>5</v>
      </c>
      <c r="O73">
        <f>N73*D73*3</f>
        <v>54</v>
      </c>
      <c r="P73" s="5">
        <v>8.6</v>
      </c>
      <c r="Q73" s="5">
        <f>P73*D73*3</f>
        <v>92.88</v>
      </c>
      <c r="S73" t="s">
        <v>6303</v>
      </c>
      <c r="T73">
        <v>6.2</v>
      </c>
      <c r="U73" s="8">
        <f>T73*D73*3</f>
        <v>66.960000000000008</v>
      </c>
      <c r="V73">
        <v>33.159999999999997</v>
      </c>
      <c r="W73">
        <v>7.9</v>
      </c>
      <c r="X73" s="5">
        <f>W73*D73*3</f>
        <v>85.320000000000007</v>
      </c>
      <c r="Y73">
        <v>9.8800000000000008</v>
      </c>
      <c r="Z73">
        <v>7.5</v>
      </c>
      <c r="AA73">
        <f>Z73*D73*3</f>
        <v>81</v>
      </c>
      <c r="AC73">
        <v>43.68</v>
      </c>
      <c r="AD73">
        <v>5.9</v>
      </c>
      <c r="AE73" s="1">
        <f>AD73*3*D73</f>
        <v>63.720000000000013</v>
      </c>
      <c r="AF73">
        <v>11.87</v>
      </c>
      <c r="AG73" s="5">
        <v>7</v>
      </c>
      <c r="AH73" s="5">
        <f>AG73*D73*3</f>
        <v>75.599999999999994</v>
      </c>
      <c r="AI73" s="13"/>
      <c r="AJ73">
        <v>2.8</v>
      </c>
      <c r="AK73" s="8">
        <f>AJ73*D73*3</f>
        <v>30.240000000000002</v>
      </c>
      <c r="AL73" s="13"/>
      <c r="AM73">
        <v>30.86</v>
      </c>
      <c r="AN73">
        <v>7.2</v>
      </c>
      <c r="AO73" s="8">
        <f>AN73*D73*3</f>
        <v>77.760000000000005</v>
      </c>
      <c r="AP73">
        <v>12.54</v>
      </c>
      <c r="AQ73">
        <v>9.1999999999999993</v>
      </c>
      <c r="AR73">
        <f>AQ73*D73*3</f>
        <v>99.359999999999985</v>
      </c>
      <c r="AT73">
        <v>9</v>
      </c>
      <c r="AU73">
        <f>AT73*D73*3</f>
        <v>97.199999999999989</v>
      </c>
      <c r="AW73">
        <v>24.45</v>
      </c>
      <c r="AX73">
        <v>9.5</v>
      </c>
      <c r="AY73">
        <f>AX73*D73*3</f>
        <v>102.60000000000001</v>
      </c>
      <c r="AZ73">
        <v>24.45</v>
      </c>
      <c r="BA73">
        <v>9.1999999999999993</v>
      </c>
      <c r="BB73">
        <f>BA73*D73*3</f>
        <v>99.359999999999985</v>
      </c>
      <c r="BD73">
        <v>9</v>
      </c>
      <c r="BE73">
        <f>BD73*D73*3</f>
        <v>97.199999999999989</v>
      </c>
      <c r="BG73" s="10"/>
      <c r="BH73" s="1">
        <f>CHOOSE(MATCH(MIN(ABS(BP73-C73),ABS(BQ73-C73),ABS(BR73-C73)),CHOOSE({1;2;3},ABS(BP73-C73),ABS(BQ73-C73),ABS(BR73-C73)),0),BP73,BQ73,BR73)</f>
        <v>97.2</v>
      </c>
      <c r="BJ73" s="1" cm="1">
        <f t="array" ref="BJ73">(INDEX(_xlfn._xlws.SORT(CHOOSE({1;2;3;4;5;6},BQ73,BR73,L73,AE73,BO73,BP73)),3) + INDEX(_xlfn._xlws.SORT(CHOOSE({1;2;3;4;5;6},BQ73,BR73,L73,AE73,BO73,BP73)),4))/2</f>
        <v>64.8</v>
      </c>
      <c r="BK73">
        <v>8.2738052837066594</v>
      </c>
      <c r="BL73" s="11" t="s">
        <v>6116</v>
      </c>
      <c r="BM73" s="1">
        <f>BK73*3*D73</f>
        <v>89.357097064031933</v>
      </c>
      <c r="BN73" s="1">
        <f>BM73-C73</f>
        <v>-7.8429029359680698</v>
      </c>
      <c r="BO73" s="1">
        <f>GK73*3*D73</f>
        <v>60.47999999999999</v>
      </c>
      <c r="BP73" s="1">
        <f>DO73*3*D73</f>
        <v>97.2</v>
      </c>
      <c r="BQ73" s="1">
        <f>FJ73*3*D73</f>
        <v>64.8</v>
      </c>
      <c r="BR73" s="1">
        <f>GL73*3*D73</f>
        <v>64.8</v>
      </c>
      <c r="BT73">
        <v>37.17</v>
      </c>
      <c r="BU73">
        <v>8</v>
      </c>
      <c r="BV73" t="s">
        <v>4991</v>
      </c>
      <c r="BW73" t="s">
        <v>4992</v>
      </c>
      <c r="BX73" t="s">
        <v>4993</v>
      </c>
      <c r="BY73" t="s">
        <v>4994</v>
      </c>
      <c r="BZ73" t="s">
        <v>4985</v>
      </c>
      <c r="CA73" t="s">
        <v>2550</v>
      </c>
      <c r="CC73" t="s">
        <v>2551</v>
      </c>
      <c r="CD73" t="s">
        <v>2552</v>
      </c>
      <c r="CE73" t="s">
        <v>2553</v>
      </c>
      <c r="CG73" t="s">
        <v>2424</v>
      </c>
      <c r="CH73" t="s">
        <v>2554</v>
      </c>
      <c r="CI73" t="s">
        <v>3226</v>
      </c>
      <c r="CK73" t="s">
        <v>2556</v>
      </c>
      <c r="CL73" t="s">
        <v>2557</v>
      </c>
      <c r="CM73" t="s">
        <v>2595</v>
      </c>
      <c r="CO73" t="s">
        <v>2431</v>
      </c>
      <c r="CP73" t="s">
        <v>2559</v>
      </c>
      <c r="CQ73" t="s">
        <v>2836</v>
      </c>
      <c r="CS73" t="s">
        <v>2435</v>
      </c>
      <c r="CT73" t="s">
        <v>2562</v>
      </c>
      <c r="CV73">
        <v>9</v>
      </c>
      <c r="CW73">
        <v>9</v>
      </c>
      <c r="CX73">
        <v>9</v>
      </c>
      <c r="CY73">
        <v>9</v>
      </c>
      <c r="CZ73">
        <v>9</v>
      </c>
      <c r="DA73">
        <v>0.1</v>
      </c>
      <c r="DB73">
        <v>0.1</v>
      </c>
      <c r="DC73">
        <v>0.2</v>
      </c>
      <c r="DD73">
        <v>0.3</v>
      </c>
      <c r="DE73">
        <v>0.3</v>
      </c>
      <c r="DF73">
        <v>0.9</v>
      </c>
      <c r="DG73">
        <v>0.9</v>
      </c>
      <c r="DH73">
        <v>1.8</v>
      </c>
      <c r="DI73">
        <v>2.7</v>
      </c>
      <c r="DJ73">
        <v>2.7</v>
      </c>
      <c r="DK73">
        <v>8</v>
      </c>
      <c r="DL73">
        <v>0</v>
      </c>
      <c r="DM73">
        <v>8</v>
      </c>
      <c r="DN73">
        <v>8.4</v>
      </c>
      <c r="DO73">
        <f>AVERAGE(CV73:CZ73)</f>
        <v>9</v>
      </c>
      <c r="DQ73">
        <v>16</v>
      </c>
      <c r="DR73" t="s">
        <v>352</v>
      </c>
      <c r="DS73" t="s">
        <v>353</v>
      </c>
      <c r="DT73" t="s">
        <v>354</v>
      </c>
      <c r="DU73" t="s">
        <v>355</v>
      </c>
      <c r="DV73" t="s">
        <v>356</v>
      </c>
      <c r="DW73" t="s">
        <v>3911</v>
      </c>
      <c r="DX73" t="s">
        <v>4160</v>
      </c>
      <c r="DY73" t="s">
        <v>4161</v>
      </c>
      <c r="DZ73" t="s">
        <v>4419</v>
      </c>
      <c r="EA73" t="s">
        <v>4178</v>
      </c>
      <c r="EB73" t="s">
        <v>4179</v>
      </c>
      <c r="EE73" t="s">
        <v>4549</v>
      </c>
      <c r="EF73" t="s">
        <v>4550</v>
      </c>
      <c r="EH73" t="s">
        <v>4551</v>
      </c>
      <c r="EI73" t="s">
        <v>4552</v>
      </c>
      <c r="EJ73" t="s">
        <v>4553</v>
      </c>
      <c r="EL73" t="s">
        <v>4554</v>
      </c>
      <c r="EM73" t="s">
        <v>4522</v>
      </c>
      <c r="EN73" t="s">
        <v>4555</v>
      </c>
      <c r="EP73" t="s">
        <v>4556</v>
      </c>
      <c r="EQ73">
        <v>4</v>
      </c>
      <c r="ER73">
        <v>8</v>
      </c>
      <c r="ES73">
        <v>7</v>
      </c>
      <c r="ET73">
        <v>6</v>
      </c>
      <c r="EU73">
        <v>5</v>
      </c>
      <c r="EV73">
        <v>0.1</v>
      </c>
      <c r="EW73">
        <v>0.1</v>
      </c>
      <c r="EX73">
        <v>0.2</v>
      </c>
      <c r="EY73">
        <v>0.3</v>
      </c>
      <c r="EZ73">
        <v>0.3</v>
      </c>
      <c r="FA73">
        <f>EV73*EQ73</f>
        <v>0.4</v>
      </c>
      <c r="FB73">
        <f>EW73*ER73</f>
        <v>0.8</v>
      </c>
      <c r="FC73">
        <f>EX73*ES73</f>
        <v>1.4000000000000001</v>
      </c>
      <c r="FD73">
        <f>EY73*ET73</f>
        <v>1.7999999999999998</v>
      </c>
      <c r="FE73">
        <f>EZ73*EU73</f>
        <v>1.5</v>
      </c>
      <c r="FF73">
        <v>16</v>
      </c>
      <c r="FG73">
        <v>0</v>
      </c>
      <c r="FH73">
        <v>16</v>
      </c>
      <c r="FI73">
        <f>FA73+FB73+FC73+FD73+FE73</f>
        <v>5.9</v>
      </c>
      <c r="FJ73">
        <f>MEDIAN(EQ73:EU73)</f>
        <v>6</v>
      </c>
      <c r="FL73">
        <v>39.4</v>
      </c>
      <c r="FM73">
        <v>6</v>
      </c>
      <c r="FN73" t="s">
        <v>1404</v>
      </c>
      <c r="FO73" t="s">
        <v>1405</v>
      </c>
      <c r="FP73" t="s">
        <v>1406</v>
      </c>
      <c r="FQ73" t="s">
        <v>1407</v>
      </c>
      <c r="FR73" t="s">
        <v>1408</v>
      </c>
      <c r="FS73">
        <v>6.5</v>
      </c>
      <c r="FT73">
        <v>7.5</v>
      </c>
      <c r="FU73">
        <v>4.5</v>
      </c>
      <c r="FV73">
        <v>6</v>
      </c>
      <c r="FW73">
        <v>5</v>
      </c>
      <c r="FX73">
        <v>0.1</v>
      </c>
      <c r="FY73">
        <v>0.1</v>
      </c>
      <c r="FZ73">
        <v>0.2</v>
      </c>
      <c r="GA73">
        <v>0.3</v>
      </c>
      <c r="GB73">
        <v>0.3</v>
      </c>
      <c r="GC73">
        <f>FS73*FX73</f>
        <v>0.65</v>
      </c>
      <c r="GD73">
        <f>FT73*FY73</f>
        <v>0.75</v>
      </c>
      <c r="GE73">
        <f>FU73*FZ73</f>
        <v>0.9</v>
      </c>
      <c r="GF73">
        <f>FV73*GA73</f>
        <v>1.7999999999999998</v>
      </c>
      <c r="GG73">
        <f>FW73*GB73</f>
        <v>1.5</v>
      </c>
      <c r="GH73">
        <v>5.8</v>
      </c>
      <c r="GI73">
        <v>0.2</v>
      </c>
      <c r="GJ73">
        <v>6</v>
      </c>
      <c r="GK73">
        <f>GC73+GD73+GE73+GF73+GG73</f>
        <v>5.6</v>
      </c>
      <c r="GL73">
        <f>MEDIAN(FS73:FW73)</f>
        <v>6</v>
      </c>
    </row>
    <row r="74" spans="1:194" hidden="1" x14ac:dyDescent="0.25">
      <c r="A74">
        <v>73</v>
      </c>
      <c r="B74" t="s">
        <v>2</v>
      </c>
      <c r="C74" s="4">
        <v>88.2</v>
      </c>
      <c r="D74">
        <v>3.6</v>
      </c>
      <c r="E74" s="1">
        <f>C74/3/D74</f>
        <v>8.1666666666666679</v>
      </c>
      <c r="G74">
        <v>34.409999999999997</v>
      </c>
      <c r="H74">
        <v>8.1999999999999993</v>
      </c>
      <c r="I74">
        <f>H74*D74*3</f>
        <v>88.56</v>
      </c>
      <c r="J74">
        <v>18.690000000000001</v>
      </c>
      <c r="K74">
        <v>8.4</v>
      </c>
      <c r="L74" s="3">
        <f>K74*3*D74</f>
        <v>90.720000000000013</v>
      </c>
      <c r="M74">
        <v>16.670000000000002</v>
      </c>
      <c r="O74">
        <f>N74*D74*3</f>
        <v>0</v>
      </c>
      <c r="P74" s="5">
        <v>7.8</v>
      </c>
      <c r="Q74" s="5">
        <f>P74*D74*3</f>
        <v>84.24</v>
      </c>
      <c r="S74" t="s">
        <v>6210</v>
      </c>
      <c r="T74">
        <v>5.2</v>
      </c>
      <c r="U74" s="8">
        <f>T74*D74*3</f>
        <v>56.160000000000011</v>
      </c>
      <c r="V74">
        <v>34.49</v>
      </c>
      <c r="W74">
        <v>9</v>
      </c>
      <c r="X74" s="5">
        <f>W74*D74*3</f>
        <v>97.199999999999989</v>
      </c>
      <c r="Y74">
        <v>9.2899999999999991</v>
      </c>
      <c r="Z74">
        <v>7.9</v>
      </c>
      <c r="AA74">
        <f>Z74*D74*3</f>
        <v>85.320000000000007</v>
      </c>
      <c r="AC74">
        <v>46.97</v>
      </c>
      <c r="AD74">
        <v>8</v>
      </c>
      <c r="AE74" s="1">
        <f>AD74*3*D74</f>
        <v>86.4</v>
      </c>
      <c r="AF74">
        <v>12.11</v>
      </c>
      <c r="AG74" s="5">
        <v>7</v>
      </c>
      <c r="AH74" s="5">
        <f>AG74*D74*3</f>
        <v>75.599999999999994</v>
      </c>
      <c r="AI74" s="13"/>
      <c r="AJ74">
        <v>7.2</v>
      </c>
      <c r="AK74" s="8">
        <f>AJ74*D74*3</f>
        <v>77.760000000000005</v>
      </c>
      <c r="AL74" s="13"/>
      <c r="AM74">
        <v>30.91</v>
      </c>
      <c r="AN74">
        <v>7.9</v>
      </c>
      <c r="AO74" s="8">
        <f>AN74*D74*3</f>
        <v>85.320000000000007</v>
      </c>
      <c r="AP74">
        <v>15.21</v>
      </c>
      <c r="AQ74">
        <v>10</v>
      </c>
      <c r="AR74">
        <f>AQ74*D74*3</f>
        <v>108</v>
      </c>
      <c r="AT74">
        <v>9.3000000000000007</v>
      </c>
      <c r="AU74">
        <f>AT74*D74*3</f>
        <v>100.44000000000001</v>
      </c>
      <c r="AW74">
        <v>24.44</v>
      </c>
      <c r="AX74">
        <v>9.6</v>
      </c>
      <c r="AY74">
        <f>AX74*D74*3</f>
        <v>103.68</v>
      </c>
      <c r="AZ74">
        <v>24.44</v>
      </c>
      <c r="BA74">
        <v>9.1999999999999993</v>
      </c>
      <c r="BB74">
        <f>BA74*D74*3</f>
        <v>99.359999999999985</v>
      </c>
      <c r="BD74">
        <v>9</v>
      </c>
      <c r="BE74">
        <f>BD74*D74*3</f>
        <v>97.199999999999989</v>
      </c>
      <c r="BG74" s="10"/>
      <c r="BH74" s="1">
        <f>CHOOSE(MATCH(MIN(ABS(BP74-C74),ABS(BQ74-C74),ABS(BR74-C74)),CHOOSE({1;2;3},ABS(BP74-C74),ABS(BQ74-C74),ABS(BR74-C74)),0),BP74,BQ74,BR74)</f>
        <v>86.4</v>
      </c>
      <c r="BJ74" s="1" cm="1">
        <f t="array" ref="BJ74">(INDEX(_xlfn._xlws.SORT(CHOOSE({1;2;3;4;5;6},BQ74,BR74,L74,AE74,BO74,BP74)),3) + INDEX(_xlfn._xlws.SORT(CHOOSE({1;2;3;4;5;6},BQ74,BR74,L74,AE74,BO74,BP74)),4))/2</f>
        <v>86.4</v>
      </c>
      <c r="BK74">
        <v>8.1359959815423508</v>
      </c>
      <c r="BL74" t="s">
        <v>6117</v>
      </c>
      <c r="BM74" s="1">
        <f>BK74*3*D74</f>
        <v>87.868756600657392</v>
      </c>
      <c r="BN74" s="1">
        <f>BM74-C74</f>
        <v>-0.33124339934261116</v>
      </c>
      <c r="BO74" s="1">
        <f>GK74*3*D74</f>
        <v>64.8</v>
      </c>
      <c r="BP74" s="1">
        <f>DO74*3*D74</f>
        <v>97.2</v>
      </c>
      <c r="BQ74" s="1">
        <f>FJ74*3*D74</f>
        <v>86.4</v>
      </c>
      <c r="BR74" s="1">
        <f>GL74*3*D74</f>
        <v>70.2</v>
      </c>
      <c r="BT74">
        <v>34.409999999999997</v>
      </c>
      <c r="BU74">
        <v>8.1999999999999993</v>
      </c>
      <c r="BV74" t="s">
        <v>5018</v>
      </c>
      <c r="BW74" t="s">
        <v>5019</v>
      </c>
      <c r="BX74" t="s">
        <v>5020</v>
      </c>
      <c r="BY74" t="s">
        <v>5257</v>
      </c>
      <c r="BZ74" t="s">
        <v>5258</v>
      </c>
      <c r="CA74" t="s">
        <v>2437</v>
      </c>
      <c r="CC74" t="s">
        <v>2758</v>
      </c>
      <c r="CD74" t="s">
        <v>2508</v>
      </c>
      <c r="CE74" t="s">
        <v>2440</v>
      </c>
      <c r="CG74" t="s">
        <v>2761</v>
      </c>
      <c r="CH74" t="s">
        <v>2510</v>
      </c>
      <c r="CI74" t="s">
        <v>2443</v>
      </c>
      <c r="CK74" t="s">
        <v>2795</v>
      </c>
      <c r="CL74" t="s">
        <v>2512</v>
      </c>
      <c r="CM74" t="s">
        <v>2446</v>
      </c>
      <c r="CO74" t="s">
        <v>2796</v>
      </c>
      <c r="CP74" t="s">
        <v>2514</v>
      </c>
      <c r="CQ74" t="s">
        <v>2449</v>
      </c>
      <c r="CS74" t="s">
        <v>2679</v>
      </c>
      <c r="CT74" t="s">
        <v>2524</v>
      </c>
      <c r="CV74">
        <v>9</v>
      </c>
      <c r="CW74">
        <v>9</v>
      </c>
      <c r="CX74">
        <v>9</v>
      </c>
      <c r="CY74">
        <v>9</v>
      </c>
      <c r="CZ74">
        <v>9</v>
      </c>
      <c r="DA74">
        <v>0.1</v>
      </c>
      <c r="DB74">
        <v>0.1</v>
      </c>
      <c r="DC74">
        <v>0.2</v>
      </c>
      <c r="DD74">
        <v>0.3</v>
      </c>
      <c r="DE74">
        <v>0.3</v>
      </c>
      <c r="DF74">
        <v>0.9</v>
      </c>
      <c r="DG74">
        <v>0.9</v>
      </c>
      <c r="DH74">
        <v>1.8</v>
      </c>
      <c r="DI74">
        <v>2.7</v>
      </c>
      <c r="DJ74">
        <v>2.7</v>
      </c>
      <c r="DK74">
        <v>8.1999999999999993</v>
      </c>
      <c r="DL74">
        <v>0</v>
      </c>
      <c r="DM74">
        <v>8.1999999999999993</v>
      </c>
      <c r="DN74">
        <v>8.4</v>
      </c>
      <c r="DO74">
        <f>AVERAGE(CV74:CZ74)</f>
        <v>9</v>
      </c>
      <c r="DQ74">
        <v>8</v>
      </c>
      <c r="DR74" t="s">
        <v>217</v>
      </c>
      <c r="DS74" t="s">
        <v>61</v>
      </c>
      <c r="DT74" t="s">
        <v>54</v>
      </c>
      <c r="DU74" t="s">
        <v>218</v>
      </c>
      <c r="DV74" t="s">
        <v>219</v>
      </c>
      <c r="DW74" t="s">
        <v>3836</v>
      </c>
      <c r="DX74" t="s">
        <v>3858</v>
      </c>
      <c r="DY74" t="s">
        <v>4233</v>
      </c>
      <c r="DZ74" t="s">
        <v>4253</v>
      </c>
      <c r="EA74" t="s">
        <v>3860</v>
      </c>
      <c r="EB74" t="s">
        <v>3840</v>
      </c>
      <c r="EC74" t="s">
        <v>4254</v>
      </c>
      <c r="ED74" t="s">
        <v>4254</v>
      </c>
      <c r="EE74" t="s">
        <v>3843</v>
      </c>
      <c r="EF74" t="s">
        <v>3844</v>
      </c>
      <c r="EG74" t="s">
        <v>4255</v>
      </c>
      <c r="EH74" t="s">
        <v>4255</v>
      </c>
      <c r="EI74" t="s">
        <v>4256</v>
      </c>
      <c r="EJ74" t="s">
        <v>3848</v>
      </c>
      <c r="EK74" t="s">
        <v>4257</v>
      </c>
      <c r="EL74" t="s">
        <v>4257</v>
      </c>
      <c r="EM74" t="s">
        <v>3989</v>
      </c>
      <c r="EN74" t="s">
        <v>3852</v>
      </c>
      <c r="EO74" t="s">
        <v>4258</v>
      </c>
      <c r="EP74" t="s">
        <v>4258</v>
      </c>
      <c r="EQ74">
        <v>8</v>
      </c>
      <c r="ER74">
        <v>8</v>
      </c>
      <c r="ES74">
        <v>8</v>
      </c>
      <c r="ET74">
        <v>8</v>
      </c>
      <c r="EU74">
        <v>8</v>
      </c>
      <c r="EV74">
        <v>0.1</v>
      </c>
      <c r="EW74">
        <v>0.1</v>
      </c>
      <c r="EX74">
        <v>0.2</v>
      </c>
      <c r="EY74">
        <v>0.3</v>
      </c>
      <c r="EZ74">
        <v>0.3</v>
      </c>
      <c r="FA74">
        <f>EV74*EQ74</f>
        <v>0.8</v>
      </c>
      <c r="FB74">
        <f>EW74*ER74</f>
        <v>0.8</v>
      </c>
      <c r="FC74">
        <f>EX74*ES74</f>
        <v>1.6</v>
      </c>
      <c r="FD74">
        <f>EY74*ET74</f>
        <v>2.4</v>
      </c>
      <c r="FE74">
        <f>EZ74*EU74</f>
        <v>2.4</v>
      </c>
      <c r="FF74">
        <v>16</v>
      </c>
      <c r="FG74">
        <v>0</v>
      </c>
      <c r="FH74">
        <v>8</v>
      </c>
      <c r="FI74">
        <f>FA74+FB74+FC74+FD74+FE74</f>
        <v>8</v>
      </c>
      <c r="FJ74">
        <f>MEDIAN(EQ74:EU74)</f>
        <v>8</v>
      </c>
      <c r="FL74">
        <v>39.14</v>
      </c>
      <c r="FM74">
        <v>5.9</v>
      </c>
      <c r="FN74" t="s">
        <v>957</v>
      </c>
      <c r="FO74" t="s">
        <v>958</v>
      </c>
      <c r="FP74" t="s">
        <v>807</v>
      </c>
      <c r="FQ74" t="s">
        <v>959</v>
      </c>
      <c r="FR74" t="s">
        <v>704</v>
      </c>
      <c r="FS74">
        <v>6.5</v>
      </c>
      <c r="FT74">
        <v>8</v>
      </c>
      <c r="FU74">
        <v>7</v>
      </c>
      <c r="FV74">
        <v>6</v>
      </c>
      <c r="FW74">
        <v>4.5</v>
      </c>
      <c r="FX74">
        <v>0.1</v>
      </c>
      <c r="FY74">
        <v>0.1</v>
      </c>
      <c r="FZ74">
        <v>0.2</v>
      </c>
      <c r="GA74">
        <v>0.3</v>
      </c>
      <c r="GB74">
        <v>0.3</v>
      </c>
      <c r="GC74">
        <f>FS74*FX74</f>
        <v>0.65</v>
      </c>
      <c r="GD74">
        <f>FT74*FY74</f>
        <v>0.8</v>
      </c>
      <c r="GE74">
        <f>FU74*FZ74</f>
        <v>1.4000000000000001</v>
      </c>
      <c r="GF74">
        <f>FV74*GA74</f>
        <v>1.7999999999999998</v>
      </c>
      <c r="GG74">
        <f>FW74*GB74</f>
        <v>1.3499999999999999</v>
      </c>
      <c r="GH74">
        <v>5.95</v>
      </c>
      <c r="GI74">
        <v>-0.05</v>
      </c>
      <c r="GJ74">
        <v>5.9</v>
      </c>
      <c r="GK74">
        <f>GC74+GD74+GE74+GF74+GG74</f>
        <v>6</v>
      </c>
      <c r="GL74">
        <f>MEDIAN(FS74:FW74)</f>
        <v>6.5</v>
      </c>
    </row>
    <row r="75" spans="1:194" hidden="1" x14ac:dyDescent="0.25">
      <c r="A75">
        <v>74</v>
      </c>
      <c r="B75" t="s">
        <v>2</v>
      </c>
      <c r="C75" s="4">
        <v>76.5</v>
      </c>
      <c r="D75">
        <v>3</v>
      </c>
      <c r="E75" s="1">
        <f>C75/3/D75</f>
        <v>8.5</v>
      </c>
      <c r="G75">
        <v>70.7</v>
      </c>
      <c r="H75">
        <v>8.1999999999999993</v>
      </c>
      <c r="I75">
        <f>H75*D75*3</f>
        <v>73.8</v>
      </c>
      <c r="J75">
        <v>18.420000000000002</v>
      </c>
      <c r="K75">
        <v>8.6999999999999993</v>
      </c>
      <c r="L75" s="3">
        <f>K75*3*D75</f>
        <v>78.3</v>
      </c>
      <c r="M75">
        <v>5.03</v>
      </c>
      <c r="N75">
        <v>5</v>
      </c>
      <c r="O75">
        <f>N75*D75*3</f>
        <v>45</v>
      </c>
      <c r="P75" s="5">
        <v>8.5</v>
      </c>
      <c r="Q75" s="5">
        <f>P75*D75*3</f>
        <v>76.5</v>
      </c>
      <c r="S75" t="s">
        <v>6211</v>
      </c>
      <c r="T75">
        <v>7</v>
      </c>
      <c r="U75" s="8">
        <f>T75*D75*3</f>
        <v>63</v>
      </c>
      <c r="V75">
        <v>33.17</v>
      </c>
      <c r="W75">
        <v>8</v>
      </c>
      <c r="X75" s="5">
        <f>W75*D75*3</f>
        <v>72</v>
      </c>
      <c r="Y75">
        <v>8.98</v>
      </c>
      <c r="Z75">
        <v>4</v>
      </c>
      <c r="AA75">
        <f>Z75*D75*3</f>
        <v>36</v>
      </c>
      <c r="AC75">
        <v>51.53</v>
      </c>
      <c r="AD75">
        <v>7.1</v>
      </c>
      <c r="AE75" s="1">
        <f>AD75*3*D75</f>
        <v>63.899999999999991</v>
      </c>
      <c r="AF75">
        <v>11.95</v>
      </c>
      <c r="AG75" s="5">
        <v>7</v>
      </c>
      <c r="AH75" s="5">
        <f>AG75*D75*3</f>
        <v>63</v>
      </c>
      <c r="AI75" s="13"/>
      <c r="AJ75">
        <v>32.5</v>
      </c>
      <c r="AK75" s="8">
        <f>AJ75*D75*3</f>
        <v>292.5</v>
      </c>
      <c r="AL75" s="13"/>
      <c r="AM75">
        <v>32.1</v>
      </c>
      <c r="AN75">
        <v>7.8</v>
      </c>
      <c r="AO75" s="8">
        <f>AN75*D75*3</f>
        <v>70.199999999999989</v>
      </c>
      <c r="AP75">
        <v>14.89</v>
      </c>
      <c r="AQ75">
        <v>10</v>
      </c>
      <c r="AR75">
        <f>AQ75*D75*3</f>
        <v>90</v>
      </c>
      <c r="AU75">
        <f>AT75*D75*3</f>
        <v>0</v>
      </c>
      <c r="AW75">
        <v>24.59</v>
      </c>
      <c r="AX75">
        <v>9.9</v>
      </c>
      <c r="AY75">
        <f>AX75*D75*3</f>
        <v>89.100000000000009</v>
      </c>
      <c r="AZ75">
        <v>24.59</v>
      </c>
      <c r="BA75">
        <v>9.1999999999999993</v>
      </c>
      <c r="BB75">
        <f>BA75*D75*3</f>
        <v>82.8</v>
      </c>
      <c r="BD75">
        <v>7.6</v>
      </c>
      <c r="BE75">
        <f>BD75*D75*3</f>
        <v>68.399999999999991</v>
      </c>
      <c r="BG75" s="10"/>
      <c r="BH75" s="1">
        <f>CHOOSE(MATCH(MIN(ABS(BP75-C75),ABS(BQ75-C75),ABS(BR75-C75)),CHOOSE({1;2;3},ABS(BP75-C75),ABS(BQ75-C75),ABS(BR75-C75)),0),BP75,BQ75,BR75)</f>
        <v>81</v>
      </c>
      <c r="BJ75" s="1" cm="1">
        <f t="array" ref="BJ75">(INDEX(_xlfn._xlws.SORT(CHOOSE({1;2;3;4;5;6},BQ75,BR75,L75,AE75,BO75,BP75)),3) + INDEX(_xlfn._xlws.SORT(CHOOSE({1;2;3;4;5;6},BQ75,BR75,L75,AE75,BO75,BP75)),4))/2</f>
        <v>70.650000000000006</v>
      </c>
      <c r="BK75">
        <v>8.49220892436988</v>
      </c>
      <c r="BL75" t="s">
        <v>6117</v>
      </c>
      <c r="BM75" s="1">
        <f>BK75*3*D75</f>
        <v>76.429880319328916</v>
      </c>
      <c r="BN75" s="1">
        <f>BM75-C75</f>
        <v>-7.0119680671083984E-2</v>
      </c>
      <c r="BO75" s="1">
        <f>GK75*3*D75</f>
        <v>69.300000000000011</v>
      </c>
      <c r="BP75" s="1">
        <f>DO75*3*D75</f>
        <v>81</v>
      </c>
      <c r="BQ75" s="1">
        <f>FJ75*3*D75</f>
        <v>63</v>
      </c>
      <c r="BR75" s="1">
        <f>GL75*3*D75</f>
        <v>72</v>
      </c>
      <c r="BT75">
        <v>70.7</v>
      </c>
      <c r="BU75">
        <v>8.1999999999999993</v>
      </c>
      <c r="BV75" t="s">
        <v>5259</v>
      </c>
      <c r="BW75" t="s">
        <v>4987</v>
      </c>
      <c r="BX75" t="s">
        <v>5260</v>
      </c>
      <c r="BY75" t="s">
        <v>5261</v>
      </c>
      <c r="BZ75" t="s">
        <v>5262</v>
      </c>
      <c r="CA75" t="s">
        <v>2550</v>
      </c>
      <c r="CC75" t="s">
        <v>2634</v>
      </c>
      <c r="CD75" t="s">
        <v>2635</v>
      </c>
      <c r="CE75" t="s">
        <v>2565</v>
      </c>
      <c r="CG75" t="s">
        <v>2636</v>
      </c>
      <c r="CH75" t="s">
        <v>2637</v>
      </c>
      <c r="CI75" t="s">
        <v>2496</v>
      </c>
      <c r="CK75" t="s">
        <v>2927</v>
      </c>
      <c r="CL75" t="s">
        <v>2928</v>
      </c>
      <c r="CM75" t="s">
        <v>2670</v>
      </c>
      <c r="CO75" t="s">
        <v>2929</v>
      </c>
      <c r="CP75" t="s">
        <v>2869</v>
      </c>
      <c r="CQ75" t="s">
        <v>2630</v>
      </c>
      <c r="CR75" t="s">
        <v>2561</v>
      </c>
      <c r="CS75" t="s">
        <v>2645</v>
      </c>
      <c r="CT75" t="s">
        <v>2930</v>
      </c>
      <c r="CV75">
        <v>9</v>
      </c>
      <c r="CW75">
        <v>9</v>
      </c>
      <c r="CX75">
        <v>9</v>
      </c>
      <c r="CY75">
        <v>9</v>
      </c>
      <c r="CZ75">
        <v>9</v>
      </c>
      <c r="DA75">
        <v>0.1</v>
      </c>
      <c r="DB75">
        <v>0.1</v>
      </c>
      <c r="DC75">
        <v>0.2</v>
      </c>
      <c r="DD75">
        <v>0.3</v>
      </c>
      <c r="DE75">
        <v>0.3</v>
      </c>
      <c r="DF75">
        <v>0.9</v>
      </c>
      <c r="DG75">
        <v>0.9</v>
      </c>
      <c r="DH75">
        <v>1.8</v>
      </c>
      <c r="DI75">
        <v>2.7</v>
      </c>
      <c r="DJ75">
        <v>2.7</v>
      </c>
      <c r="DK75">
        <v>8.1999999999999993</v>
      </c>
      <c r="DL75">
        <v>0</v>
      </c>
      <c r="DM75">
        <v>8.1999999999999993</v>
      </c>
      <c r="DN75">
        <v>8.6999999999999993</v>
      </c>
      <c r="DO75">
        <f>AVERAGE(CV75:CZ75)</f>
        <v>9</v>
      </c>
      <c r="DQ75" t="s">
        <v>27</v>
      </c>
      <c r="DR75" t="s">
        <v>28</v>
      </c>
      <c r="DS75" t="s">
        <v>61</v>
      </c>
      <c r="DT75" t="s">
        <v>90</v>
      </c>
      <c r="DU75" t="s">
        <v>112</v>
      </c>
      <c r="DV75" t="s">
        <v>113</v>
      </c>
      <c r="DW75" t="s">
        <v>3769</v>
      </c>
      <c r="DX75" t="s">
        <v>3770</v>
      </c>
      <c r="DY75" t="s">
        <v>3963</v>
      </c>
      <c r="DZ75" t="s">
        <v>3963</v>
      </c>
      <c r="EA75" t="s">
        <v>3860</v>
      </c>
      <c r="EB75" t="s">
        <v>3964</v>
      </c>
      <c r="EC75" t="s">
        <v>3965</v>
      </c>
      <c r="ED75" t="s">
        <v>3965</v>
      </c>
      <c r="EE75" t="s">
        <v>3966</v>
      </c>
      <c r="EF75" t="s">
        <v>4020</v>
      </c>
      <c r="EG75" t="s">
        <v>3968</v>
      </c>
      <c r="EH75" t="s">
        <v>3968</v>
      </c>
      <c r="EI75" t="s">
        <v>4021</v>
      </c>
      <c r="EJ75" t="s">
        <v>4022</v>
      </c>
      <c r="EK75" t="s">
        <v>4023</v>
      </c>
      <c r="EL75" t="s">
        <v>4023</v>
      </c>
      <c r="EM75" t="s">
        <v>4024</v>
      </c>
      <c r="EN75" t="s">
        <v>4025</v>
      </c>
      <c r="EO75" t="s">
        <v>4026</v>
      </c>
      <c r="EP75" t="s">
        <v>4026</v>
      </c>
      <c r="EQ75">
        <v>7</v>
      </c>
      <c r="ER75">
        <v>8</v>
      </c>
      <c r="ES75">
        <v>7</v>
      </c>
      <c r="ET75">
        <v>7</v>
      </c>
      <c r="EU75">
        <v>7</v>
      </c>
      <c r="EV75">
        <v>0.1</v>
      </c>
      <c r="EW75">
        <v>0.1</v>
      </c>
      <c r="EX75">
        <v>0.2</v>
      </c>
      <c r="EY75">
        <v>0.3</v>
      </c>
      <c r="EZ75">
        <v>0.3</v>
      </c>
      <c r="FA75">
        <f>EV75*EQ75</f>
        <v>0.70000000000000007</v>
      </c>
      <c r="FB75">
        <f>EW75*ER75</f>
        <v>0.8</v>
      </c>
      <c r="FC75">
        <f>EX75*ES75</f>
        <v>1.4000000000000001</v>
      </c>
      <c r="FD75">
        <f>EY75*ET75</f>
        <v>2.1</v>
      </c>
      <c r="FE75">
        <f>EZ75*EU75</f>
        <v>2.1</v>
      </c>
      <c r="FF75">
        <v>14</v>
      </c>
      <c r="FG75">
        <v>0</v>
      </c>
      <c r="FH75">
        <v>14</v>
      </c>
      <c r="FI75">
        <f>FA75+FB75+FC75+FD75+FE75</f>
        <v>7.1</v>
      </c>
      <c r="FJ75">
        <f>MEDIAN(EQ75:EU75)</f>
        <v>7</v>
      </c>
      <c r="FL75">
        <v>71.55</v>
      </c>
      <c r="FM75">
        <v>7.5</v>
      </c>
      <c r="FN75" t="s">
        <v>960</v>
      </c>
      <c r="FO75" t="s">
        <v>961</v>
      </c>
      <c r="FP75" t="s">
        <v>962</v>
      </c>
      <c r="FQ75" t="s">
        <v>963</v>
      </c>
      <c r="FR75" t="s">
        <v>964</v>
      </c>
      <c r="FS75">
        <v>8</v>
      </c>
      <c r="FT75">
        <v>9</v>
      </c>
      <c r="FU75">
        <v>7.5</v>
      </c>
      <c r="FV75">
        <v>8.5</v>
      </c>
      <c r="FW75">
        <v>6.5</v>
      </c>
      <c r="FX75">
        <v>0.1</v>
      </c>
      <c r="FY75">
        <v>0.1</v>
      </c>
      <c r="FZ75">
        <v>0.2</v>
      </c>
      <c r="GA75">
        <v>0.3</v>
      </c>
      <c r="GB75">
        <v>0.3</v>
      </c>
      <c r="GC75">
        <f>FS75*FX75</f>
        <v>0.8</v>
      </c>
      <c r="GD75">
        <f>FT75*FY75</f>
        <v>0.9</v>
      </c>
      <c r="GE75">
        <f>FU75*FZ75</f>
        <v>1.5</v>
      </c>
      <c r="GF75">
        <f>FV75*GA75</f>
        <v>2.5499999999999998</v>
      </c>
      <c r="GG75">
        <f>FW75*GB75</f>
        <v>1.95</v>
      </c>
      <c r="GH75">
        <v>7.7</v>
      </c>
      <c r="GI75">
        <v>-0.2</v>
      </c>
      <c r="GJ75">
        <v>7.5</v>
      </c>
      <c r="GK75">
        <f>GC75+GD75+GE75+GF75+GG75</f>
        <v>7.7</v>
      </c>
      <c r="GL75">
        <f>MEDIAN(FS75:FW75)</f>
        <v>8</v>
      </c>
    </row>
    <row r="76" spans="1:194" hidden="1" x14ac:dyDescent="0.25">
      <c r="A76">
        <v>75</v>
      </c>
      <c r="B76" t="s">
        <v>2</v>
      </c>
      <c r="C76" s="4">
        <v>81.599999999999994</v>
      </c>
      <c r="D76">
        <v>3.2</v>
      </c>
      <c r="E76" s="1">
        <f>C76/3/D76</f>
        <v>8.5</v>
      </c>
      <c r="G76">
        <v>41.36</v>
      </c>
      <c r="H76">
        <v>5.5</v>
      </c>
      <c r="I76">
        <f>H76*D76*3</f>
        <v>52.800000000000004</v>
      </c>
      <c r="J76">
        <v>14.63</v>
      </c>
      <c r="K76">
        <v>8.6999999999999993</v>
      </c>
      <c r="L76" s="3">
        <f>K76*3*D76</f>
        <v>83.52</v>
      </c>
      <c r="M76">
        <v>5.97</v>
      </c>
      <c r="N76">
        <v>3</v>
      </c>
      <c r="O76">
        <f>N76*D76*3</f>
        <v>28.800000000000004</v>
      </c>
      <c r="P76" s="5">
        <v>6.5</v>
      </c>
      <c r="Q76" s="5">
        <f>P76*D76*3</f>
        <v>62.400000000000006</v>
      </c>
      <c r="S76" t="s">
        <v>6212</v>
      </c>
      <c r="T76">
        <v>4.3</v>
      </c>
      <c r="U76" s="8">
        <f>T76*D76*3</f>
        <v>41.28</v>
      </c>
      <c r="V76">
        <v>33.65</v>
      </c>
      <c r="W76">
        <v>7.4</v>
      </c>
      <c r="X76" s="5">
        <f>W76*D76*3</f>
        <v>71.040000000000006</v>
      </c>
      <c r="Y76">
        <v>9.15</v>
      </c>
      <c r="Z76">
        <v>6</v>
      </c>
      <c r="AA76">
        <f>Z76*D76*3</f>
        <v>57.600000000000009</v>
      </c>
      <c r="AC76">
        <v>47.56</v>
      </c>
      <c r="AD76">
        <v>8</v>
      </c>
      <c r="AE76" s="1">
        <f>AD76*3*D76</f>
        <v>76.800000000000011</v>
      </c>
      <c r="AF76">
        <v>12.14</v>
      </c>
      <c r="AG76" s="5">
        <v>7</v>
      </c>
      <c r="AH76" s="5">
        <f>AG76*D76*3</f>
        <v>67.2</v>
      </c>
      <c r="AI76" s="13"/>
      <c r="AK76" s="8">
        <f>AJ76*D76*3</f>
        <v>0</v>
      </c>
      <c r="AL76" s="13"/>
      <c r="AM76">
        <v>32.32</v>
      </c>
      <c r="AN76">
        <v>7.3</v>
      </c>
      <c r="AO76" s="8">
        <f>AN76*D76*3</f>
        <v>70.08</v>
      </c>
      <c r="AP76">
        <v>15.34</v>
      </c>
      <c r="AQ76">
        <v>10</v>
      </c>
      <c r="AR76">
        <f>AQ76*D76*3</f>
        <v>96</v>
      </c>
      <c r="AT76">
        <v>8.5</v>
      </c>
      <c r="AU76">
        <f>AT76*D76*3</f>
        <v>81.600000000000009</v>
      </c>
      <c r="AW76">
        <v>24.93</v>
      </c>
      <c r="AX76">
        <v>9.9</v>
      </c>
      <c r="AY76">
        <f>AX76*D76*3</f>
        <v>95.04</v>
      </c>
      <c r="AZ76">
        <v>24.93</v>
      </c>
      <c r="BA76">
        <v>8.4</v>
      </c>
      <c r="BB76">
        <f>BA76*D76*3</f>
        <v>80.640000000000015</v>
      </c>
      <c r="BD76">
        <v>7.3</v>
      </c>
      <c r="BE76">
        <f>BD76*D76*3</f>
        <v>70.08</v>
      </c>
      <c r="BG76" s="10"/>
      <c r="BH76" s="1">
        <f>CHOOSE(MATCH(MIN(ABS(BP76-C76),ABS(BQ76-C76),ABS(BR76-C76)),CHOOSE({1;2;3},ABS(BP76-C76),ABS(BQ76-C76),ABS(BR76-C76)),0),BP76,BQ76,BR76)</f>
        <v>76.800000000000011</v>
      </c>
      <c r="BJ76" s="1" cm="1">
        <f t="array" ref="BJ76">(INDEX(_xlfn._xlws.SORT(CHOOSE({1;2;3;4;5;6},BQ76,BR76,L76,AE76,BO76,BP76)),3) + INDEX(_xlfn._xlws.SORT(CHOOSE({1;2;3;4;5;6},BQ76,BR76,L76,AE76,BO76,BP76)),4))/2</f>
        <v>72</v>
      </c>
      <c r="BK76">
        <v>8.4387784943681297</v>
      </c>
      <c r="BL76" t="s">
        <v>6117</v>
      </c>
      <c r="BM76" s="1">
        <f>BK76*3*D76</f>
        <v>81.01227354593405</v>
      </c>
      <c r="BN76" s="1">
        <f>BM76-C76</f>
        <v>-0.58772645406594393</v>
      </c>
      <c r="BO76" s="1">
        <f>GK76*3*D76</f>
        <v>43.680000000000007</v>
      </c>
      <c r="BP76" s="1">
        <f>DO76*3*D76</f>
        <v>67.2</v>
      </c>
      <c r="BQ76" s="1">
        <f>FJ76*3*D76</f>
        <v>76.800000000000011</v>
      </c>
      <c r="BR76" s="1">
        <f>GL76*3*D76</f>
        <v>48</v>
      </c>
      <c r="BT76">
        <v>41.36</v>
      </c>
      <c r="BU76">
        <v>5.5</v>
      </c>
      <c r="BV76" t="s">
        <v>5263</v>
      </c>
      <c r="BW76" t="s">
        <v>5264</v>
      </c>
      <c r="BX76" t="s">
        <v>5265</v>
      </c>
      <c r="BY76" t="s">
        <v>5266</v>
      </c>
      <c r="BZ76" t="s">
        <v>5267</v>
      </c>
      <c r="CA76" t="s">
        <v>2931</v>
      </c>
      <c r="CB76" t="s">
        <v>2932</v>
      </c>
      <c r="CC76" t="s">
        <v>2933</v>
      </c>
      <c r="CD76" t="s">
        <v>2934</v>
      </c>
      <c r="CE76" t="s">
        <v>2440</v>
      </c>
      <c r="CG76" t="s">
        <v>2935</v>
      </c>
      <c r="CH76" t="s">
        <v>2936</v>
      </c>
      <c r="CI76" t="s">
        <v>2937</v>
      </c>
      <c r="CJ76" t="s">
        <v>2427</v>
      </c>
      <c r="CK76" t="s">
        <v>2938</v>
      </c>
      <c r="CL76" t="s">
        <v>2939</v>
      </c>
      <c r="CM76" t="s">
        <v>2940</v>
      </c>
      <c r="CN76" t="s">
        <v>2941</v>
      </c>
      <c r="CO76" t="s">
        <v>2942</v>
      </c>
      <c r="CP76" t="s">
        <v>2943</v>
      </c>
      <c r="CQ76" t="s">
        <v>2944</v>
      </c>
      <c r="CR76" t="s">
        <v>2944</v>
      </c>
      <c r="CS76" t="s">
        <v>2945</v>
      </c>
      <c r="CT76" t="s">
        <v>2946</v>
      </c>
      <c r="CV76">
        <v>7.5</v>
      </c>
      <c r="CW76">
        <v>9</v>
      </c>
      <c r="CX76">
        <v>7</v>
      </c>
      <c r="CY76">
        <v>6.5</v>
      </c>
      <c r="CZ76">
        <v>5</v>
      </c>
      <c r="DA76">
        <v>0.1</v>
      </c>
      <c r="DB76">
        <v>0.1</v>
      </c>
      <c r="DC76">
        <v>0.2</v>
      </c>
      <c r="DD76">
        <v>0.3</v>
      </c>
      <c r="DE76">
        <v>0.3</v>
      </c>
      <c r="DF76">
        <v>0.75</v>
      </c>
      <c r="DG76">
        <v>0.9</v>
      </c>
      <c r="DH76">
        <v>1.4</v>
      </c>
      <c r="DI76">
        <v>1.95</v>
      </c>
      <c r="DJ76">
        <v>1.5</v>
      </c>
      <c r="DK76">
        <v>5.5</v>
      </c>
      <c r="DL76">
        <v>0</v>
      </c>
      <c r="DM76">
        <v>5.5</v>
      </c>
      <c r="DN76">
        <v>8.6999999999999993</v>
      </c>
      <c r="DO76">
        <f>AVERAGE(CV76:CZ76)</f>
        <v>7</v>
      </c>
      <c r="DQ76" t="s">
        <v>27</v>
      </c>
      <c r="DR76" t="s">
        <v>33</v>
      </c>
      <c r="DS76" t="s">
        <v>170</v>
      </c>
      <c r="DT76" t="s">
        <v>98</v>
      </c>
      <c r="DU76" t="s">
        <v>171</v>
      </c>
      <c r="DV76" t="s">
        <v>172</v>
      </c>
      <c r="DW76" t="s">
        <v>3788</v>
      </c>
      <c r="DX76" t="s">
        <v>3789</v>
      </c>
      <c r="DY76" t="s">
        <v>3974</v>
      </c>
      <c r="DZ76" t="s">
        <v>3975</v>
      </c>
      <c r="EA76" t="s">
        <v>3934</v>
      </c>
      <c r="EB76" t="s">
        <v>3793</v>
      </c>
      <c r="EC76" t="s">
        <v>3976</v>
      </c>
      <c r="ED76" t="s">
        <v>4154</v>
      </c>
      <c r="EE76" t="s">
        <v>3978</v>
      </c>
      <c r="EF76" t="s">
        <v>3797</v>
      </c>
      <c r="EG76" t="s">
        <v>4155</v>
      </c>
      <c r="EH76" t="s">
        <v>4156</v>
      </c>
      <c r="EI76" t="s">
        <v>3981</v>
      </c>
      <c r="EJ76" t="s">
        <v>3800</v>
      </c>
      <c r="EK76" t="s">
        <v>3982</v>
      </c>
      <c r="EL76" t="s">
        <v>4157</v>
      </c>
      <c r="EM76" t="s">
        <v>4158</v>
      </c>
      <c r="EN76" t="s">
        <v>3803</v>
      </c>
      <c r="EO76" t="s">
        <v>3985</v>
      </c>
      <c r="EP76" t="s">
        <v>4159</v>
      </c>
      <c r="EQ76">
        <v>8</v>
      </c>
      <c r="ER76">
        <v>8</v>
      </c>
      <c r="ES76">
        <v>8</v>
      </c>
      <c r="ET76">
        <v>8</v>
      </c>
      <c r="EU76">
        <v>8</v>
      </c>
      <c r="EV76">
        <v>0.1</v>
      </c>
      <c r="EW76">
        <v>0.1</v>
      </c>
      <c r="EX76">
        <v>0.2</v>
      </c>
      <c r="EY76">
        <v>0.3</v>
      </c>
      <c r="EZ76">
        <v>0.3</v>
      </c>
      <c r="FA76">
        <f>EV76*EQ76</f>
        <v>0.8</v>
      </c>
      <c r="FB76">
        <f>EW76*ER76</f>
        <v>0.8</v>
      </c>
      <c r="FC76">
        <f>EX76*ES76</f>
        <v>1.6</v>
      </c>
      <c r="FD76">
        <f>EY76*ET76</f>
        <v>2.4</v>
      </c>
      <c r="FE76">
        <f>EZ76*EU76</f>
        <v>2.4</v>
      </c>
      <c r="FF76">
        <v>16</v>
      </c>
      <c r="FG76">
        <v>0</v>
      </c>
      <c r="FH76">
        <v>8</v>
      </c>
      <c r="FI76">
        <f>FA76+FB76+FC76+FD76+FE76</f>
        <v>8</v>
      </c>
      <c r="FJ76">
        <f>MEDIAN(EQ76:EU76)</f>
        <v>8</v>
      </c>
      <c r="FL76">
        <v>36.56</v>
      </c>
      <c r="FM76">
        <v>5</v>
      </c>
      <c r="FN76" t="s">
        <v>965</v>
      </c>
      <c r="FO76" t="s">
        <v>966</v>
      </c>
      <c r="FP76" t="s">
        <v>967</v>
      </c>
      <c r="FQ76" t="s">
        <v>968</v>
      </c>
      <c r="FR76" t="s">
        <v>969</v>
      </c>
      <c r="FS76">
        <v>5</v>
      </c>
      <c r="FT76">
        <v>7.5</v>
      </c>
      <c r="FU76">
        <v>6</v>
      </c>
      <c r="FV76">
        <v>4</v>
      </c>
      <c r="FW76">
        <v>3</v>
      </c>
      <c r="FX76">
        <v>0.1</v>
      </c>
      <c r="FY76">
        <v>0.1</v>
      </c>
      <c r="FZ76">
        <v>0.2</v>
      </c>
      <c r="GA76">
        <v>0.3</v>
      </c>
      <c r="GB76">
        <v>0.3</v>
      </c>
      <c r="GC76">
        <f>FS76*FX76</f>
        <v>0.5</v>
      </c>
      <c r="GD76">
        <f>FT76*FY76</f>
        <v>0.75</v>
      </c>
      <c r="GE76">
        <f>FU76*FZ76</f>
        <v>1.2000000000000002</v>
      </c>
      <c r="GF76">
        <f>FV76*GA76</f>
        <v>1.2</v>
      </c>
      <c r="GG76">
        <f>FW76*GB76</f>
        <v>0.89999999999999991</v>
      </c>
      <c r="GH76">
        <v>4.8</v>
      </c>
      <c r="GI76">
        <v>0.2</v>
      </c>
      <c r="GJ76">
        <v>5</v>
      </c>
      <c r="GK76">
        <f>GC76+GD76+GE76+GF76+GG76</f>
        <v>4.5500000000000007</v>
      </c>
      <c r="GL76">
        <f>MEDIAN(FS76:FW76)</f>
        <v>5</v>
      </c>
    </row>
    <row r="77" spans="1:194" hidden="1" x14ac:dyDescent="0.25">
      <c r="A77">
        <v>76</v>
      </c>
      <c r="B77" t="s">
        <v>2</v>
      </c>
      <c r="C77" s="4">
        <v>81</v>
      </c>
      <c r="D77">
        <v>3.6</v>
      </c>
      <c r="E77" s="1">
        <f>C77/3/D77</f>
        <v>7.5</v>
      </c>
      <c r="G77">
        <v>35.950000000000003</v>
      </c>
      <c r="H77">
        <v>8</v>
      </c>
      <c r="I77">
        <f>H77*D77*3</f>
        <v>86.4</v>
      </c>
      <c r="J77">
        <v>16.63</v>
      </c>
      <c r="K77">
        <v>9</v>
      </c>
      <c r="L77" s="3">
        <f>K77*3*D77</f>
        <v>97.2</v>
      </c>
      <c r="M77">
        <v>5.05</v>
      </c>
      <c r="N77">
        <v>5</v>
      </c>
      <c r="O77">
        <f>N77*D77*3</f>
        <v>54</v>
      </c>
      <c r="P77" s="5">
        <v>8.5</v>
      </c>
      <c r="Q77" s="5">
        <f>P77*D77*3</f>
        <v>91.800000000000011</v>
      </c>
      <c r="S77" t="s">
        <v>6213</v>
      </c>
      <c r="T77">
        <v>8.1999999999999993</v>
      </c>
      <c r="U77" s="8">
        <f>T77*D77*3</f>
        <v>88.56</v>
      </c>
      <c r="V77">
        <v>32.07</v>
      </c>
      <c r="W77">
        <v>8.4</v>
      </c>
      <c r="X77" s="5">
        <f>W77*D77*3</f>
        <v>90.72</v>
      </c>
      <c r="Y77">
        <v>11.04</v>
      </c>
      <c r="Z77">
        <v>7.8</v>
      </c>
      <c r="AA77">
        <f>Z77*D77*3</f>
        <v>84.24</v>
      </c>
      <c r="AC77">
        <v>46.38</v>
      </c>
      <c r="AD77">
        <v>7.9</v>
      </c>
      <c r="AE77" s="1">
        <f>AD77*3*D77</f>
        <v>85.320000000000007</v>
      </c>
      <c r="AF77">
        <v>11.88</v>
      </c>
      <c r="AG77" s="5">
        <v>7</v>
      </c>
      <c r="AH77" s="5">
        <f>AG77*D77*3</f>
        <v>75.599999999999994</v>
      </c>
      <c r="AI77" s="13"/>
      <c r="AJ77">
        <v>7</v>
      </c>
      <c r="AK77" s="8">
        <f>AJ77*D77*3</f>
        <v>75.599999999999994</v>
      </c>
      <c r="AL77" s="13"/>
      <c r="AM77">
        <v>30.96</v>
      </c>
      <c r="AN77">
        <v>7</v>
      </c>
      <c r="AO77" s="8">
        <f>AN77*D77*3</f>
        <v>75.599999999999994</v>
      </c>
      <c r="AP77">
        <v>13.11</v>
      </c>
      <c r="AQ77">
        <v>10</v>
      </c>
      <c r="AR77">
        <f>AQ77*D77*3</f>
        <v>108</v>
      </c>
      <c r="AT77">
        <v>9</v>
      </c>
      <c r="AU77">
        <f>AT77*D77*3</f>
        <v>97.199999999999989</v>
      </c>
      <c r="AW77">
        <v>24.96</v>
      </c>
      <c r="AX77">
        <v>9.3000000000000007</v>
      </c>
      <c r="AY77">
        <f>AX77*D77*3</f>
        <v>100.44000000000001</v>
      </c>
      <c r="AZ77">
        <v>24.96</v>
      </c>
      <c r="BA77">
        <v>9</v>
      </c>
      <c r="BB77">
        <f>BA77*D77*3</f>
        <v>97.199999999999989</v>
      </c>
      <c r="BD77">
        <v>9</v>
      </c>
      <c r="BE77">
        <f>BD77*D77*3</f>
        <v>97.199999999999989</v>
      </c>
      <c r="BG77" s="10"/>
      <c r="BH77" s="1">
        <f>CHOOSE(MATCH(MIN(ABS(BP77-C77),ABS(BQ77-C77),ABS(BR77-C77)),CHOOSE({1;2;3},ABS(BP77-C77),ABS(BQ77-C77),ABS(BR77-C77)),0),BP77,BQ77,BR77)</f>
        <v>86.4</v>
      </c>
      <c r="BJ77" s="1" cm="1">
        <f t="array" ref="BJ77">(INDEX(_xlfn._xlws.SORT(CHOOSE({1;2;3;4;5;6},BQ77,BR77,L77,AE77,BO77,BP77)),3) + INDEX(_xlfn._xlws.SORT(CHOOSE({1;2;3;4;5;6},BQ77,BR77,L77,AE77,BO77,BP77)),4))/2</f>
        <v>85.860000000000014</v>
      </c>
      <c r="BK77">
        <v>7.4896701601425502</v>
      </c>
      <c r="BL77" t="s">
        <v>6117</v>
      </c>
      <c r="BM77" s="1">
        <f>BK77*3*D77</f>
        <v>80.888437729539532</v>
      </c>
      <c r="BN77" s="1">
        <f>BM77-C77</f>
        <v>-0.11156227046046752</v>
      </c>
      <c r="BO77" s="1">
        <f>GK77*3*D77</f>
        <v>62.639999999999993</v>
      </c>
      <c r="BP77" s="1">
        <f>DO77*3*D77</f>
        <v>97.2</v>
      </c>
      <c r="BQ77" s="1">
        <f>FJ77*3*D77</f>
        <v>86.4</v>
      </c>
      <c r="BR77" s="1">
        <f>GL77*3*D77</f>
        <v>64.8</v>
      </c>
      <c r="BT77">
        <v>35.950000000000003</v>
      </c>
      <c r="BU77">
        <v>8</v>
      </c>
      <c r="BV77" t="s">
        <v>5032</v>
      </c>
      <c r="BW77" t="s">
        <v>5033</v>
      </c>
      <c r="BX77" t="s">
        <v>5034</v>
      </c>
      <c r="BY77" t="s">
        <v>5268</v>
      </c>
      <c r="BZ77" t="s">
        <v>5036</v>
      </c>
      <c r="CA77" t="s">
        <v>2437</v>
      </c>
      <c r="CC77" t="s">
        <v>2438</v>
      </c>
      <c r="CD77" t="s">
        <v>2439</v>
      </c>
      <c r="CE77" t="s">
        <v>2440</v>
      </c>
      <c r="CG77" t="s">
        <v>2441</v>
      </c>
      <c r="CH77" t="s">
        <v>2442</v>
      </c>
      <c r="CI77" t="s">
        <v>2535</v>
      </c>
      <c r="CK77" t="s">
        <v>2444</v>
      </c>
      <c r="CL77" t="s">
        <v>2445</v>
      </c>
      <c r="CM77" t="s">
        <v>2446</v>
      </c>
      <c r="CO77" t="s">
        <v>2447</v>
      </c>
      <c r="CP77" t="s">
        <v>2448</v>
      </c>
      <c r="CQ77" t="s">
        <v>2666</v>
      </c>
      <c r="CS77" t="s">
        <v>2450</v>
      </c>
      <c r="CT77" t="s">
        <v>2451</v>
      </c>
      <c r="CV77">
        <v>9</v>
      </c>
      <c r="CW77">
        <v>9</v>
      </c>
      <c r="CX77">
        <v>9</v>
      </c>
      <c r="CY77">
        <v>9</v>
      </c>
      <c r="CZ77">
        <v>9</v>
      </c>
      <c r="DA77">
        <v>0.1</v>
      </c>
      <c r="DB77">
        <v>0.1</v>
      </c>
      <c r="DC77">
        <v>0.2</v>
      </c>
      <c r="DD77">
        <v>0.3</v>
      </c>
      <c r="DE77">
        <v>0.3</v>
      </c>
      <c r="DF77">
        <v>0.9</v>
      </c>
      <c r="DG77">
        <v>0.9</v>
      </c>
      <c r="DH77">
        <v>1.8</v>
      </c>
      <c r="DI77">
        <v>2.7</v>
      </c>
      <c r="DJ77">
        <v>2.7</v>
      </c>
      <c r="DK77">
        <v>8</v>
      </c>
      <c r="DL77">
        <v>0</v>
      </c>
      <c r="DM77">
        <v>8</v>
      </c>
      <c r="DN77">
        <v>9</v>
      </c>
      <c r="DO77">
        <f>AVERAGE(CV77:CZ77)</f>
        <v>9</v>
      </c>
      <c r="DQ77">
        <v>15</v>
      </c>
      <c r="DR77" t="s">
        <v>38</v>
      </c>
      <c r="DS77" t="s">
        <v>29</v>
      </c>
      <c r="DT77" t="s">
        <v>180</v>
      </c>
      <c r="DU77" t="s">
        <v>58</v>
      </c>
      <c r="DV77" t="s">
        <v>220</v>
      </c>
      <c r="DW77" t="s">
        <v>3805</v>
      </c>
      <c r="DX77" t="s">
        <v>3770</v>
      </c>
      <c r="DY77" t="s">
        <v>3771</v>
      </c>
      <c r="DZ77" t="s">
        <v>3772</v>
      </c>
      <c r="EA77" t="s">
        <v>3806</v>
      </c>
      <c r="EB77" t="s">
        <v>3807</v>
      </c>
      <c r="EC77" t="s">
        <v>3775</v>
      </c>
      <c r="ED77" t="s">
        <v>3776</v>
      </c>
      <c r="EE77" t="s">
        <v>3819</v>
      </c>
      <c r="EF77" t="s">
        <v>4104</v>
      </c>
      <c r="EG77" t="s">
        <v>3810</v>
      </c>
      <c r="EH77" t="s">
        <v>3811</v>
      </c>
      <c r="EI77" t="s">
        <v>3820</v>
      </c>
      <c r="EJ77" t="s">
        <v>3813</v>
      </c>
      <c r="EK77" t="s">
        <v>3821</v>
      </c>
      <c r="EL77" t="s">
        <v>3822</v>
      </c>
      <c r="EM77" t="s">
        <v>3816</v>
      </c>
      <c r="EN77" t="s">
        <v>3931</v>
      </c>
      <c r="EO77" t="s">
        <v>4259</v>
      </c>
      <c r="EP77" t="s">
        <v>4260</v>
      </c>
      <c r="EQ77">
        <v>7</v>
      </c>
      <c r="ER77">
        <v>8</v>
      </c>
      <c r="ES77">
        <v>8</v>
      </c>
      <c r="ET77">
        <v>8</v>
      </c>
      <c r="EU77">
        <v>8</v>
      </c>
      <c r="EV77">
        <v>0.1</v>
      </c>
      <c r="EW77">
        <v>0.1</v>
      </c>
      <c r="EX77">
        <v>0.2</v>
      </c>
      <c r="EY77">
        <v>0.3</v>
      </c>
      <c r="EZ77">
        <v>0.3</v>
      </c>
      <c r="FA77">
        <f>EV77*EQ77</f>
        <v>0.70000000000000007</v>
      </c>
      <c r="FB77">
        <f>EW77*ER77</f>
        <v>0.8</v>
      </c>
      <c r="FC77">
        <f>EX77*ES77</f>
        <v>1.6</v>
      </c>
      <c r="FD77">
        <f>EY77*ET77</f>
        <v>2.4</v>
      </c>
      <c r="FE77">
        <f>EZ77*EU77</f>
        <v>2.4</v>
      </c>
      <c r="FF77">
        <v>15</v>
      </c>
      <c r="FG77">
        <v>0</v>
      </c>
      <c r="FH77">
        <v>15</v>
      </c>
      <c r="FI77">
        <f>FA77+FB77+FC77+FD77+FE77</f>
        <v>7.9</v>
      </c>
      <c r="FJ77">
        <f>MEDIAN(EQ77:EU77)</f>
        <v>8</v>
      </c>
      <c r="FL77">
        <v>36.770000000000003</v>
      </c>
      <c r="FM77">
        <v>8.5</v>
      </c>
      <c r="FN77" t="s">
        <v>970</v>
      </c>
      <c r="FO77" t="s">
        <v>971</v>
      </c>
      <c r="FP77" t="s">
        <v>972</v>
      </c>
      <c r="FQ77" t="s">
        <v>973</v>
      </c>
      <c r="FR77" t="s">
        <v>974</v>
      </c>
      <c r="FS77">
        <v>5</v>
      </c>
      <c r="FT77">
        <v>8</v>
      </c>
      <c r="FU77">
        <v>6</v>
      </c>
      <c r="FV77">
        <v>7</v>
      </c>
      <c r="FW77">
        <v>4</v>
      </c>
      <c r="FX77">
        <v>0.1</v>
      </c>
      <c r="FY77">
        <v>0.1</v>
      </c>
      <c r="FZ77">
        <v>0.2</v>
      </c>
      <c r="GA77">
        <v>0.3</v>
      </c>
      <c r="GB77">
        <v>0.3</v>
      </c>
      <c r="GC77">
        <f>FS77*FX77</f>
        <v>0.5</v>
      </c>
      <c r="GD77">
        <f>FT77*FY77</f>
        <v>0.8</v>
      </c>
      <c r="GE77">
        <f>FU77*FZ77</f>
        <v>1.2000000000000002</v>
      </c>
      <c r="GF77">
        <f>FV77*GA77</f>
        <v>2.1</v>
      </c>
      <c r="GG77">
        <f>FW77*GB77</f>
        <v>1.2</v>
      </c>
      <c r="GH77">
        <v>9</v>
      </c>
      <c r="GI77">
        <v>-0.5</v>
      </c>
      <c r="GJ77">
        <v>8.5</v>
      </c>
      <c r="GK77">
        <f>GC77+GD77+GE77+GF77+GG77</f>
        <v>5.8</v>
      </c>
      <c r="GL77">
        <f>MEDIAN(FS77:FW77)</f>
        <v>6</v>
      </c>
    </row>
    <row r="78" spans="1:194" x14ac:dyDescent="0.25">
      <c r="A78">
        <v>33</v>
      </c>
      <c r="B78" t="s">
        <v>2</v>
      </c>
      <c r="C78" s="4">
        <v>92.75</v>
      </c>
      <c r="D78">
        <v>3.5</v>
      </c>
      <c r="E78" s="1">
        <f>C78/3/D78</f>
        <v>8.8333333333333339</v>
      </c>
      <c r="G78">
        <v>35.35</v>
      </c>
      <c r="H78">
        <v>8.1999999999999993</v>
      </c>
      <c r="I78">
        <f>H78*D78*3</f>
        <v>86.1</v>
      </c>
      <c r="J78">
        <v>18.23</v>
      </c>
      <c r="K78">
        <v>9</v>
      </c>
      <c r="L78" s="3">
        <f>K78*3*D78</f>
        <v>94.5</v>
      </c>
      <c r="M78">
        <v>5.21</v>
      </c>
      <c r="N78">
        <v>5</v>
      </c>
      <c r="O78">
        <f>N78*D78*3</f>
        <v>52.5</v>
      </c>
      <c r="P78" s="5">
        <v>8.6999999999999993</v>
      </c>
      <c r="Q78" s="5">
        <f>P78*D78*3</f>
        <v>91.35</v>
      </c>
      <c r="S78" t="s">
        <v>6171</v>
      </c>
      <c r="T78">
        <v>5.5</v>
      </c>
      <c r="U78" s="8">
        <f>T78*D78*3</f>
        <v>57.75</v>
      </c>
      <c r="V78">
        <v>29.81</v>
      </c>
      <c r="W78">
        <v>9</v>
      </c>
      <c r="X78" s="5">
        <f>W78*D78*3</f>
        <v>94.5</v>
      </c>
      <c r="Y78">
        <v>11.29</v>
      </c>
      <c r="AA78">
        <f>Z78*D78*3</f>
        <v>0</v>
      </c>
      <c r="AC78">
        <v>46.27</v>
      </c>
      <c r="AD78">
        <v>8</v>
      </c>
      <c r="AE78" s="1">
        <f>AD78*3*D78</f>
        <v>84</v>
      </c>
      <c r="AF78">
        <v>12.2</v>
      </c>
      <c r="AG78" s="5">
        <v>7</v>
      </c>
      <c r="AH78" s="5">
        <f>AG78*D78*3</f>
        <v>73.5</v>
      </c>
      <c r="AI78" s="13"/>
      <c r="AJ78">
        <v>2.7</v>
      </c>
      <c r="AK78" s="8">
        <f>AJ78*D78*3</f>
        <v>28.35</v>
      </c>
      <c r="AL78" s="13"/>
      <c r="AM78">
        <v>30.46</v>
      </c>
      <c r="AN78">
        <v>7.2</v>
      </c>
      <c r="AO78" s="8">
        <f>AN78*D78*3</f>
        <v>75.599999999999994</v>
      </c>
      <c r="AP78">
        <v>14.96</v>
      </c>
      <c r="AQ78">
        <v>10</v>
      </c>
      <c r="AR78">
        <f>AQ78*D78*3</f>
        <v>105</v>
      </c>
      <c r="AS78">
        <v>10.26</v>
      </c>
      <c r="AT78">
        <v>8.6999999999999993</v>
      </c>
      <c r="AU78">
        <f>AT78*D78*3</f>
        <v>91.35</v>
      </c>
      <c r="AW78">
        <v>23.67</v>
      </c>
      <c r="AX78">
        <v>9.4</v>
      </c>
      <c r="AY78">
        <f>AX78*D78*3</f>
        <v>98.699999999999989</v>
      </c>
      <c r="AZ78">
        <v>23.67</v>
      </c>
      <c r="BA78">
        <v>7.9</v>
      </c>
      <c r="BB78">
        <f>BA78*D78*3</f>
        <v>82.95</v>
      </c>
      <c r="BD78">
        <v>9</v>
      </c>
      <c r="BE78">
        <f>BD78*D78*3</f>
        <v>94.5</v>
      </c>
      <c r="BG78" s="10"/>
      <c r="BH78" s="1">
        <f>CHOOSE(MATCH(MIN(ABS(BP78-C78),ABS(BQ78-C78),ABS(BR78-C78)),CHOOSE({1;2;3},ABS(BP78-C78),ABS(BQ78-C78),ABS(BR78-C78)),0),BP78,BQ78,BR78)</f>
        <v>94.5</v>
      </c>
      <c r="BJ78" s="1" cm="1">
        <f t="array" ref="BJ78">(INDEX(_xlfn._xlws.SORT(CHOOSE({1;2;3;4;5;6},BQ78,BR78,L78,AE78,BO78,BP78)),3) + INDEX(_xlfn._xlws.SORT(CHOOSE({1;2;3;4;5;6},BQ78,BR78,L78,AE78,BO78,BP78)),4))/2</f>
        <v>86.625</v>
      </c>
      <c r="BK78">
        <v>8.1124838211167898</v>
      </c>
      <c r="BL78" s="11" t="s">
        <v>6116</v>
      </c>
      <c r="BM78" s="1">
        <f>BK78*3*D78</f>
        <v>85.181080121726296</v>
      </c>
      <c r="BN78" s="1">
        <f>BM78-C78</f>
        <v>-7.5689198782737037</v>
      </c>
      <c r="BO78" s="1">
        <f>GK78*3*D78</f>
        <v>82.424999999999997</v>
      </c>
      <c r="BP78" s="1">
        <f>DO78*3*D78</f>
        <v>94.5</v>
      </c>
      <c r="BQ78" s="1">
        <f>FJ78*3*D78</f>
        <v>84</v>
      </c>
      <c r="BR78" s="1">
        <f>GL78*3*D78</f>
        <v>89.25</v>
      </c>
      <c r="BT78">
        <v>35.35</v>
      </c>
      <c r="BU78">
        <v>8.1999999999999993</v>
      </c>
      <c r="BV78" t="s">
        <v>5093</v>
      </c>
      <c r="BW78" t="s">
        <v>5094</v>
      </c>
      <c r="BX78" t="s">
        <v>5111</v>
      </c>
      <c r="BY78" t="s">
        <v>5112</v>
      </c>
      <c r="BZ78" t="s">
        <v>5113</v>
      </c>
      <c r="CA78" t="s">
        <v>2437</v>
      </c>
      <c r="CC78" t="s">
        <v>2694</v>
      </c>
      <c r="CD78" t="s">
        <v>2508</v>
      </c>
      <c r="CE78" t="s">
        <v>2440</v>
      </c>
      <c r="CG78" t="s">
        <v>2509</v>
      </c>
      <c r="CH78" t="s">
        <v>2510</v>
      </c>
      <c r="CI78" t="s">
        <v>2443</v>
      </c>
      <c r="CK78" t="s">
        <v>2511</v>
      </c>
      <c r="CL78" t="s">
        <v>2512</v>
      </c>
      <c r="CM78" t="s">
        <v>2446</v>
      </c>
      <c r="CO78" t="s">
        <v>2513</v>
      </c>
      <c r="CP78" t="s">
        <v>2514</v>
      </c>
      <c r="CQ78" t="s">
        <v>2449</v>
      </c>
      <c r="CS78" t="s">
        <v>2523</v>
      </c>
      <c r="CT78" t="s">
        <v>2524</v>
      </c>
      <c r="CV78">
        <v>9</v>
      </c>
      <c r="CW78">
        <v>9</v>
      </c>
      <c r="CX78">
        <v>9</v>
      </c>
      <c r="CY78">
        <v>9</v>
      </c>
      <c r="CZ78">
        <v>9</v>
      </c>
      <c r="DA78">
        <v>0.1</v>
      </c>
      <c r="DB78">
        <v>0.1</v>
      </c>
      <c r="DC78">
        <v>0.2</v>
      </c>
      <c r="DD78">
        <v>0.3</v>
      </c>
      <c r="DE78">
        <v>0.3</v>
      </c>
      <c r="DF78">
        <v>0.9</v>
      </c>
      <c r="DG78">
        <v>0.9</v>
      </c>
      <c r="DH78">
        <v>1.8</v>
      </c>
      <c r="DI78">
        <v>2.7</v>
      </c>
      <c r="DJ78">
        <v>2.7</v>
      </c>
      <c r="DK78">
        <v>8.1999999999999993</v>
      </c>
      <c r="DL78">
        <v>0</v>
      </c>
      <c r="DM78">
        <v>8.1999999999999993</v>
      </c>
      <c r="DN78">
        <v>9</v>
      </c>
      <c r="DO78">
        <f>AVERAGE(CV78:CZ78)</f>
        <v>9</v>
      </c>
      <c r="DQ78" t="s">
        <v>27</v>
      </c>
      <c r="DR78" t="s">
        <v>52</v>
      </c>
      <c r="DS78" t="s">
        <v>61</v>
      </c>
      <c r="DT78" t="s">
        <v>118</v>
      </c>
      <c r="DU78" t="s">
        <v>68</v>
      </c>
      <c r="DV78" t="s">
        <v>97</v>
      </c>
      <c r="DW78" t="s">
        <v>3836</v>
      </c>
      <c r="DX78" t="s">
        <v>3858</v>
      </c>
      <c r="DY78" t="s">
        <v>4033</v>
      </c>
      <c r="DZ78" t="s">
        <v>4034</v>
      </c>
      <c r="EA78" t="s">
        <v>3860</v>
      </c>
      <c r="EB78" t="s">
        <v>3840</v>
      </c>
      <c r="EC78" t="s">
        <v>4035</v>
      </c>
      <c r="ED78" t="s">
        <v>4036</v>
      </c>
      <c r="EE78" t="s">
        <v>3966</v>
      </c>
      <c r="EF78" t="s">
        <v>3900</v>
      </c>
      <c r="EG78" t="s">
        <v>4037</v>
      </c>
      <c r="EH78" t="s">
        <v>3966</v>
      </c>
      <c r="EI78" t="s">
        <v>3246</v>
      </c>
      <c r="EJ78" t="s">
        <v>3904</v>
      </c>
      <c r="EK78" t="s">
        <v>4038</v>
      </c>
      <c r="EL78" t="s">
        <v>3246</v>
      </c>
      <c r="EM78" t="s">
        <v>4039</v>
      </c>
      <c r="EN78" t="s">
        <v>4040</v>
      </c>
      <c r="EO78" t="s">
        <v>4041</v>
      </c>
      <c r="EP78" t="s">
        <v>4039</v>
      </c>
      <c r="EQ78">
        <v>8</v>
      </c>
      <c r="ER78">
        <v>8</v>
      </c>
      <c r="ES78">
        <v>8</v>
      </c>
      <c r="ET78">
        <v>8</v>
      </c>
      <c r="EU78">
        <v>8</v>
      </c>
      <c r="EV78">
        <v>0.1</v>
      </c>
      <c r="EW78">
        <v>0.1</v>
      </c>
      <c r="EX78">
        <v>0.2</v>
      </c>
      <c r="EY78">
        <v>0.3</v>
      </c>
      <c r="EZ78">
        <v>0.3</v>
      </c>
      <c r="FA78">
        <f>EV78*EQ78</f>
        <v>0.8</v>
      </c>
      <c r="FB78">
        <f>EW78*ER78</f>
        <v>0.8</v>
      </c>
      <c r="FC78">
        <f>EX78*ES78</f>
        <v>1.6</v>
      </c>
      <c r="FD78">
        <f>EY78*ET78</f>
        <v>2.4</v>
      </c>
      <c r="FE78">
        <f>EZ78*EU78</f>
        <v>2.4</v>
      </c>
      <c r="FF78">
        <v>17</v>
      </c>
      <c r="FG78">
        <v>0</v>
      </c>
      <c r="FH78">
        <v>8</v>
      </c>
      <c r="FI78">
        <f>FA78+FB78+FC78+FD78+FE78</f>
        <v>8</v>
      </c>
      <c r="FJ78">
        <f>MEDIAN(EQ78:EU78)</f>
        <v>8</v>
      </c>
      <c r="FL78">
        <v>45.26</v>
      </c>
      <c r="FM78">
        <v>8.4</v>
      </c>
      <c r="FN78" t="s">
        <v>760</v>
      </c>
      <c r="FO78" t="s">
        <v>761</v>
      </c>
      <c r="FP78" t="s">
        <v>762</v>
      </c>
      <c r="FQ78" t="s">
        <v>763</v>
      </c>
      <c r="FR78" t="s">
        <v>764</v>
      </c>
      <c r="FS78">
        <v>10</v>
      </c>
      <c r="FT78">
        <v>9.5</v>
      </c>
      <c r="FU78">
        <v>8.5</v>
      </c>
      <c r="FV78">
        <v>7.5</v>
      </c>
      <c r="FW78">
        <v>6.5</v>
      </c>
      <c r="FX78">
        <v>0.1</v>
      </c>
      <c r="FY78">
        <v>0.1</v>
      </c>
      <c r="FZ78">
        <v>0.2</v>
      </c>
      <c r="GA78">
        <v>0.3</v>
      </c>
      <c r="GB78">
        <v>0.3</v>
      </c>
      <c r="GC78">
        <f>FS78*FX78</f>
        <v>1</v>
      </c>
      <c r="GD78">
        <f>FT78*FY78</f>
        <v>0.95000000000000007</v>
      </c>
      <c r="GE78">
        <f>FU78*FZ78</f>
        <v>1.7000000000000002</v>
      </c>
      <c r="GF78">
        <f>FV78*GA78</f>
        <v>2.25</v>
      </c>
      <c r="GG78">
        <f>FW78*GB78</f>
        <v>1.95</v>
      </c>
      <c r="GH78">
        <v>8.4</v>
      </c>
      <c r="GJ78">
        <v>8.4</v>
      </c>
      <c r="GK78">
        <f>GC78+GD78+GE78+GF78+GG78</f>
        <v>7.8500000000000005</v>
      </c>
      <c r="GL78">
        <f>MEDIAN(FS78:FW78)</f>
        <v>8.5</v>
      </c>
    </row>
    <row r="79" spans="1:194" x14ac:dyDescent="0.25">
      <c r="A79">
        <v>196</v>
      </c>
      <c r="B79" t="s">
        <v>2</v>
      </c>
      <c r="C79" s="4">
        <v>81.599999999999994</v>
      </c>
      <c r="D79">
        <v>3.2</v>
      </c>
      <c r="E79" s="1">
        <f>C79/3/D79</f>
        <v>8.5</v>
      </c>
      <c r="G79">
        <v>35.04</v>
      </c>
      <c r="H79">
        <v>8.1999999999999993</v>
      </c>
      <c r="I79">
        <f>H79*D79*3</f>
        <v>78.72</v>
      </c>
      <c r="J79">
        <v>17.059999999999999</v>
      </c>
      <c r="K79">
        <v>9</v>
      </c>
      <c r="L79" s="3">
        <f>K79*3*D79</f>
        <v>86.4</v>
      </c>
      <c r="M79">
        <v>6.16</v>
      </c>
      <c r="N79">
        <v>5</v>
      </c>
      <c r="O79">
        <f>N79*D79*3</f>
        <v>48</v>
      </c>
      <c r="P79" s="5">
        <v>6.5</v>
      </c>
      <c r="Q79" s="5">
        <f>P79*D79*3</f>
        <v>62.400000000000006</v>
      </c>
      <c r="S79" t="s">
        <v>6328</v>
      </c>
      <c r="T79">
        <v>2</v>
      </c>
      <c r="U79" s="8">
        <f>T79*D79*3</f>
        <v>19.200000000000003</v>
      </c>
      <c r="V79">
        <v>34.04</v>
      </c>
      <c r="W79">
        <v>8.6999999999999993</v>
      </c>
      <c r="X79" s="5">
        <f>W79*D79*3</f>
        <v>83.52</v>
      </c>
      <c r="Y79">
        <v>9.94</v>
      </c>
      <c r="Z79">
        <v>7.5</v>
      </c>
      <c r="AA79">
        <f>Z79*D79*3</f>
        <v>72</v>
      </c>
      <c r="AC79">
        <v>44.53</v>
      </c>
      <c r="AD79">
        <v>8</v>
      </c>
      <c r="AE79" s="1">
        <f>AD79*3*D79</f>
        <v>76.800000000000011</v>
      </c>
      <c r="AF79">
        <v>14.61</v>
      </c>
      <c r="AH79" s="5">
        <f>AG79*D79*3</f>
        <v>0</v>
      </c>
      <c r="AI79" s="13"/>
      <c r="AK79" s="8">
        <f>AJ79*D79*3</f>
        <v>0</v>
      </c>
      <c r="AL79" s="13"/>
      <c r="AM79">
        <v>31.06</v>
      </c>
      <c r="AN79">
        <v>7</v>
      </c>
      <c r="AO79" s="8">
        <f>AN79*D79*3</f>
        <v>67.2</v>
      </c>
      <c r="AP79">
        <v>12.81</v>
      </c>
      <c r="AQ79">
        <v>8.6</v>
      </c>
      <c r="AR79">
        <f>AQ79*D79*3</f>
        <v>82.56</v>
      </c>
      <c r="AT79">
        <v>8.8000000000000007</v>
      </c>
      <c r="AU79">
        <f>AT79*D79*3</f>
        <v>84.480000000000018</v>
      </c>
      <c r="AW79">
        <v>27.25</v>
      </c>
      <c r="AX79">
        <v>9</v>
      </c>
      <c r="AY79">
        <f>AX79*D79*3</f>
        <v>86.4</v>
      </c>
      <c r="AZ79">
        <v>27.25</v>
      </c>
      <c r="BA79">
        <v>9.1</v>
      </c>
      <c r="BB79">
        <f>BA79*D79*3</f>
        <v>87.36</v>
      </c>
      <c r="BD79">
        <v>8.9</v>
      </c>
      <c r="BE79">
        <f>BD79*D79*3</f>
        <v>85.440000000000012</v>
      </c>
      <c r="BG79" s="10"/>
      <c r="BH79" s="1">
        <f>CHOOSE(MATCH(MIN(ABS(BP79-C79),ABS(BQ79-C79),ABS(BR79-C79)),CHOOSE({1;2;3},ABS(BP79-C79),ABS(BQ79-C79),ABS(BR79-C79)),0),BP79,BQ79,BR79)</f>
        <v>76.800000000000011</v>
      </c>
      <c r="BJ79" s="1" cm="1">
        <f t="array" ref="BJ79">(INDEX(_xlfn._xlws.SORT(CHOOSE({1;2;3;4;5;6},BQ79,BR79,L79,AE79,BO79,BP79)),3) + INDEX(_xlfn._xlws.SORT(CHOOSE({1;2;3;4;5;6},BQ79,BR79,L79,AE79,BO79,BP79)),4))/2</f>
        <v>76.800000000000011</v>
      </c>
      <c r="BK79">
        <v>7.7686885835427804</v>
      </c>
      <c r="BL79" s="11" t="s">
        <v>6116</v>
      </c>
      <c r="BM79" s="1">
        <f>BK79*3*D79</f>
        <v>74.579410402010694</v>
      </c>
      <c r="BN79" s="1">
        <f>BM79-C79</f>
        <v>-7.0205895979893</v>
      </c>
      <c r="BO79" s="1">
        <f>GK79*3*D79</f>
        <v>51.840000000000011</v>
      </c>
      <c r="BP79" s="1">
        <f>DO79*3*D79</f>
        <v>86.4</v>
      </c>
      <c r="BQ79" s="1">
        <f>FJ79*3*D79</f>
        <v>76.800000000000011</v>
      </c>
      <c r="BR79" s="1">
        <f>GL79*3*D79</f>
        <v>48</v>
      </c>
      <c r="BT79">
        <v>35.04</v>
      </c>
      <c r="BU79">
        <v>8.1999999999999993</v>
      </c>
      <c r="BV79" t="s">
        <v>5637</v>
      </c>
      <c r="BW79" t="s">
        <v>5638</v>
      </c>
      <c r="BX79" t="s">
        <v>5639</v>
      </c>
      <c r="BY79" t="s">
        <v>5640</v>
      </c>
      <c r="BZ79" t="s">
        <v>5641</v>
      </c>
      <c r="CA79" t="s">
        <v>2633</v>
      </c>
      <c r="CC79" t="s">
        <v>2634</v>
      </c>
      <c r="CD79" t="s">
        <v>2635</v>
      </c>
      <c r="CE79" t="s">
        <v>2482</v>
      </c>
      <c r="CG79" t="s">
        <v>2636</v>
      </c>
      <c r="CH79" t="s">
        <v>3291</v>
      </c>
      <c r="CI79" t="s">
        <v>3043</v>
      </c>
      <c r="CK79" t="s">
        <v>3292</v>
      </c>
      <c r="CL79" t="s">
        <v>3293</v>
      </c>
      <c r="CM79" t="s">
        <v>2670</v>
      </c>
      <c r="CO79" t="s">
        <v>2929</v>
      </c>
      <c r="CP79" t="s">
        <v>2869</v>
      </c>
      <c r="CQ79" t="s">
        <v>2969</v>
      </c>
      <c r="CS79" t="s">
        <v>2645</v>
      </c>
      <c r="CT79" t="s">
        <v>3294</v>
      </c>
      <c r="CV79">
        <v>9</v>
      </c>
      <c r="CW79">
        <v>9</v>
      </c>
      <c r="CX79">
        <v>9</v>
      </c>
      <c r="CY79">
        <v>9</v>
      </c>
      <c r="CZ79">
        <v>9</v>
      </c>
      <c r="DA79">
        <v>0.1</v>
      </c>
      <c r="DB79">
        <v>0.1</v>
      </c>
      <c r="DC79">
        <v>0.2</v>
      </c>
      <c r="DD79">
        <v>0.3</v>
      </c>
      <c r="DE79">
        <v>0.3</v>
      </c>
      <c r="DF79">
        <v>0.9</v>
      </c>
      <c r="DG79">
        <v>0.9</v>
      </c>
      <c r="DH79">
        <v>1.8</v>
      </c>
      <c r="DI79">
        <v>2.7</v>
      </c>
      <c r="DJ79">
        <v>2.7</v>
      </c>
      <c r="DK79">
        <v>8.1999999999999993</v>
      </c>
      <c r="DL79">
        <v>0</v>
      </c>
      <c r="DM79">
        <v>8.1999999999999993</v>
      </c>
      <c r="DN79">
        <v>9</v>
      </c>
      <c r="DO79">
        <f>AVERAGE(CV79:CZ79)</f>
        <v>9</v>
      </c>
      <c r="DQ79">
        <v>8</v>
      </c>
      <c r="DR79" t="s">
        <v>65</v>
      </c>
      <c r="DS79" t="s">
        <v>66</v>
      </c>
      <c r="DT79" t="s">
        <v>67</v>
      </c>
      <c r="DU79" t="s">
        <v>68</v>
      </c>
      <c r="DV79" t="s">
        <v>69</v>
      </c>
      <c r="DW79" t="s">
        <v>3836</v>
      </c>
      <c r="DX79" t="s">
        <v>3837</v>
      </c>
      <c r="DY79" t="s">
        <v>3875</v>
      </c>
      <c r="DZ79" t="s">
        <v>3827</v>
      </c>
      <c r="EA79" t="s">
        <v>3860</v>
      </c>
      <c r="EB79" t="s">
        <v>3840</v>
      </c>
      <c r="EC79" t="s">
        <v>3876</v>
      </c>
      <c r="ED79" t="s">
        <v>3827</v>
      </c>
      <c r="EE79" t="s">
        <v>3877</v>
      </c>
      <c r="EF79" t="s">
        <v>3797</v>
      </c>
      <c r="EG79" t="s">
        <v>3878</v>
      </c>
      <c r="EH79" t="s">
        <v>3827</v>
      </c>
      <c r="EI79" t="s">
        <v>3879</v>
      </c>
      <c r="EJ79" t="s">
        <v>3800</v>
      </c>
      <c r="EK79" t="s">
        <v>3880</v>
      </c>
      <c r="EL79" t="s">
        <v>3827</v>
      </c>
      <c r="EM79" t="s">
        <v>3881</v>
      </c>
      <c r="EN79" t="s">
        <v>3803</v>
      </c>
      <c r="EO79" t="s">
        <v>3882</v>
      </c>
      <c r="EP79" t="s">
        <v>3827</v>
      </c>
      <c r="EQ79">
        <v>8</v>
      </c>
      <c r="ER79">
        <v>8</v>
      </c>
      <c r="ES79">
        <v>8</v>
      </c>
      <c r="ET79">
        <v>8</v>
      </c>
      <c r="EU79">
        <v>8</v>
      </c>
      <c r="EV79">
        <v>0.1</v>
      </c>
      <c r="EW79">
        <v>0.1</v>
      </c>
      <c r="EX79">
        <v>0.2</v>
      </c>
      <c r="EY79">
        <v>0.3</v>
      </c>
      <c r="EZ79">
        <v>0.3</v>
      </c>
      <c r="FA79">
        <f>EV79*EQ79</f>
        <v>0.8</v>
      </c>
      <c r="FB79">
        <f>EW79*ER79</f>
        <v>0.8</v>
      </c>
      <c r="FC79">
        <f>EX79*ES79</f>
        <v>1.6</v>
      </c>
      <c r="FD79">
        <f>EY79*ET79</f>
        <v>2.4</v>
      </c>
      <c r="FE79">
        <f>EZ79*EU79</f>
        <v>2.4</v>
      </c>
      <c r="FF79">
        <v>16</v>
      </c>
      <c r="FG79">
        <v>0</v>
      </c>
      <c r="FH79">
        <v>8</v>
      </c>
      <c r="FI79">
        <f>FA79+FB79+FC79+FD79+FE79</f>
        <v>8</v>
      </c>
      <c r="FJ79">
        <f>MEDIAN(EQ79:EU79)</f>
        <v>8</v>
      </c>
      <c r="FL79">
        <v>40.119999999999997</v>
      </c>
      <c r="FN79" t="s">
        <v>1530</v>
      </c>
      <c r="FO79" t="s">
        <v>1531</v>
      </c>
      <c r="FP79" t="s">
        <v>1172</v>
      </c>
      <c r="FQ79" t="s">
        <v>1532</v>
      </c>
      <c r="FR79" t="s">
        <v>1533</v>
      </c>
      <c r="FS79">
        <v>5</v>
      </c>
      <c r="FT79">
        <v>4</v>
      </c>
      <c r="FU79">
        <v>3</v>
      </c>
      <c r="FV79">
        <v>6</v>
      </c>
      <c r="FW79">
        <v>7</v>
      </c>
      <c r="FX79">
        <v>0.1</v>
      </c>
      <c r="FY79">
        <v>0.1</v>
      </c>
      <c r="FZ79">
        <v>0.2</v>
      </c>
      <c r="GA79">
        <v>0.3</v>
      </c>
      <c r="GB79">
        <v>0.3</v>
      </c>
      <c r="GC79">
        <f>FS79*FX79</f>
        <v>0.5</v>
      </c>
      <c r="GD79">
        <f>FT79*FY79</f>
        <v>0.4</v>
      </c>
      <c r="GE79">
        <f>FU79*FZ79</f>
        <v>0.60000000000000009</v>
      </c>
      <c r="GF79">
        <f>FV79*GA79</f>
        <v>1.7999999999999998</v>
      </c>
      <c r="GG79">
        <f>FW79*GB79</f>
        <v>2.1</v>
      </c>
      <c r="GH79">
        <v>6.8</v>
      </c>
      <c r="GJ79">
        <v>7.1</v>
      </c>
      <c r="GK79">
        <f>GC79+GD79+GE79+GF79+GG79</f>
        <v>5.4</v>
      </c>
      <c r="GL79">
        <f>MEDIAN(FS79:FW79)</f>
        <v>5</v>
      </c>
    </row>
    <row r="80" spans="1:194" hidden="1" x14ac:dyDescent="0.25">
      <c r="A80">
        <v>79</v>
      </c>
      <c r="B80" t="s">
        <v>2</v>
      </c>
      <c r="C80" s="4">
        <v>76.8</v>
      </c>
      <c r="D80">
        <v>3.2</v>
      </c>
      <c r="E80" s="1">
        <f>C80/3/D80</f>
        <v>7.9999999999999991</v>
      </c>
      <c r="G80">
        <v>34.86</v>
      </c>
      <c r="H80">
        <v>8.6999999999999993</v>
      </c>
      <c r="I80">
        <f>H80*D80*3</f>
        <v>83.52</v>
      </c>
      <c r="J80">
        <v>16.82</v>
      </c>
      <c r="K80">
        <v>8.4</v>
      </c>
      <c r="L80" s="3">
        <f>K80*3*D80</f>
        <v>80.640000000000015</v>
      </c>
      <c r="M80">
        <v>4.97</v>
      </c>
      <c r="N80">
        <v>5</v>
      </c>
      <c r="O80">
        <f>N80*D80*3</f>
        <v>48</v>
      </c>
      <c r="P80" s="5">
        <v>9</v>
      </c>
      <c r="Q80" s="5">
        <f>P80*D80*3</f>
        <v>86.4</v>
      </c>
      <c r="S80" t="s">
        <v>6216</v>
      </c>
      <c r="T80">
        <v>8.1999999999999993</v>
      </c>
      <c r="U80" s="8">
        <f>T80*D80*3</f>
        <v>78.72</v>
      </c>
      <c r="V80">
        <v>31.98</v>
      </c>
      <c r="W80">
        <v>7.9</v>
      </c>
      <c r="X80" s="5">
        <f>W80*D80*3</f>
        <v>75.84</v>
      </c>
      <c r="Y80">
        <v>10.84</v>
      </c>
      <c r="Z80">
        <v>7.8</v>
      </c>
      <c r="AA80">
        <f>Z80*D80*3</f>
        <v>74.88</v>
      </c>
      <c r="AC80">
        <v>46.79</v>
      </c>
      <c r="AD80">
        <v>8</v>
      </c>
      <c r="AE80" s="1">
        <f>AD80*3*D80</f>
        <v>76.800000000000011</v>
      </c>
      <c r="AF80">
        <v>11.84</v>
      </c>
      <c r="AG80" s="5">
        <v>7</v>
      </c>
      <c r="AH80" s="5">
        <f>AG80*D80*3</f>
        <v>67.2</v>
      </c>
      <c r="AI80" s="13"/>
      <c r="AK80" s="8">
        <f>AJ80*D80*3</f>
        <v>0</v>
      </c>
      <c r="AL80" s="13"/>
      <c r="AM80">
        <v>30.15</v>
      </c>
      <c r="AN80">
        <v>7.4</v>
      </c>
      <c r="AO80" s="8">
        <f>AN80*D80*3</f>
        <v>71.040000000000006</v>
      </c>
      <c r="AP80">
        <v>14.79</v>
      </c>
      <c r="AQ80">
        <v>9.5</v>
      </c>
      <c r="AR80">
        <f>AQ80*D80*3</f>
        <v>91.2</v>
      </c>
      <c r="AT80">
        <v>9</v>
      </c>
      <c r="AU80">
        <f>AT80*D80*3</f>
        <v>86.4</v>
      </c>
      <c r="AW80">
        <v>23.06</v>
      </c>
      <c r="AX80">
        <v>9.4</v>
      </c>
      <c r="AY80">
        <f>AX80*D80*3</f>
        <v>90.240000000000009</v>
      </c>
      <c r="AZ80">
        <v>23.06</v>
      </c>
      <c r="BA80">
        <v>9.1</v>
      </c>
      <c r="BB80">
        <f>BA80*D80*3</f>
        <v>87.36</v>
      </c>
      <c r="BD80">
        <v>8.6</v>
      </c>
      <c r="BE80">
        <f>BD80*D80*3</f>
        <v>82.56</v>
      </c>
      <c r="BG80" s="10"/>
      <c r="BH80" s="1">
        <f>CHOOSE(MATCH(MIN(ABS(BP80-C80),ABS(BQ80-C80),ABS(BR80-C80)),CHOOSE({1;2;3},ABS(BP80-C80),ABS(BQ80-C80),ABS(BR80-C80)),0),BP80,BQ80,BR80)</f>
        <v>76.800000000000011</v>
      </c>
      <c r="BJ80" s="1" cm="1">
        <f t="array" ref="BJ80">(INDEX(_xlfn._xlws.SORT(CHOOSE({1;2;3;4;5;6},BQ80,BR80,L80,AE80,BO80,BP80)),3) + INDEX(_xlfn._xlws.SORT(CHOOSE({1;2;3;4;5;6},BQ80,BR80,L80,AE80,BO80,BP80)),4))/2</f>
        <v>76.800000000000011</v>
      </c>
      <c r="BK80">
        <v>7.9649650668984497</v>
      </c>
      <c r="BL80" t="s">
        <v>6117</v>
      </c>
      <c r="BM80" s="1">
        <f>BK80*3*D80</f>
        <v>76.463664642225112</v>
      </c>
      <c r="BN80" s="1">
        <f>BM80-C80</f>
        <v>-0.33633535777488532</v>
      </c>
      <c r="BO80" s="1">
        <f>GK80*3*D80</f>
        <v>51.840000000000011</v>
      </c>
      <c r="BP80" s="1">
        <f>DO80*3*D80</f>
        <v>84.480000000000018</v>
      </c>
      <c r="BQ80" s="1">
        <f>FJ80*3*D80</f>
        <v>76.800000000000011</v>
      </c>
      <c r="BR80" s="1">
        <f>GL80*3*D80</f>
        <v>48</v>
      </c>
      <c r="BT80">
        <v>34.86</v>
      </c>
      <c r="BU80">
        <v>8.6999999999999993</v>
      </c>
      <c r="BV80" t="s">
        <v>5271</v>
      </c>
      <c r="BW80" t="s">
        <v>5272</v>
      </c>
      <c r="BX80" t="s">
        <v>5273</v>
      </c>
      <c r="BY80" t="s">
        <v>5274</v>
      </c>
      <c r="BZ80" t="s">
        <v>5275</v>
      </c>
      <c r="CA80" t="s">
        <v>2437</v>
      </c>
      <c r="CC80" t="s">
        <v>2548</v>
      </c>
      <c r="CD80" t="s">
        <v>2508</v>
      </c>
      <c r="CE80" t="s">
        <v>2440</v>
      </c>
      <c r="CG80" t="s">
        <v>2509</v>
      </c>
      <c r="CH80" t="s">
        <v>2963</v>
      </c>
      <c r="CI80" t="s">
        <v>2443</v>
      </c>
      <c r="CK80" t="s">
        <v>2655</v>
      </c>
      <c r="CL80" t="s">
        <v>2964</v>
      </c>
      <c r="CM80" t="s">
        <v>2446</v>
      </c>
      <c r="CO80" t="s">
        <v>2965</v>
      </c>
      <c r="CP80" t="s">
        <v>2966</v>
      </c>
      <c r="CQ80" t="s">
        <v>2666</v>
      </c>
      <c r="CR80" t="s">
        <v>2515</v>
      </c>
      <c r="CS80" t="s">
        <v>2967</v>
      </c>
      <c r="CT80" t="s">
        <v>2968</v>
      </c>
      <c r="CV80">
        <v>9</v>
      </c>
      <c r="CW80">
        <v>9</v>
      </c>
      <c r="CX80">
        <v>9</v>
      </c>
      <c r="CY80">
        <v>9</v>
      </c>
      <c r="CZ80">
        <v>8</v>
      </c>
      <c r="DA80">
        <v>0.1</v>
      </c>
      <c r="DB80">
        <v>0.1</v>
      </c>
      <c r="DC80">
        <v>0.2</v>
      </c>
      <c r="DD80">
        <v>0.3</v>
      </c>
      <c r="DE80">
        <v>0.3</v>
      </c>
      <c r="DF80">
        <v>0.9</v>
      </c>
      <c r="DG80">
        <v>0.9</v>
      </c>
      <c r="DH80">
        <v>1.8</v>
      </c>
      <c r="DI80">
        <v>2.7</v>
      </c>
      <c r="DJ80">
        <v>2.4</v>
      </c>
      <c r="DK80">
        <v>8.6999999999999993</v>
      </c>
      <c r="DL80">
        <v>0</v>
      </c>
      <c r="DM80">
        <v>8.6999999999999993</v>
      </c>
      <c r="DN80">
        <v>8.4</v>
      </c>
      <c r="DO80">
        <f>AVERAGE(CV80:CZ80)</f>
        <v>8.8000000000000007</v>
      </c>
      <c r="DQ80">
        <v>8</v>
      </c>
      <c r="DR80" t="s">
        <v>33</v>
      </c>
      <c r="DS80" t="s">
        <v>82</v>
      </c>
      <c r="DT80" t="s">
        <v>224</v>
      </c>
      <c r="DU80" t="s">
        <v>225</v>
      </c>
      <c r="DV80" t="s">
        <v>226</v>
      </c>
      <c r="DW80" t="s">
        <v>3788</v>
      </c>
      <c r="DX80" t="s">
        <v>3789</v>
      </c>
      <c r="DY80" t="s">
        <v>3790</v>
      </c>
      <c r="DZ80" t="s">
        <v>3933</v>
      </c>
      <c r="EA80" t="s">
        <v>3934</v>
      </c>
      <c r="EB80" t="s">
        <v>3793</v>
      </c>
      <c r="EC80" t="s">
        <v>3935</v>
      </c>
      <c r="ED80" t="s">
        <v>3936</v>
      </c>
      <c r="EE80" t="s">
        <v>3978</v>
      </c>
      <c r="EF80" t="s">
        <v>3797</v>
      </c>
      <c r="EG80" t="s">
        <v>4263</v>
      </c>
      <c r="EH80" t="s">
        <v>4264</v>
      </c>
      <c r="EI80" t="s">
        <v>4265</v>
      </c>
      <c r="EJ80" t="s">
        <v>3800</v>
      </c>
      <c r="EK80" t="s">
        <v>4266</v>
      </c>
      <c r="EL80" t="s">
        <v>4267</v>
      </c>
      <c r="EM80" t="s">
        <v>4227</v>
      </c>
      <c r="EN80" t="s">
        <v>3803</v>
      </c>
      <c r="EO80" t="s">
        <v>4268</v>
      </c>
      <c r="EP80" t="s">
        <v>3945</v>
      </c>
      <c r="EQ80">
        <v>8</v>
      </c>
      <c r="ER80">
        <v>8</v>
      </c>
      <c r="ES80">
        <v>8</v>
      </c>
      <c r="ET80">
        <v>8</v>
      </c>
      <c r="EU80">
        <v>8</v>
      </c>
      <c r="EV80">
        <v>0.1</v>
      </c>
      <c r="EW80">
        <v>0.1</v>
      </c>
      <c r="EX80">
        <v>0.2</v>
      </c>
      <c r="EY80">
        <v>0.3</v>
      </c>
      <c r="EZ80">
        <v>0.3</v>
      </c>
      <c r="FA80">
        <f>EV80*EQ80</f>
        <v>0.8</v>
      </c>
      <c r="FB80">
        <f>EW80*ER80</f>
        <v>0.8</v>
      </c>
      <c r="FC80">
        <f>EX80*ES80</f>
        <v>1.6</v>
      </c>
      <c r="FD80">
        <f>EY80*ET80</f>
        <v>2.4</v>
      </c>
      <c r="FE80">
        <f>EZ80*EU80</f>
        <v>2.4</v>
      </c>
      <c r="FF80">
        <v>17</v>
      </c>
      <c r="FG80">
        <v>0</v>
      </c>
      <c r="FH80">
        <v>8</v>
      </c>
      <c r="FI80">
        <f>FA80+FB80+FC80+FD80+FE80</f>
        <v>8</v>
      </c>
      <c r="FJ80">
        <f>MEDIAN(EQ80:EU80)</f>
        <v>8</v>
      </c>
      <c r="FL80">
        <v>37.229999999999997</v>
      </c>
      <c r="FM80">
        <v>9</v>
      </c>
      <c r="FN80" t="s">
        <v>985</v>
      </c>
      <c r="FO80" t="s">
        <v>986</v>
      </c>
      <c r="FP80" t="s">
        <v>987</v>
      </c>
      <c r="FQ80" t="s">
        <v>988</v>
      </c>
      <c r="FR80" t="s">
        <v>989</v>
      </c>
      <c r="FS80">
        <v>5</v>
      </c>
      <c r="FT80">
        <v>4</v>
      </c>
      <c r="FU80">
        <v>3</v>
      </c>
      <c r="FV80">
        <v>6</v>
      </c>
      <c r="FW80">
        <v>7</v>
      </c>
      <c r="FX80">
        <v>0.1</v>
      </c>
      <c r="FY80">
        <v>0.1</v>
      </c>
      <c r="FZ80">
        <v>0.2</v>
      </c>
      <c r="GA80">
        <v>0.3</v>
      </c>
      <c r="GB80">
        <v>0.3</v>
      </c>
      <c r="GC80">
        <f>FS80*FX80</f>
        <v>0.5</v>
      </c>
      <c r="GD80">
        <f>FT80*FY80</f>
        <v>0.4</v>
      </c>
      <c r="GE80">
        <f>FU80*FZ80</f>
        <v>0.60000000000000009</v>
      </c>
      <c r="GF80">
        <f>FV80*GA80</f>
        <v>1.7999999999999998</v>
      </c>
      <c r="GG80">
        <f>FW80*GB80</f>
        <v>2.1</v>
      </c>
      <c r="GH80">
        <v>9</v>
      </c>
      <c r="GI80">
        <v>0</v>
      </c>
      <c r="GJ80">
        <v>9</v>
      </c>
      <c r="GK80">
        <f>GC80+GD80+GE80+GF80+GG80</f>
        <v>5.4</v>
      </c>
      <c r="GL80">
        <f>MEDIAN(FS80:FW80)</f>
        <v>5</v>
      </c>
    </row>
    <row r="81" spans="1:194" hidden="1" x14ac:dyDescent="0.25">
      <c r="A81">
        <v>80</v>
      </c>
      <c r="B81" t="s">
        <v>2</v>
      </c>
      <c r="C81" s="4">
        <v>72</v>
      </c>
      <c r="D81">
        <v>3</v>
      </c>
      <c r="E81" s="1">
        <f>C81/3/D81</f>
        <v>8</v>
      </c>
      <c r="G81">
        <v>70.39</v>
      </c>
      <c r="H81">
        <v>8.1999999999999993</v>
      </c>
      <c r="I81">
        <f>H81*D81*3</f>
        <v>73.8</v>
      </c>
      <c r="J81">
        <v>18.260000000000002</v>
      </c>
      <c r="K81">
        <v>9</v>
      </c>
      <c r="L81" s="3">
        <f>K81*3*D81</f>
        <v>81</v>
      </c>
      <c r="M81">
        <v>5.28</v>
      </c>
      <c r="N81">
        <v>4.5</v>
      </c>
      <c r="O81">
        <f>N81*D81*3</f>
        <v>40.5</v>
      </c>
      <c r="P81" s="5">
        <v>8.6999999999999993</v>
      </c>
      <c r="Q81" s="5">
        <f>P81*D81*3</f>
        <v>78.3</v>
      </c>
      <c r="S81" t="s">
        <v>6217</v>
      </c>
      <c r="T81">
        <v>8.6999999999999993</v>
      </c>
      <c r="U81" s="8">
        <f>T81*D81*3</f>
        <v>78.3</v>
      </c>
      <c r="V81">
        <v>30.96</v>
      </c>
      <c r="W81">
        <v>8.4</v>
      </c>
      <c r="X81" s="5">
        <f>W81*D81*3</f>
        <v>75.600000000000009</v>
      </c>
      <c r="Y81">
        <v>8.66</v>
      </c>
      <c r="Z81">
        <v>6</v>
      </c>
      <c r="AA81">
        <f>Z81*D81*3</f>
        <v>54</v>
      </c>
      <c r="AC81">
        <v>47.86</v>
      </c>
      <c r="AD81">
        <v>7.9</v>
      </c>
      <c r="AE81" s="1">
        <f>AD81*3*D81</f>
        <v>71.100000000000009</v>
      </c>
      <c r="AF81">
        <v>11.94</v>
      </c>
      <c r="AG81" s="5">
        <v>7</v>
      </c>
      <c r="AH81" s="5">
        <f>AG81*D81*3</f>
        <v>63</v>
      </c>
      <c r="AI81" s="13"/>
      <c r="AJ81">
        <v>2.8</v>
      </c>
      <c r="AK81" s="8">
        <f>AJ81*D81*3</f>
        <v>25.199999999999996</v>
      </c>
      <c r="AL81" s="13"/>
      <c r="AM81">
        <v>30.88</v>
      </c>
      <c r="AN81">
        <v>7.1</v>
      </c>
      <c r="AO81" s="8">
        <f>AN81*D81*3</f>
        <v>63.899999999999991</v>
      </c>
      <c r="AP81">
        <v>14.87</v>
      </c>
      <c r="AQ81">
        <v>9.5</v>
      </c>
      <c r="AR81">
        <f>AQ81*D81*3</f>
        <v>85.5</v>
      </c>
      <c r="AT81">
        <v>9</v>
      </c>
      <c r="AU81">
        <f>AT81*D81*3</f>
        <v>81</v>
      </c>
      <c r="AW81">
        <v>25.92</v>
      </c>
      <c r="AX81">
        <v>9.4</v>
      </c>
      <c r="AY81">
        <f>AX81*D81*3</f>
        <v>84.600000000000009</v>
      </c>
      <c r="AZ81">
        <v>25.92</v>
      </c>
      <c r="BA81">
        <v>8.9</v>
      </c>
      <c r="BB81">
        <f>BA81*D81*3</f>
        <v>80.100000000000009</v>
      </c>
      <c r="BD81">
        <v>8.9</v>
      </c>
      <c r="BE81">
        <f>BD81*D81*3</f>
        <v>80.100000000000009</v>
      </c>
      <c r="BG81" s="10"/>
      <c r="BH81" s="1">
        <f>CHOOSE(MATCH(MIN(ABS(BP81-C81),ABS(BQ81-C81),ABS(BR81-C81)),CHOOSE({1;2;3},ABS(BP81-C81),ABS(BQ81-C81),ABS(BR81-C81)),0),BP81,BQ81,BR81)</f>
        <v>72</v>
      </c>
      <c r="BJ81" s="1" cm="1">
        <f t="array" ref="BJ81">(INDEX(_xlfn._xlws.SORT(CHOOSE({1;2;3;4;5;6},BQ81,BR81,L81,AE81,BO81,BP81)),3) + INDEX(_xlfn._xlws.SORT(CHOOSE({1;2;3;4;5;6},BQ81,BR81,L81,AE81,BO81,BP81)),4))/2</f>
        <v>80.099999999999994</v>
      </c>
      <c r="BK81">
        <v>7.9849943955843603</v>
      </c>
      <c r="BL81" t="s">
        <v>6117</v>
      </c>
      <c r="BM81" s="1">
        <f>BK81*3*D81</f>
        <v>71.864949560259248</v>
      </c>
      <c r="BN81" s="1">
        <f>BM81-C81</f>
        <v>-0.13505043974075193</v>
      </c>
      <c r="BO81" s="1">
        <f>GK81*3*D81</f>
        <v>79.2</v>
      </c>
      <c r="BP81" s="1">
        <f>DO81*3*D81</f>
        <v>81</v>
      </c>
      <c r="BQ81" s="1">
        <f>FJ81*3*D81</f>
        <v>72</v>
      </c>
      <c r="BR81" s="1">
        <f>GL81*3*D81</f>
        <v>90</v>
      </c>
      <c r="BT81">
        <v>70.39</v>
      </c>
      <c r="BU81">
        <v>8.1999999999999993</v>
      </c>
      <c r="BV81" t="s">
        <v>5114</v>
      </c>
      <c r="BW81" t="s">
        <v>5276</v>
      </c>
      <c r="BX81" t="s">
        <v>5277</v>
      </c>
      <c r="BY81" t="s">
        <v>5278</v>
      </c>
      <c r="BZ81" t="s">
        <v>5279</v>
      </c>
      <c r="CA81" t="s">
        <v>2550</v>
      </c>
      <c r="CC81" t="s">
        <v>2634</v>
      </c>
      <c r="CD81" t="s">
        <v>2635</v>
      </c>
      <c r="CE81" t="s">
        <v>2565</v>
      </c>
      <c r="CG81" t="s">
        <v>2636</v>
      </c>
      <c r="CH81" t="s">
        <v>2637</v>
      </c>
      <c r="CI81" t="s">
        <v>2496</v>
      </c>
      <c r="CK81" t="s">
        <v>2927</v>
      </c>
      <c r="CL81" t="s">
        <v>2928</v>
      </c>
      <c r="CM81" t="s">
        <v>2670</v>
      </c>
      <c r="CO81" t="s">
        <v>2929</v>
      </c>
      <c r="CP81" t="s">
        <v>2869</v>
      </c>
      <c r="CQ81" t="s">
        <v>2969</v>
      </c>
      <c r="CS81" t="s">
        <v>2645</v>
      </c>
      <c r="CT81" t="s">
        <v>2930</v>
      </c>
      <c r="CV81">
        <v>9</v>
      </c>
      <c r="CW81">
        <v>9</v>
      </c>
      <c r="CX81">
        <v>9</v>
      </c>
      <c r="CY81">
        <v>9</v>
      </c>
      <c r="CZ81">
        <v>9</v>
      </c>
      <c r="DA81">
        <v>0.1</v>
      </c>
      <c r="DB81">
        <v>0.1</v>
      </c>
      <c r="DC81">
        <v>0.2</v>
      </c>
      <c r="DD81">
        <v>0.3</v>
      </c>
      <c r="DE81">
        <v>0.3</v>
      </c>
      <c r="DF81">
        <v>0.9</v>
      </c>
      <c r="DG81">
        <v>0.9</v>
      </c>
      <c r="DH81">
        <v>1.8</v>
      </c>
      <c r="DI81">
        <v>2.7</v>
      </c>
      <c r="DJ81">
        <v>2.7</v>
      </c>
      <c r="DK81">
        <v>8.1999999999999993</v>
      </c>
      <c r="DL81">
        <v>0</v>
      </c>
      <c r="DM81">
        <v>8.1999999999999993</v>
      </c>
      <c r="DN81">
        <v>9</v>
      </c>
      <c r="DO81">
        <f>AVERAGE(CV81:CZ81)</f>
        <v>9</v>
      </c>
      <c r="DQ81">
        <v>8</v>
      </c>
      <c r="DR81" t="s">
        <v>28</v>
      </c>
      <c r="DS81" t="s">
        <v>43</v>
      </c>
      <c r="DT81" t="s">
        <v>44</v>
      </c>
      <c r="DU81" t="s">
        <v>45</v>
      </c>
      <c r="DV81" t="s">
        <v>46</v>
      </c>
      <c r="DW81" t="s">
        <v>3769</v>
      </c>
      <c r="DX81" t="s">
        <v>3770</v>
      </c>
      <c r="DY81" t="s">
        <v>3771</v>
      </c>
      <c r="DZ81" t="s">
        <v>3772</v>
      </c>
      <c r="EA81" t="s">
        <v>3806</v>
      </c>
      <c r="EB81" t="s">
        <v>3807</v>
      </c>
      <c r="EC81" t="s">
        <v>3775</v>
      </c>
      <c r="ED81" t="s">
        <v>3776</v>
      </c>
      <c r="EE81" t="s">
        <v>3819</v>
      </c>
      <c r="EF81" t="s">
        <v>3809</v>
      </c>
      <c r="EG81" t="s">
        <v>3810</v>
      </c>
      <c r="EH81" t="s">
        <v>3811</v>
      </c>
      <c r="EI81" t="s">
        <v>3820</v>
      </c>
      <c r="EJ81" t="s">
        <v>3813</v>
      </c>
      <c r="EK81" t="s">
        <v>3925</v>
      </c>
      <c r="EL81" t="s">
        <v>3926</v>
      </c>
      <c r="EM81" t="s">
        <v>3816</v>
      </c>
      <c r="EN81" t="s">
        <v>3823</v>
      </c>
      <c r="EO81" t="s">
        <v>3824</v>
      </c>
      <c r="EP81" t="s">
        <v>3857</v>
      </c>
      <c r="EQ81">
        <v>7</v>
      </c>
      <c r="ER81">
        <v>8</v>
      </c>
      <c r="ES81">
        <v>8</v>
      </c>
      <c r="ET81">
        <v>8</v>
      </c>
      <c r="EU81">
        <v>8</v>
      </c>
      <c r="EV81">
        <v>0.1</v>
      </c>
      <c r="EW81">
        <v>0.1</v>
      </c>
      <c r="EX81">
        <v>0.2</v>
      </c>
      <c r="EY81">
        <v>0.3</v>
      </c>
      <c r="EZ81">
        <v>0.3</v>
      </c>
      <c r="FA81">
        <f>EV81*EQ81</f>
        <v>0.70000000000000007</v>
      </c>
      <c r="FB81">
        <f>EW81*ER81</f>
        <v>0.8</v>
      </c>
      <c r="FC81">
        <f>EX81*ES81</f>
        <v>1.6</v>
      </c>
      <c r="FD81">
        <f>EY81*ET81</f>
        <v>2.4</v>
      </c>
      <c r="FE81">
        <f>EZ81*EU81</f>
        <v>2.4</v>
      </c>
      <c r="FF81">
        <v>15</v>
      </c>
      <c r="FG81">
        <v>0</v>
      </c>
      <c r="FH81">
        <v>15</v>
      </c>
      <c r="FI81">
        <f>FA81+FB81+FC81+FD81+FE81</f>
        <v>7.9</v>
      </c>
      <c r="FJ81">
        <f>MEDIAN(EQ81:EU81)</f>
        <v>8</v>
      </c>
      <c r="FL81">
        <v>68.53</v>
      </c>
      <c r="FM81">
        <v>9.6</v>
      </c>
      <c r="FN81" t="s">
        <v>667</v>
      </c>
      <c r="FO81" t="s">
        <v>990</v>
      </c>
      <c r="FP81" t="s">
        <v>991</v>
      </c>
      <c r="FQ81" t="s">
        <v>992</v>
      </c>
      <c r="FR81" t="s">
        <v>993</v>
      </c>
      <c r="FS81">
        <v>10</v>
      </c>
      <c r="FT81">
        <v>10</v>
      </c>
      <c r="FU81">
        <v>10</v>
      </c>
      <c r="FV81">
        <v>8.5</v>
      </c>
      <c r="FW81">
        <v>7.5</v>
      </c>
      <c r="FX81">
        <v>0.1</v>
      </c>
      <c r="FY81">
        <v>0.1</v>
      </c>
      <c r="FZ81">
        <v>0.2</v>
      </c>
      <c r="GA81">
        <v>0.3</v>
      </c>
      <c r="GB81">
        <v>0.3</v>
      </c>
      <c r="GC81">
        <f>FS81*FX81</f>
        <v>1</v>
      </c>
      <c r="GD81">
        <f>FT81*FY81</f>
        <v>1</v>
      </c>
      <c r="GE81">
        <f>FU81*FZ81</f>
        <v>2</v>
      </c>
      <c r="GF81">
        <f>FV81*GA81</f>
        <v>2.5499999999999998</v>
      </c>
      <c r="GG81">
        <f>FW81*GB81</f>
        <v>2.25</v>
      </c>
      <c r="GH81">
        <v>9.85</v>
      </c>
      <c r="GI81">
        <v>0.2</v>
      </c>
      <c r="GJ81">
        <v>9.6</v>
      </c>
      <c r="GK81">
        <f>GC81+GD81+GE81+GF81+GG81</f>
        <v>8.8000000000000007</v>
      </c>
      <c r="GL81">
        <f>MEDIAN(FS81:FW81)</f>
        <v>10</v>
      </c>
    </row>
    <row r="82" spans="1:194" hidden="1" x14ac:dyDescent="0.25">
      <c r="A82">
        <v>81</v>
      </c>
      <c r="B82" t="s">
        <v>2</v>
      </c>
      <c r="C82" s="4">
        <v>72</v>
      </c>
      <c r="D82">
        <v>3</v>
      </c>
      <c r="E82" s="1">
        <f>C82/3/D82</f>
        <v>8</v>
      </c>
      <c r="G82">
        <v>101.63</v>
      </c>
      <c r="H82">
        <v>6.7</v>
      </c>
      <c r="I82">
        <f>H82*D82*3</f>
        <v>60.300000000000004</v>
      </c>
      <c r="J82">
        <v>18.3</v>
      </c>
      <c r="K82">
        <v>8.4</v>
      </c>
      <c r="L82" s="3">
        <f>K82*3*D82</f>
        <v>75.600000000000009</v>
      </c>
      <c r="M82">
        <v>5.51</v>
      </c>
      <c r="N82">
        <v>5</v>
      </c>
      <c r="O82">
        <f>N82*D82*3</f>
        <v>45</v>
      </c>
      <c r="P82" s="5">
        <v>8.5</v>
      </c>
      <c r="Q82" s="5">
        <f>P82*D82*3</f>
        <v>76.5</v>
      </c>
      <c r="S82" t="s">
        <v>6218</v>
      </c>
      <c r="T82">
        <v>7.5</v>
      </c>
      <c r="U82" s="8">
        <f>T82*D82*3</f>
        <v>67.5</v>
      </c>
      <c r="V82">
        <v>29.57</v>
      </c>
      <c r="W82">
        <v>8</v>
      </c>
      <c r="X82" s="5">
        <f>W82*D82*3</f>
        <v>72</v>
      </c>
      <c r="Y82">
        <v>9.4600000000000009</v>
      </c>
      <c r="Z82">
        <v>7.5</v>
      </c>
      <c r="AA82">
        <f>Z82*D82*3</f>
        <v>67.5</v>
      </c>
      <c r="AC82">
        <v>48.78</v>
      </c>
      <c r="AD82">
        <v>7.9</v>
      </c>
      <c r="AE82" s="1">
        <f>AD82*3*D82</f>
        <v>71.100000000000009</v>
      </c>
      <c r="AF82">
        <v>12.04</v>
      </c>
      <c r="AG82" s="5">
        <v>7</v>
      </c>
      <c r="AH82" s="5">
        <f>AG82*D82*3</f>
        <v>63</v>
      </c>
      <c r="AI82" s="13"/>
      <c r="AJ82">
        <v>6.1</v>
      </c>
      <c r="AK82" s="8">
        <f>AJ82*D82*3</f>
        <v>54.899999999999991</v>
      </c>
      <c r="AL82" s="13"/>
      <c r="AM82">
        <v>31.13</v>
      </c>
      <c r="AN82">
        <v>7.3</v>
      </c>
      <c r="AO82" s="8">
        <f>AN82*D82*3</f>
        <v>65.699999999999989</v>
      </c>
      <c r="AP82">
        <v>12.44</v>
      </c>
      <c r="AQ82">
        <v>10</v>
      </c>
      <c r="AR82">
        <f>AQ82*D82*3</f>
        <v>90</v>
      </c>
      <c r="AT82">
        <v>9</v>
      </c>
      <c r="AU82">
        <f>AT82*D82*3</f>
        <v>81</v>
      </c>
      <c r="AW82">
        <v>28.59</v>
      </c>
      <c r="AX82">
        <v>9.9</v>
      </c>
      <c r="AY82">
        <f>AX82*D82*3</f>
        <v>89.100000000000009</v>
      </c>
      <c r="AZ82">
        <v>28.59</v>
      </c>
      <c r="BA82">
        <v>9</v>
      </c>
      <c r="BB82">
        <f>BA82*D82*3</f>
        <v>81</v>
      </c>
      <c r="BD82">
        <v>8.9</v>
      </c>
      <c r="BE82">
        <f>BD82*D82*3</f>
        <v>80.100000000000009</v>
      </c>
      <c r="BG82" s="10"/>
      <c r="BH82" s="1">
        <f>CHOOSE(MATCH(MIN(ABS(BP82-C82),ABS(BQ82-C82),ABS(BR82-C82)),CHOOSE({1;2;3},ABS(BP82-C82),ABS(BQ82-C82),ABS(BR82-C82)),0),BP82,BQ82,BR82)</f>
        <v>72</v>
      </c>
      <c r="BJ82" s="1" cm="1">
        <f t="array" ref="BJ82">(INDEX(_xlfn._xlws.SORT(CHOOSE({1;2;3;4;5;6},BQ82,BR82,L82,AE82,BO82,BP82)),3) + INDEX(_xlfn._xlws.SORT(CHOOSE({1;2;3;4;5;6},BQ82,BR82,L82,AE82,BO82,BP82)),4))/2</f>
        <v>73.349999999999994</v>
      </c>
      <c r="BK82">
        <v>7.9808314258996802</v>
      </c>
      <c r="BL82" t="s">
        <v>6117</v>
      </c>
      <c r="BM82" s="1">
        <f>BK82*3*D82</f>
        <v>71.827482833097122</v>
      </c>
      <c r="BN82" s="1">
        <f>BM82-C82</f>
        <v>-0.17251716690287822</v>
      </c>
      <c r="BO82" s="1">
        <f>GK82*3*D82</f>
        <v>74.699999999999989</v>
      </c>
      <c r="BP82" s="1">
        <f>DO82*3*D82</f>
        <v>64.800000000000011</v>
      </c>
      <c r="BQ82" s="1">
        <f>FJ82*3*D82</f>
        <v>72</v>
      </c>
      <c r="BR82" s="1">
        <f>GL82*3*D82</f>
        <v>81</v>
      </c>
      <c r="BT82">
        <v>101.63</v>
      </c>
      <c r="BU82">
        <v>6.7</v>
      </c>
      <c r="BV82" t="s">
        <v>5167</v>
      </c>
      <c r="BW82" t="s">
        <v>4987</v>
      </c>
      <c r="BX82" t="s">
        <v>5280</v>
      </c>
      <c r="BY82" t="s">
        <v>5281</v>
      </c>
      <c r="BZ82" t="s">
        <v>5282</v>
      </c>
      <c r="CA82" t="s">
        <v>2452</v>
      </c>
      <c r="CC82" t="s">
        <v>2438</v>
      </c>
      <c r="CD82" t="s">
        <v>2453</v>
      </c>
      <c r="CE82" t="s">
        <v>2970</v>
      </c>
      <c r="CG82" t="s">
        <v>2455</v>
      </c>
      <c r="CH82" t="s">
        <v>2456</v>
      </c>
      <c r="CI82" t="s">
        <v>2971</v>
      </c>
      <c r="CJ82" t="s">
        <v>2972</v>
      </c>
      <c r="CK82" t="s">
        <v>2973</v>
      </c>
      <c r="CL82" t="s">
        <v>2973</v>
      </c>
      <c r="CM82" t="s">
        <v>2974</v>
      </c>
      <c r="CN82" t="s">
        <v>2462</v>
      </c>
      <c r="CO82" t="s">
        <v>2975</v>
      </c>
      <c r="CP82" t="s">
        <v>2975</v>
      </c>
      <c r="CQ82" t="s">
        <v>2976</v>
      </c>
      <c r="CR82" t="s">
        <v>2466</v>
      </c>
      <c r="CS82" t="s">
        <v>2977</v>
      </c>
      <c r="CT82" t="s">
        <v>2977</v>
      </c>
      <c r="CV82">
        <v>9</v>
      </c>
      <c r="CW82">
        <v>9</v>
      </c>
      <c r="CX82">
        <v>7</v>
      </c>
      <c r="CY82">
        <v>6</v>
      </c>
      <c r="CZ82">
        <v>5</v>
      </c>
      <c r="DA82">
        <v>0.1</v>
      </c>
      <c r="DB82">
        <v>0.1</v>
      </c>
      <c r="DC82">
        <v>0.2</v>
      </c>
      <c r="DD82">
        <v>0.3</v>
      </c>
      <c r="DE82">
        <v>0.3</v>
      </c>
      <c r="DF82">
        <v>0.9</v>
      </c>
      <c r="DG82">
        <v>0.9</v>
      </c>
      <c r="DH82">
        <v>1.4</v>
      </c>
      <c r="DI82">
        <v>1.8</v>
      </c>
      <c r="DJ82">
        <v>1.5</v>
      </c>
      <c r="DK82">
        <v>6.7</v>
      </c>
      <c r="DL82">
        <v>0</v>
      </c>
      <c r="DM82">
        <v>6.7</v>
      </c>
      <c r="DN82">
        <v>8.4</v>
      </c>
      <c r="DO82">
        <f>AVERAGE(CV82:CZ82)</f>
        <v>7.2</v>
      </c>
      <c r="DQ82">
        <v>8</v>
      </c>
      <c r="DR82" t="s">
        <v>28</v>
      </c>
      <c r="DS82" t="s">
        <v>43</v>
      </c>
      <c r="DT82" t="s">
        <v>227</v>
      </c>
      <c r="DU82" t="s">
        <v>228</v>
      </c>
      <c r="DV82" t="s">
        <v>229</v>
      </c>
      <c r="DW82" t="s">
        <v>3805</v>
      </c>
      <c r="DX82" t="s">
        <v>3770</v>
      </c>
      <c r="DY82" t="s">
        <v>3771</v>
      </c>
      <c r="DZ82" t="s">
        <v>3772</v>
      </c>
      <c r="EA82" t="s">
        <v>3806</v>
      </c>
      <c r="EB82" t="s">
        <v>3807</v>
      </c>
      <c r="EC82" t="s">
        <v>3775</v>
      </c>
      <c r="ED82" t="s">
        <v>3776</v>
      </c>
      <c r="EE82" t="s">
        <v>3946</v>
      </c>
      <c r="EF82" t="s">
        <v>3809</v>
      </c>
      <c r="EG82" t="s">
        <v>3810</v>
      </c>
      <c r="EH82" t="s">
        <v>3811</v>
      </c>
      <c r="EI82" t="s">
        <v>3947</v>
      </c>
      <c r="EJ82" t="s">
        <v>3813</v>
      </c>
      <c r="EK82" t="s">
        <v>3948</v>
      </c>
      <c r="EL82" t="s">
        <v>3815</v>
      </c>
      <c r="EM82" t="s">
        <v>3949</v>
      </c>
      <c r="EN82" t="s">
        <v>3809</v>
      </c>
      <c r="EO82" t="s">
        <v>3950</v>
      </c>
      <c r="EP82" t="s">
        <v>3818</v>
      </c>
      <c r="EQ82">
        <v>7</v>
      </c>
      <c r="ER82">
        <v>8</v>
      </c>
      <c r="ES82">
        <v>8</v>
      </c>
      <c r="ET82">
        <v>8</v>
      </c>
      <c r="EU82">
        <v>8</v>
      </c>
      <c r="EV82">
        <v>0.1</v>
      </c>
      <c r="EW82">
        <v>0.1</v>
      </c>
      <c r="EX82">
        <v>0.2</v>
      </c>
      <c r="EY82">
        <v>0.3</v>
      </c>
      <c r="EZ82">
        <v>0.3</v>
      </c>
      <c r="FA82">
        <f>EV82*EQ82</f>
        <v>0.70000000000000007</v>
      </c>
      <c r="FB82">
        <f>EW82*ER82</f>
        <v>0.8</v>
      </c>
      <c r="FC82">
        <f>EX82*ES82</f>
        <v>1.6</v>
      </c>
      <c r="FD82">
        <f>EY82*ET82</f>
        <v>2.4</v>
      </c>
      <c r="FE82">
        <f>EZ82*EU82</f>
        <v>2.4</v>
      </c>
      <c r="FF82">
        <v>15</v>
      </c>
      <c r="FG82">
        <v>0</v>
      </c>
      <c r="FH82">
        <v>15</v>
      </c>
      <c r="FI82">
        <f>FA82+FB82+FC82+FD82+FE82</f>
        <v>7.9</v>
      </c>
      <c r="FJ82">
        <f>MEDIAN(EQ82:EU82)</f>
        <v>8</v>
      </c>
      <c r="FL82">
        <v>84.24</v>
      </c>
      <c r="FM82">
        <v>8.3000000000000007</v>
      </c>
      <c r="FN82" t="s">
        <v>745</v>
      </c>
      <c r="FO82" t="s">
        <v>994</v>
      </c>
      <c r="FP82" t="s">
        <v>995</v>
      </c>
      <c r="FQ82" t="s">
        <v>996</v>
      </c>
      <c r="FR82" t="s">
        <v>997</v>
      </c>
      <c r="FS82">
        <v>10</v>
      </c>
      <c r="FT82">
        <v>10</v>
      </c>
      <c r="FU82">
        <v>9</v>
      </c>
      <c r="FV82">
        <v>8</v>
      </c>
      <c r="FW82">
        <v>7</v>
      </c>
      <c r="FX82">
        <v>0.1</v>
      </c>
      <c r="FY82">
        <v>0.1</v>
      </c>
      <c r="FZ82">
        <v>0.2</v>
      </c>
      <c r="GA82">
        <v>0.3</v>
      </c>
      <c r="GB82">
        <v>0.3</v>
      </c>
      <c r="GC82">
        <f>FS82*FX82</f>
        <v>1</v>
      </c>
      <c r="GD82">
        <f>FT82*FY82</f>
        <v>1</v>
      </c>
      <c r="GE82">
        <f>FU82*FZ82</f>
        <v>1.8</v>
      </c>
      <c r="GF82">
        <f>FV82*GA82</f>
        <v>2.4</v>
      </c>
      <c r="GG82">
        <f>FW82*GB82</f>
        <v>2.1</v>
      </c>
      <c r="GH82">
        <v>8.3000000000000007</v>
      </c>
      <c r="GI82">
        <v>0</v>
      </c>
      <c r="GJ82">
        <v>8.3000000000000007</v>
      </c>
      <c r="GK82">
        <f>GC82+GD82+GE82+GF82+GG82</f>
        <v>8.2999999999999989</v>
      </c>
      <c r="GL82">
        <f>MEDIAN(FS82:FW82)</f>
        <v>9</v>
      </c>
    </row>
    <row r="83" spans="1:194" hidden="1" x14ac:dyDescent="0.25">
      <c r="A83">
        <v>82</v>
      </c>
      <c r="B83" t="s">
        <v>2</v>
      </c>
      <c r="C83" s="4">
        <v>75</v>
      </c>
      <c r="D83">
        <v>3</v>
      </c>
      <c r="E83" s="1">
        <f>C83/3/D83</f>
        <v>8.3333333333333339</v>
      </c>
      <c r="G83">
        <v>119.4</v>
      </c>
      <c r="H83">
        <v>8</v>
      </c>
      <c r="I83">
        <f>H83*D83*3</f>
        <v>72</v>
      </c>
      <c r="J83">
        <v>18.2</v>
      </c>
      <c r="K83">
        <v>8.6999999999999993</v>
      </c>
      <c r="L83" s="3">
        <f>K83*3*D83</f>
        <v>78.3</v>
      </c>
      <c r="M83">
        <v>4.95</v>
      </c>
      <c r="N83">
        <v>3</v>
      </c>
      <c r="O83">
        <f>N83*D83*3</f>
        <v>27</v>
      </c>
      <c r="P83" s="5">
        <v>8.5</v>
      </c>
      <c r="Q83" s="5">
        <f>P83*D83*3</f>
        <v>76.5</v>
      </c>
      <c r="S83" t="s">
        <v>6219</v>
      </c>
      <c r="T83">
        <v>5.4</v>
      </c>
      <c r="U83" s="8">
        <f>T83*D83*3</f>
        <v>48.600000000000009</v>
      </c>
      <c r="V83">
        <v>32.83</v>
      </c>
      <c r="W83">
        <v>8</v>
      </c>
      <c r="X83" s="5">
        <f>W83*D83*3</f>
        <v>72</v>
      </c>
      <c r="Y83">
        <v>9.02</v>
      </c>
      <c r="Z83">
        <v>7</v>
      </c>
      <c r="AA83">
        <f>Z83*D83*3</f>
        <v>63</v>
      </c>
      <c r="AC83">
        <v>50.68</v>
      </c>
      <c r="AD83">
        <v>8</v>
      </c>
      <c r="AE83" s="1">
        <f>AD83*3*D83</f>
        <v>72</v>
      </c>
      <c r="AF83">
        <v>12.11</v>
      </c>
      <c r="AG83" s="5">
        <v>7</v>
      </c>
      <c r="AH83" s="5">
        <f>AG83*D83*3</f>
        <v>63</v>
      </c>
      <c r="AI83" s="13"/>
      <c r="AJ83">
        <v>28</v>
      </c>
      <c r="AK83" s="8">
        <f>AJ83*D83*3</f>
        <v>252</v>
      </c>
      <c r="AL83" s="13"/>
      <c r="AM83">
        <v>30.38</v>
      </c>
      <c r="AN83">
        <v>7.4</v>
      </c>
      <c r="AO83" s="8">
        <f>AN83*D83*3</f>
        <v>66.600000000000009</v>
      </c>
      <c r="AP83">
        <v>13.58</v>
      </c>
      <c r="AQ83">
        <v>10</v>
      </c>
      <c r="AR83">
        <f>AQ83*D83*3</f>
        <v>90</v>
      </c>
      <c r="AT83">
        <v>8.6999999999999993</v>
      </c>
      <c r="AU83">
        <f>AT83*D83*3</f>
        <v>78.3</v>
      </c>
      <c r="AW83">
        <v>24.41</v>
      </c>
      <c r="AX83">
        <v>9.3000000000000007</v>
      </c>
      <c r="AY83">
        <f>AX83*D83*3</f>
        <v>83.7</v>
      </c>
      <c r="AZ83">
        <v>24.41</v>
      </c>
      <c r="BA83">
        <v>9</v>
      </c>
      <c r="BB83">
        <f>BA83*D83*3</f>
        <v>81</v>
      </c>
      <c r="BD83">
        <v>9</v>
      </c>
      <c r="BE83">
        <f>BD83*D83*3</f>
        <v>81</v>
      </c>
      <c r="BG83" s="10"/>
      <c r="BH83" s="1">
        <f>CHOOSE(MATCH(MIN(ABS(BP83-C83),ABS(BQ83-C83),ABS(BR83-C83)),CHOOSE({1;2;3},ABS(BP83-C83),ABS(BQ83-C83),ABS(BR83-C83)),0),BP83,BQ83,BR83)</f>
        <v>72</v>
      </c>
      <c r="BJ83" s="1" cm="1">
        <f t="array" ref="BJ83">(INDEX(_xlfn._xlws.SORT(CHOOSE({1;2;3;4;5;6},BQ83,BR83,L83,AE83,BO83,BP83)),3) + INDEX(_xlfn._xlws.SORT(CHOOSE({1;2;3;4;5;6},BQ83,BR83,L83,AE83,BO83,BP83)),4))/2</f>
        <v>78.75</v>
      </c>
      <c r="BK83">
        <v>8.2640406840419907</v>
      </c>
      <c r="BL83" t="s">
        <v>6117</v>
      </c>
      <c r="BM83" s="1">
        <f>BK83*3*D83</f>
        <v>74.376366156377912</v>
      </c>
      <c r="BN83" s="1">
        <f>BM83-C83</f>
        <v>-0.62363384362208762</v>
      </c>
      <c r="BO83" s="1">
        <f>GK83*3*D83</f>
        <v>79.2</v>
      </c>
      <c r="BP83" s="1">
        <f>DO83*3*D83</f>
        <v>81</v>
      </c>
      <c r="BQ83" s="1">
        <f>FJ83*3*D83</f>
        <v>72</v>
      </c>
      <c r="BR83" s="1">
        <f>GL83*3*D83</f>
        <v>90</v>
      </c>
      <c r="BT83">
        <v>119.4</v>
      </c>
      <c r="BU83">
        <v>8</v>
      </c>
      <c r="BV83" t="s">
        <v>5283</v>
      </c>
      <c r="BW83" t="s">
        <v>5284</v>
      </c>
      <c r="BX83" t="s">
        <v>5285</v>
      </c>
      <c r="BY83" t="s">
        <v>5286</v>
      </c>
      <c r="BZ83" t="s">
        <v>5287</v>
      </c>
      <c r="CA83" t="s">
        <v>2978</v>
      </c>
      <c r="CC83" t="s">
        <v>2585</v>
      </c>
      <c r="CD83" t="s">
        <v>2453</v>
      </c>
      <c r="CE83" t="s">
        <v>2979</v>
      </c>
      <c r="CG83" t="s">
        <v>2980</v>
      </c>
      <c r="CH83" t="s">
        <v>2823</v>
      </c>
      <c r="CI83" t="s">
        <v>2981</v>
      </c>
      <c r="CK83" t="s">
        <v>2982</v>
      </c>
      <c r="CL83" t="s">
        <v>2825</v>
      </c>
      <c r="CM83" t="s">
        <v>2983</v>
      </c>
      <c r="CO83" t="s">
        <v>2984</v>
      </c>
      <c r="CP83" t="s">
        <v>2828</v>
      </c>
      <c r="CQ83" t="s">
        <v>2985</v>
      </c>
      <c r="CS83" t="s">
        <v>2986</v>
      </c>
      <c r="CT83" t="s">
        <v>2831</v>
      </c>
      <c r="CV83">
        <v>9</v>
      </c>
      <c r="CW83">
        <v>9</v>
      </c>
      <c r="CX83">
        <v>9</v>
      </c>
      <c r="CY83">
        <v>9</v>
      </c>
      <c r="CZ83">
        <v>9</v>
      </c>
      <c r="DA83">
        <v>0.1</v>
      </c>
      <c r="DB83">
        <v>0.1</v>
      </c>
      <c r="DC83">
        <v>0.2</v>
      </c>
      <c r="DD83">
        <v>0.3</v>
      </c>
      <c r="DE83">
        <v>0.3</v>
      </c>
      <c r="DF83">
        <v>0.9</v>
      </c>
      <c r="DG83">
        <v>0.9</v>
      </c>
      <c r="DH83">
        <v>1.8</v>
      </c>
      <c r="DI83">
        <v>2.7</v>
      </c>
      <c r="DJ83">
        <v>2.7</v>
      </c>
      <c r="DK83">
        <v>8</v>
      </c>
      <c r="DL83">
        <v>0</v>
      </c>
      <c r="DM83">
        <v>8</v>
      </c>
      <c r="DN83">
        <v>8.6999999999999993</v>
      </c>
      <c r="DO83">
        <f>AVERAGE(CV83:CZ83)</f>
        <v>9</v>
      </c>
      <c r="DQ83" t="s">
        <v>125</v>
      </c>
      <c r="DR83" t="s">
        <v>230</v>
      </c>
      <c r="DS83" t="s">
        <v>231</v>
      </c>
      <c r="DT83" t="s">
        <v>232</v>
      </c>
      <c r="DU83" t="s">
        <v>233</v>
      </c>
      <c r="DV83" t="s">
        <v>234</v>
      </c>
      <c r="DW83" t="s">
        <v>4269</v>
      </c>
      <c r="DX83" t="s">
        <v>4270</v>
      </c>
      <c r="DY83" t="s">
        <v>4271</v>
      </c>
      <c r="DZ83" t="s">
        <v>4272</v>
      </c>
      <c r="EA83" t="s">
        <v>4273</v>
      </c>
      <c r="EB83" t="s">
        <v>4274</v>
      </c>
      <c r="EC83" t="s">
        <v>4275</v>
      </c>
      <c r="ED83" t="s">
        <v>4276</v>
      </c>
      <c r="EE83" t="s">
        <v>4277</v>
      </c>
      <c r="EF83" t="s">
        <v>4278</v>
      </c>
      <c r="EG83" t="s">
        <v>4279</v>
      </c>
      <c r="EH83" t="s">
        <v>4280</v>
      </c>
      <c r="EI83" t="s">
        <v>4096</v>
      </c>
      <c r="EJ83" t="s">
        <v>4281</v>
      </c>
      <c r="EK83" t="s">
        <v>4282</v>
      </c>
      <c r="EL83" t="s">
        <v>4283</v>
      </c>
      <c r="EM83" t="s">
        <v>4284</v>
      </c>
      <c r="EN83" t="s">
        <v>4285</v>
      </c>
      <c r="EO83" t="s">
        <v>4286</v>
      </c>
      <c r="EP83" t="s">
        <v>4287</v>
      </c>
      <c r="EQ83">
        <v>8</v>
      </c>
      <c r="ER83">
        <v>8</v>
      </c>
      <c r="ES83">
        <v>8</v>
      </c>
      <c r="ET83">
        <v>8</v>
      </c>
      <c r="EU83">
        <v>8</v>
      </c>
      <c r="EV83">
        <v>0.1</v>
      </c>
      <c r="EW83">
        <v>0.1</v>
      </c>
      <c r="EX83">
        <v>0.2</v>
      </c>
      <c r="EY83">
        <v>0.3</v>
      </c>
      <c r="EZ83">
        <v>0.3</v>
      </c>
      <c r="FA83">
        <f>EV83*EQ83</f>
        <v>0.8</v>
      </c>
      <c r="FB83">
        <f>EW83*ER83</f>
        <v>0.8</v>
      </c>
      <c r="FC83">
        <f>EX83*ES83</f>
        <v>1.6</v>
      </c>
      <c r="FD83">
        <f>EY83*ET83</f>
        <v>2.4</v>
      </c>
      <c r="FE83">
        <f>EZ83*EU83</f>
        <v>2.4</v>
      </c>
      <c r="FF83">
        <v>15</v>
      </c>
      <c r="FG83">
        <v>0</v>
      </c>
      <c r="FH83">
        <v>8</v>
      </c>
      <c r="FI83">
        <f>FA83+FB83+FC83+FD83+FE83</f>
        <v>8</v>
      </c>
      <c r="FJ83">
        <f>MEDIAN(EQ83:EU83)</f>
        <v>8</v>
      </c>
      <c r="FL83">
        <v>88.94</v>
      </c>
      <c r="FM83">
        <v>10</v>
      </c>
      <c r="FN83" t="s">
        <v>667</v>
      </c>
      <c r="FO83" t="s">
        <v>998</v>
      </c>
      <c r="FP83" t="s">
        <v>999</v>
      </c>
      <c r="FQ83" t="s">
        <v>1000</v>
      </c>
      <c r="FR83" t="s">
        <v>1001</v>
      </c>
      <c r="FS83">
        <v>10</v>
      </c>
      <c r="FT83">
        <v>10</v>
      </c>
      <c r="FU83">
        <v>10</v>
      </c>
      <c r="FV83">
        <v>8.5</v>
      </c>
      <c r="FW83">
        <v>7.5</v>
      </c>
      <c r="FX83">
        <v>0.1</v>
      </c>
      <c r="FY83">
        <v>0.1</v>
      </c>
      <c r="FZ83">
        <v>0.2</v>
      </c>
      <c r="GA83">
        <v>0.3</v>
      </c>
      <c r="GB83">
        <v>0.3</v>
      </c>
      <c r="GC83">
        <f>FS83*FX83</f>
        <v>1</v>
      </c>
      <c r="GD83">
        <f>FT83*FY83</f>
        <v>1</v>
      </c>
      <c r="GE83">
        <f>FU83*FZ83</f>
        <v>2</v>
      </c>
      <c r="GF83">
        <f>FV83*GA83</f>
        <v>2.5499999999999998</v>
      </c>
      <c r="GG83">
        <f>FW83*GB83</f>
        <v>2.25</v>
      </c>
      <c r="GH83">
        <v>9.85</v>
      </c>
      <c r="GI83">
        <v>0.15</v>
      </c>
      <c r="GJ83">
        <v>10</v>
      </c>
      <c r="GK83">
        <f>GC83+GD83+GE83+GF83+GG83</f>
        <v>8.8000000000000007</v>
      </c>
      <c r="GL83">
        <f>MEDIAN(FS83:FW83)</f>
        <v>10</v>
      </c>
    </row>
    <row r="84" spans="1:194" hidden="1" x14ac:dyDescent="0.25">
      <c r="A84">
        <v>83</v>
      </c>
      <c r="B84" t="s">
        <v>2</v>
      </c>
      <c r="C84" s="4">
        <v>76.8</v>
      </c>
      <c r="D84">
        <v>3.2</v>
      </c>
      <c r="E84" s="1">
        <f>C84/3/D84</f>
        <v>7.9999999999999991</v>
      </c>
      <c r="G84">
        <v>38.92</v>
      </c>
      <c r="H84">
        <v>7.4</v>
      </c>
      <c r="I84">
        <f>H84*D84*3</f>
        <v>71.040000000000006</v>
      </c>
      <c r="J84">
        <v>17.809999999999999</v>
      </c>
      <c r="K84">
        <v>9</v>
      </c>
      <c r="L84" s="3">
        <f>K84*3*D84</f>
        <v>86.4</v>
      </c>
      <c r="M84">
        <v>5.43</v>
      </c>
      <c r="N84">
        <v>5.5</v>
      </c>
      <c r="O84">
        <f>N84*D84*3</f>
        <v>52.800000000000004</v>
      </c>
      <c r="P84" s="5">
        <v>9</v>
      </c>
      <c r="Q84" s="5">
        <f>P84*D84*3</f>
        <v>86.4</v>
      </c>
      <c r="S84" t="s">
        <v>6220</v>
      </c>
      <c r="T84">
        <v>7</v>
      </c>
      <c r="U84" s="8">
        <f>T84*D84*3</f>
        <v>67.2</v>
      </c>
      <c r="V84">
        <v>30.34</v>
      </c>
      <c r="W84">
        <v>8.4</v>
      </c>
      <c r="X84" s="5">
        <f>W84*D84*3</f>
        <v>80.640000000000015</v>
      </c>
      <c r="Y84">
        <v>12.39</v>
      </c>
      <c r="Z84">
        <v>7.5</v>
      </c>
      <c r="AA84">
        <f>Z84*D84*3</f>
        <v>72</v>
      </c>
      <c r="AC84">
        <v>45.64</v>
      </c>
      <c r="AD84">
        <v>8</v>
      </c>
      <c r="AE84" s="1">
        <f>AD84*3*D84</f>
        <v>76.800000000000011</v>
      </c>
      <c r="AF84">
        <v>12.06</v>
      </c>
      <c r="AG84" s="5">
        <v>7</v>
      </c>
      <c r="AH84" s="5">
        <f>AG84*D84*3</f>
        <v>67.2</v>
      </c>
      <c r="AI84" s="13"/>
      <c r="AK84" s="8">
        <f>AJ84*D84*3</f>
        <v>0</v>
      </c>
      <c r="AL84" s="13"/>
      <c r="AM84">
        <v>30.26</v>
      </c>
      <c r="AN84">
        <v>7.3</v>
      </c>
      <c r="AO84" s="8">
        <f>AN84*D84*3</f>
        <v>70.08</v>
      </c>
      <c r="AP84">
        <v>14.24</v>
      </c>
      <c r="AQ84">
        <v>9.1</v>
      </c>
      <c r="AR84">
        <f>AQ84*D84*3</f>
        <v>87.36</v>
      </c>
      <c r="AT84">
        <v>9</v>
      </c>
      <c r="AU84">
        <f>AT84*D84*3</f>
        <v>86.4</v>
      </c>
      <c r="AW84">
        <v>24.08</v>
      </c>
      <c r="AX84">
        <v>9.1</v>
      </c>
      <c r="AY84">
        <f>AX84*D84*3</f>
        <v>87.36</v>
      </c>
      <c r="AZ84">
        <v>24.08</v>
      </c>
      <c r="BA84">
        <v>9.1</v>
      </c>
      <c r="BB84">
        <f>BA84*D84*3</f>
        <v>87.36</v>
      </c>
      <c r="BD84">
        <v>7.8</v>
      </c>
      <c r="BE84">
        <f>BD84*D84*3</f>
        <v>74.88</v>
      </c>
      <c r="BG84" s="10"/>
      <c r="BH84" s="1">
        <f>CHOOSE(MATCH(MIN(ABS(BP84-C84),ABS(BQ84-C84),ABS(BR84-C84)),CHOOSE({1;2;3},ABS(BP84-C84),ABS(BQ84-C84),ABS(BR84-C84)),0),BP84,BQ84,BR84)</f>
        <v>76.800000000000011</v>
      </c>
      <c r="BJ84" s="1" cm="1">
        <f t="array" ref="BJ84">(INDEX(_xlfn._xlws.SORT(CHOOSE({1;2;3;4;5;6},BQ84,BR84,L84,AE84,BO84,BP84)),3) + INDEX(_xlfn._xlws.SORT(CHOOSE({1;2;3;4;5;6},BQ84,BR84,L84,AE84,BO84,BP84)),4))/2</f>
        <v>75.84</v>
      </c>
      <c r="BK84">
        <v>8.0085762992669292</v>
      </c>
      <c r="BL84" t="s">
        <v>6117</v>
      </c>
      <c r="BM84" s="1">
        <f>BK84*3*D84</f>
        <v>76.882332472962531</v>
      </c>
      <c r="BN84" s="1">
        <f>BM84-C84</f>
        <v>8.2332472962534098E-2</v>
      </c>
      <c r="BO84" s="1">
        <f>GK84*3*D84</f>
        <v>23.04</v>
      </c>
      <c r="BP84" s="1">
        <f>DO84*3*D84</f>
        <v>74.88</v>
      </c>
      <c r="BQ84" s="1">
        <f>FJ84*3*D84</f>
        <v>76.800000000000011</v>
      </c>
      <c r="BR84" s="1">
        <f>GL84*3*D84</f>
        <v>28.8</v>
      </c>
      <c r="BT84">
        <v>38.92</v>
      </c>
      <c r="BU84">
        <v>7.4</v>
      </c>
      <c r="BV84" t="s">
        <v>5093</v>
      </c>
      <c r="BW84" t="s">
        <v>5288</v>
      </c>
      <c r="BX84" t="s">
        <v>5289</v>
      </c>
      <c r="BY84" t="s">
        <v>5290</v>
      </c>
      <c r="BZ84" t="s">
        <v>5291</v>
      </c>
      <c r="CA84" t="s">
        <v>2723</v>
      </c>
      <c r="CC84" t="s">
        <v>2438</v>
      </c>
      <c r="CD84" t="s">
        <v>2744</v>
      </c>
      <c r="CE84" t="s">
        <v>2440</v>
      </c>
      <c r="CG84" t="s">
        <v>2791</v>
      </c>
      <c r="CH84" t="s">
        <v>2823</v>
      </c>
      <c r="CI84" t="s">
        <v>2535</v>
      </c>
      <c r="CJ84" t="s">
        <v>2427</v>
      </c>
      <c r="CK84" t="s">
        <v>2987</v>
      </c>
      <c r="CL84" t="s">
        <v>2988</v>
      </c>
      <c r="CM84" t="s">
        <v>2826</v>
      </c>
      <c r="CN84" t="s">
        <v>2659</v>
      </c>
      <c r="CO84" t="s">
        <v>2989</v>
      </c>
      <c r="CP84" t="s">
        <v>2990</v>
      </c>
      <c r="CQ84" t="s">
        <v>2662</v>
      </c>
      <c r="CR84" t="s">
        <v>2829</v>
      </c>
      <c r="CS84" t="s">
        <v>2991</v>
      </c>
      <c r="CT84" t="s">
        <v>2992</v>
      </c>
      <c r="CV84">
        <v>9</v>
      </c>
      <c r="CW84">
        <v>9</v>
      </c>
      <c r="CX84">
        <v>7</v>
      </c>
      <c r="CY84">
        <v>8</v>
      </c>
      <c r="CZ84">
        <v>6</v>
      </c>
      <c r="DA84">
        <v>0.1</v>
      </c>
      <c r="DB84">
        <v>0.1</v>
      </c>
      <c r="DC84">
        <v>0.2</v>
      </c>
      <c r="DD84">
        <v>0.3</v>
      </c>
      <c r="DE84">
        <v>0.3</v>
      </c>
      <c r="DF84">
        <v>0.9</v>
      </c>
      <c r="DG84">
        <v>0.9</v>
      </c>
      <c r="DH84">
        <v>1.4</v>
      </c>
      <c r="DI84">
        <v>2.4</v>
      </c>
      <c r="DJ84">
        <v>1.8</v>
      </c>
      <c r="DK84">
        <v>7.4</v>
      </c>
      <c r="DL84">
        <v>0</v>
      </c>
      <c r="DM84">
        <v>7.4</v>
      </c>
      <c r="DN84">
        <v>9</v>
      </c>
      <c r="DO84">
        <f>AVERAGE(CV84:CZ84)</f>
        <v>7.8</v>
      </c>
      <c r="DQ84">
        <v>8</v>
      </c>
      <c r="DR84" t="s">
        <v>73</v>
      </c>
      <c r="DS84" t="s">
        <v>48</v>
      </c>
      <c r="DT84" t="s">
        <v>49</v>
      </c>
      <c r="DU84" t="s">
        <v>179</v>
      </c>
      <c r="DV84" t="s">
        <v>235</v>
      </c>
      <c r="DW84" t="s">
        <v>3769</v>
      </c>
      <c r="DX84" t="s">
        <v>4186</v>
      </c>
      <c r="DY84" t="s">
        <v>3826</v>
      </c>
      <c r="DZ84" t="s">
        <v>3827</v>
      </c>
      <c r="EA84" t="s">
        <v>3828</v>
      </c>
      <c r="EB84" t="s">
        <v>3793</v>
      </c>
      <c r="EC84" t="s">
        <v>3829</v>
      </c>
      <c r="ED84" t="s">
        <v>3827</v>
      </c>
      <c r="EE84" t="s">
        <v>3830</v>
      </c>
      <c r="EF84" t="s">
        <v>3797</v>
      </c>
      <c r="EG84" t="s">
        <v>3831</v>
      </c>
      <c r="EH84" t="s">
        <v>3827</v>
      </c>
      <c r="EI84" t="s">
        <v>3832</v>
      </c>
      <c r="EJ84" t="s">
        <v>3800</v>
      </c>
      <c r="EK84" t="s">
        <v>3833</v>
      </c>
      <c r="EL84" t="s">
        <v>3827</v>
      </c>
      <c r="EM84" t="s">
        <v>4288</v>
      </c>
      <c r="EN84" t="s">
        <v>3803</v>
      </c>
      <c r="EO84" t="s">
        <v>3835</v>
      </c>
      <c r="EP84" t="s">
        <v>3827</v>
      </c>
      <c r="EQ84">
        <v>8</v>
      </c>
      <c r="ER84">
        <v>8</v>
      </c>
      <c r="ES84">
        <v>8</v>
      </c>
      <c r="ET84">
        <v>8</v>
      </c>
      <c r="EU84">
        <v>8</v>
      </c>
      <c r="EV84">
        <v>0.1</v>
      </c>
      <c r="EW84">
        <v>0.1</v>
      </c>
      <c r="EX84">
        <v>0.2</v>
      </c>
      <c r="EY84">
        <v>0.3</v>
      </c>
      <c r="EZ84">
        <v>0.3</v>
      </c>
      <c r="FA84">
        <f>EV84*EQ84</f>
        <v>0.8</v>
      </c>
      <c r="FB84">
        <f>EW84*ER84</f>
        <v>0.8</v>
      </c>
      <c r="FC84">
        <f>EX84*ES84</f>
        <v>1.6</v>
      </c>
      <c r="FD84">
        <f>EY84*ET84</f>
        <v>2.4</v>
      </c>
      <c r="FE84">
        <f>EZ84*EU84</f>
        <v>2.4</v>
      </c>
      <c r="FF84">
        <v>16</v>
      </c>
      <c r="FG84">
        <v>0</v>
      </c>
      <c r="FH84">
        <v>8</v>
      </c>
      <c r="FI84">
        <f>FA84+FB84+FC84+FD84+FE84</f>
        <v>8</v>
      </c>
      <c r="FJ84">
        <f>MEDIAN(EQ84:EU84)</f>
        <v>8</v>
      </c>
      <c r="FL84">
        <v>36.409999999999997</v>
      </c>
      <c r="FM84">
        <v>7.5</v>
      </c>
      <c r="FN84" t="s">
        <v>1002</v>
      </c>
      <c r="FO84" t="s">
        <v>1003</v>
      </c>
      <c r="FP84" t="s">
        <v>1004</v>
      </c>
      <c r="FQ84" t="s">
        <v>1005</v>
      </c>
      <c r="FR84" t="s">
        <v>1006</v>
      </c>
      <c r="FS84">
        <v>5</v>
      </c>
      <c r="FT84">
        <v>4</v>
      </c>
      <c r="FU84">
        <v>3</v>
      </c>
      <c r="FV84">
        <v>2</v>
      </c>
      <c r="FW84">
        <v>1</v>
      </c>
      <c r="FX84">
        <v>0.1</v>
      </c>
      <c r="FY84">
        <v>0.1</v>
      </c>
      <c r="FZ84">
        <v>0.2</v>
      </c>
      <c r="GA84">
        <v>0.3</v>
      </c>
      <c r="GB84">
        <v>0.3</v>
      </c>
      <c r="GC84">
        <f>FS84*FX84</f>
        <v>0.5</v>
      </c>
      <c r="GD84">
        <f>FT84*FY84</f>
        <v>0.4</v>
      </c>
      <c r="GE84">
        <f>FU84*FZ84</f>
        <v>0.60000000000000009</v>
      </c>
      <c r="GF84">
        <f>FV84*GA84</f>
        <v>0.6</v>
      </c>
      <c r="GG84">
        <f>FW84*GB84</f>
        <v>0.3</v>
      </c>
      <c r="GH84">
        <v>1.8</v>
      </c>
      <c r="GI84">
        <v>-0.5</v>
      </c>
      <c r="GJ84">
        <v>7.5</v>
      </c>
      <c r="GK84">
        <f>GC84+GD84+GE84+GF84+GG84</f>
        <v>2.4</v>
      </c>
      <c r="GL84">
        <f>MEDIAN(FS84:FW84)</f>
        <v>3</v>
      </c>
    </row>
    <row r="85" spans="1:194" hidden="1" x14ac:dyDescent="0.25">
      <c r="A85">
        <v>84</v>
      </c>
      <c r="B85" t="s">
        <v>2</v>
      </c>
      <c r="C85" s="4">
        <v>78.400000000000006</v>
      </c>
      <c r="D85">
        <v>3.2</v>
      </c>
      <c r="E85" s="1">
        <f>C85/3/D85</f>
        <v>8.1666666666666679</v>
      </c>
      <c r="G85">
        <v>35.479999999999997</v>
      </c>
      <c r="H85">
        <v>8.1999999999999993</v>
      </c>
      <c r="I85">
        <f>H85*D85*3</f>
        <v>78.72</v>
      </c>
      <c r="J85">
        <v>17.63</v>
      </c>
      <c r="K85">
        <v>8.4</v>
      </c>
      <c r="L85" s="3">
        <f>K85*3*D85</f>
        <v>80.640000000000015</v>
      </c>
      <c r="M85">
        <v>4.59</v>
      </c>
      <c r="N85">
        <v>6.5</v>
      </c>
      <c r="O85">
        <f>N85*D85*3</f>
        <v>62.400000000000006</v>
      </c>
      <c r="P85" s="5">
        <v>7</v>
      </c>
      <c r="Q85" s="5">
        <f>P85*D85*3</f>
        <v>67.2</v>
      </c>
      <c r="S85" t="s">
        <v>6221</v>
      </c>
      <c r="T85">
        <v>6</v>
      </c>
      <c r="U85" s="8">
        <f>T85*D85*3</f>
        <v>57.600000000000009</v>
      </c>
      <c r="V85">
        <v>31.13</v>
      </c>
      <c r="W85">
        <v>8.4</v>
      </c>
      <c r="X85" s="5">
        <f>W85*D85*3</f>
        <v>80.640000000000015</v>
      </c>
      <c r="Y85">
        <v>12.17</v>
      </c>
      <c r="Z85">
        <v>7.8</v>
      </c>
      <c r="AA85">
        <f>Z85*D85*3</f>
        <v>74.88</v>
      </c>
      <c r="AC85">
        <v>48.45</v>
      </c>
      <c r="AD85">
        <v>8</v>
      </c>
      <c r="AE85" s="1">
        <f>AD85*3*D85</f>
        <v>76.800000000000011</v>
      </c>
      <c r="AF85">
        <v>12.11</v>
      </c>
      <c r="AG85" s="5">
        <v>7</v>
      </c>
      <c r="AH85" s="5">
        <f>AG85*D85*3</f>
        <v>67.2</v>
      </c>
      <c r="AI85" s="13"/>
      <c r="AJ85">
        <v>6.2</v>
      </c>
      <c r="AK85" s="8">
        <f>AJ85*D85*3</f>
        <v>59.52000000000001</v>
      </c>
      <c r="AL85" s="13"/>
      <c r="AM85">
        <v>32.43</v>
      </c>
      <c r="AN85">
        <v>7.1</v>
      </c>
      <c r="AO85" s="8">
        <f>AN85*D85*3</f>
        <v>68.16</v>
      </c>
      <c r="AP85">
        <v>14.74</v>
      </c>
      <c r="AQ85">
        <v>10</v>
      </c>
      <c r="AR85">
        <f>AQ85*D85*3</f>
        <v>96</v>
      </c>
      <c r="AT85">
        <v>8.6</v>
      </c>
      <c r="AU85">
        <f>AT85*D85*3</f>
        <v>82.56</v>
      </c>
      <c r="AW85">
        <v>24.63</v>
      </c>
      <c r="AX85">
        <v>9.9</v>
      </c>
      <c r="AY85">
        <f>AX85*D85*3</f>
        <v>95.04</v>
      </c>
      <c r="AZ85">
        <v>24.63</v>
      </c>
      <c r="BA85">
        <v>8.4</v>
      </c>
      <c r="BB85">
        <f>BA85*D85*3</f>
        <v>80.640000000000015</v>
      </c>
      <c r="BD85">
        <v>8.9</v>
      </c>
      <c r="BE85">
        <f>BD85*D85*3</f>
        <v>85.440000000000012</v>
      </c>
      <c r="BG85" s="10"/>
      <c r="BH85" s="1">
        <f>CHOOSE(MATCH(MIN(ABS(BP85-C85),ABS(BQ85-C85),ABS(BR85-C85)),CHOOSE({1;2;3},ABS(BP85-C85),ABS(BQ85-C85),ABS(BR85-C85)),0),BP85,BQ85,BR85)</f>
        <v>76.800000000000011</v>
      </c>
      <c r="BJ85" s="1" cm="1">
        <f t="array" ref="BJ85">(INDEX(_xlfn._xlws.SORT(CHOOSE({1;2;3;4;5;6},BQ85,BR85,L85,AE85,BO85,BP85)),3) + INDEX(_xlfn._xlws.SORT(CHOOSE({1;2;3;4;5;6},BQ85,BR85,L85,AE85,BO85,BP85)),4))/2</f>
        <v>76.800000000000011</v>
      </c>
      <c r="BK85">
        <v>8.1358820988846805</v>
      </c>
      <c r="BL85" t="s">
        <v>6117</v>
      </c>
      <c r="BM85" s="1">
        <f>BK85*3*D85</f>
        <v>78.104468149292941</v>
      </c>
      <c r="BN85" s="1">
        <f>BM85-C85</f>
        <v>-0.29553185070706434</v>
      </c>
      <c r="BO85" s="1">
        <f>GK85*3*D85</f>
        <v>56.160000000000004</v>
      </c>
      <c r="BP85" s="1">
        <f>DO85*3*D85</f>
        <v>86.4</v>
      </c>
      <c r="BQ85" s="1">
        <f>FJ85*3*D85</f>
        <v>76.800000000000011</v>
      </c>
      <c r="BR85" s="1">
        <f>GL85*3*D85</f>
        <v>62.400000000000006</v>
      </c>
      <c r="BT85">
        <v>35.479999999999997</v>
      </c>
      <c r="BU85">
        <v>8.1999999999999993</v>
      </c>
      <c r="BV85" t="s">
        <v>5003</v>
      </c>
      <c r="BW85" t="s">
        <v>5004</v>
      </c>
      <c r="BX85" t="s">
        <v>5005</v>
      </c>
      <c r="BY85" t="s">
        <v>5092</v>
      </c>
      <c r="BZ85" t="s">
        <v>5292</v>
      </c>
      <c r="CA85" t="s">
        <v>2437</v>
      </c>
      <c r="CC85" t="s">
        <v>2758</v>
      </c>
      <c r="CD85" t="s">
        <v>2508</v>
      </c>
      <c r="CE85" t="s">
        <v>2440</v>
      </c>
      <c r="CG85" t="s">
        <v>2761</v>
      </c>
      <c r="CH85" t="s">
        <v>2510</v>
      </c>
      <c r="CI85" t="s">
        <v>2443</v>
      </c>
      <c r="CK85" t="s">
        <v>2795</v>
      </c>
      <c r="CL85" t="s">
        <v>2512</v>
      </c>
      <c r="CM85" t="s">
        <v>2446</v>
      </c>
      <c r="CO85" t="s">
        <v>2796</v>
      </c>
      <c r="CP85" t="s">
        <v>2514</v>
      </c>
      <c r="CQ85" t="s">
        <v>2449</v>
      </c>
      <c r="CS85" t="s">
        <v>2679</v>
      </c>
      <c r="CT85" t="s">
        <v>2524</v>
      </c>
      <c r="CV85">
        <v>9</v>
      </c>
      <c r="CW85">
        <v>9</v>
      </c>
      <c r="CX85">
        <v>9</v>
      </c>
      <c r="CY85">
        <v>9</v>
      </c>
      <c r="CZ85">
        <v>9</v>
      </c>
      <c r="DA85">
        <v>0.1</v>
      </c>
      <c r="DB85">
        <v>0.1</v>
      </c>
      <c r="DC85">
        <v>0.2</v>
      </c>
      <c r="DD85">
        <v>0.3</v>
      </c>
      <c r="DE85">
        <v>0.3</v>
      </c>
      <c r="DF85">
        <v>0.9</v>
      </c>
      <c r="DG85">
        <v>0.9</v>
      </c>
      <c r="DH85">
        <v>1.8</v>
      </c>
      <c r="DI85">
        <v>2.7</v>
      </c>
      <c r="DJ85">
        <v>2.7</v>
      </c>
      <c r="DK85">
        <v>8.1999999999999993</v>
      </c>
      <c r="DL85">
        <v>0</v>
      </c>
      <c r="DM85">
        <v>8.1999999999999993</v>
      </c>
      <c r="DN85">
        <v>8.4</v>
      </c>
      <c r="DO85">
        <f>AVERAGE(CV85:CZ85)</f>
        <v>9</v>
      </c>
      <c r="DQ85">
        <v>8</v>
      </c>
      <c r="DR85" t="s">
        <v>33</v>
      </c>
      <c r="DS85" t="s">
        <v>34</v>
      </c>
      <c r="DT85" t="s">
        <v>35</v>
      </c>
      <c r="DU85" t="s">
        <v>36</v>
      </c>
      <c r="DV85" t="s">
        <v>200</v>
      </c>
      <c r="DW85" t="s">
        <v>3788</v>
      </c>
      <c r="DX85" t="s">
        <v>3789</v>
      </c>
      <c r="DY85" t="s">
        <v>3790</v>
      </c>
      <c r="DZ85" t="s">
        <v>3791</v>
      </c>
      <c r="EA85" t="s">
        <v>3792</v>
      </c>
      <c r="EB85" t="s">
        <v>3793</v>
      </c>
      <c r="EC85" t="s">
        <v>3794</v>
      </c>
      <c r="ED85" t="s">
        <v>3795</v>
      </c>
      <c r="EE85" t="s">
        <v>3796</v>
      </c>
      <c r="EF85" t="s">
        <v>3797</v>
      </c>
      <c r="EG85" t="s">
        <v>3798</v>
      </c>
      <c r="EH85" t="s">
        <v>3798</v>
      </c>
      <c r="EI85" t="s">
        <v>3799</v>
      </c>
      <c r="EJ85" t="s">
        <v>3800</v>
      </c>
      <c r="EK85" t="s">
        <v>3801</v>
      </c>
      <c r="EL85" t="s">
        <v>3801</v>
      </c>
      <c r="EM85" t="s">
        <v>4227</v>
      </c>
      <c r="EN85" t="s">
        <v>3803</v>
      </c>
      <c r="EO85" t="s">
        <v>4228</v>
      </c>
      <c r="EP85" t="s">
        <v>4229</v>
      </c>
      <c r="EQ85">
        <v>8</v>
      </c>
      <c r="ER85">
        <v>8</v>
      </c>
      <c r="ES85">
        <v>8</v>
      </c>
      <c r="ET85">
        <v>8</v>
      </c>
      <c r="EU85">
        <v>8</v>
      </c>
      <c r="EV85">
        <v>0.1</v>
      </c>
      <c r="EW85">
        <v>0.1</v>
      </c>
      <c r="EX85">
        <v>0.2</v>
      </c>
      <c r="EY85">
        <v>0.3</v>
      </c>
      <c r="EZ85">
        <v>0.3</v>
      </c>
      <c r="FA85">
        <f>EV85*EQ85</f>
        <v>0.8</v>
      </c>
      <c r="FB85">
        <f>EW85*ER85</f>
        <v>0.8</v>
      </c>
      <c r="FC85">
        <f>EX85*ES85</f>
        <v>1.6</v>
      </c>
      <c r="FD85">
        <f>EY85*ET85</f>
        <v>2.4</v>
      </c>
      <c r="FE85">
        <f>EZ85*EU85</f>
        <v>2.4</v>
      </c>
      <c r="FF85">
        <v>17</v>
      </c>
      <c r="FG85">
        <v>0</v>
      </c>
      <c r="FH85">
        <v>8</v>
      </c>
      <c r="FI85">
        <f>FA85+FB85+FC85+FD85+FE85</f>
        <v>8</v>
      </c>
      <c r="FJ85">
        <f>MEDIAN(EQ85:EU85)</f>
        <v>8</v>
      </c>
      <c r="FL85">
        <v>38.53</v>
      </c>
      <c r="FM85">
        <v>5.5</v>
      </c>
      <c r="FN85" t="s">
        <v>1007</v>
      </c>
      <c r="FO85" t="s">
        <v>1008</v>
      </c>
      <c r="FP85" t="s">
        <v>1009</v>
      </c>
      <c r="FQ85" t="s">
        <v>1010</v>
      </c>
      <c r="FR85" t="s">
        <v>1011</v>
      </c>
      <c r="FS85">
        <v>6.5</v>
      </c>
      <c r="FT85">
        <v>8</v>
      </c>
      <c r="FU85">
        <v>7</v>
      </c>
      <c r="FV85">
        <v>6</v>
      </c>
      <c r="FW85">
        <v>4</v>
      </c>
      <c r="FX85">
        <v>0.1</v>
      </c>
      <c r="FY85">
        <v>0.1</v>
      </c>
      <c r="FZ85">
        <v>0.2</v>
      </c>
      <c r="GA85">
        <v>0.3</v>
      </c>
      <c r="GB85">
        <v>0.3</v>
      </c>
      <c r="GC85">
        <f>FS85*FX85</f>
        <v>0.65</v>
      </c>
      <c r="GD85">
        <f>FT85*FY85</f>
        <v>0.8</v>
      </c>
      <c r="GE85">
        <f>FU85*FZ85</f>
        <v>1.4000000000000001</v>
      </c>
      <c r="GF85">
        <f>FV85*GA85</f>
        <v>1.7999999999999998</v>
      </c>
      <c r="GG85">
        <f>FW85*GB85</f>
        <v>1.2</v>
      </c>
      <c r="GH85">
        <v>5.6</v>
      </c>
      <c r="GI85">
        <v>-0.1</v>
      </c>
      <c r="GJ85">
        <v>5.5</v>
      </c>
      <c r="GK85">
        <f>GC85+GD85+GE85+GF85+GG85</f>
        <v>5.8500000000000005</v>
      </c>
      <c r="GL85">
        <f>MEDIAN(FS85:FW85)</f>
        <v>6.5</v>
      </c>
    </row>
    <row r="86" spans="1:194" hidden="1" x14ac:dyDescent="0.25">
      <c r="A86">
        <v>85</v>
      </c>
      <c r="B86" t="s">
        <v>2</v>
      </c>
      <c r="C86" s="4">
        <v>88.8</v>
      </c>
      <c r="D86">
        <v>3.7</v>
      </c>
      <c r="E86" s="1">
        <f>C86/3/D86</f>
        <v>7.9999999999999991</v>
      </c>
      <c r="G86">
        <v>76.67</v>
      </c>
      <c r="H86">
        <v>8.85</v>
      </c>
      <c r="I86">
        <f>H86*D86*3</f>
        <v>98.234999999999985</v>
      </c>
      <c r="J86">
        <v>16.760000000000002</v>
      </c>
      <c r="K86">
        <v>8.4</v>
      </c>
      <c r="L86" s="3">
        <f>K86*3*D86</f>
        <v>93.240000000000009</v>
      </c>
      <c r="M86">
        <v>5.86</v>
      </c>
      <c r="N86">
        <v>3</v>
      </c>
      <c r="O86">
        <f>N86*D86*3</f>
        <v>33.300000000000004</v>
      </c>
      <c r="P86" s="5">
        <v>8.5</v>
      </c>
      <c r="Q86" s="5">
        <f>P86*D86*3</f>
        <v>94.350000000000009</v>
      </c>
      <c r="S86" t="s">
        <v>6222</v>
      </c>
      <c r="T86">
        <v>2.5</v>
      </c>
      <c r="U86" s="8">
        <f>T86*D86*3</f>
        <v>27.75</v>
      </c>
      <c r="V86">
        <v>31</v>
      </c>
      <c r="W86">
        <v>8</v>
      </c>
      <c r="X86" s="5">
        <f>W86*D86*3</f>
        <v>88.800000000000011</v>
      </c>
      <c r="Y86">
        <v>9.7899999999999991</v>
      </c>
      <c r="Z86">
        <v>7.5</v>
      </c>
      <c r="AA86">
        <f>Z86*D86*3</f>
        <v>83.25</v>
      </c>
      <c r="AC86">
        <v>49</v>
      </c>
      <c r="AD86">
        <v>7.9</v>
      </c>
      <c r="AE86" s="1">
        <f>AD86*3*D86</f>
        <v>87.690000000000012</v>
      </c>
      <c r="AF86">
        <v>12.04</v>
      </c>
      <c r="AG86" s="5">
        <v>7</v>
      </c>
      <c r="AH86" s="5">
        <f>AG86*D86*3</f>
        <v>77.7</v>
      </c>
      <c r="AI86" s="13"/>
      <c r="AJ86">
        <v>2.8</v>
      </c>
      <c r="AK86" s="8">
        <f>AJ86*D86*3</f>
        <v>31.08</v>
      </c>
      <c r="AL86" s="13"/>
      <c r="AM86">
        <v>30.03</v>
      </c>
      <c r="AN86">
        <v>7.1</v>
      </c>
      <c r="AO86" s="8">
        <f>AN86*D86*3</f>
        <v>78.81</v>
      </c>
      <c r="AP86">
        <v>14.99</v>
      </c>
      <c r="AQ86">
        <v>9.5</v>
      </c>
      <c r="AR86">
        <f>AQ86*D86*3</f>
        <v>105.44999999999999</v>
      </c>
      <c r="AT86">
        <v>8.5</v>
      </c>
      <c r="AU86">
        <f>AT86*D86*3</f>
        <v>94.350000000000009</v>
      </c>
      <c r="AW86">
        <v>24.85</v>
      </c>
      <c r="AX86">
        <v>9.1</v>
      </c>
      <c r="AY86">
        <f>AX86*D86*3</f>
        <v>101.01</v>
      </c>
      <c r="AZ86">
        <v>24.85</v>
      </c>
      <c r="BA86">
        <v>8.9</v>
      </c>
      <c r="BB86">
        <f>BA86*D86*3</f>
        <v>98.789999999999992</v>
      </c>
      <c r="BD86">
        <v>8.9</v>
      </c>
      <c r="BE86">
        <f>BD86*D86*3</f>
        <v>98.789999999999992</v>
      </c>
      <c r="BG86" s="10"/>
      <c r="BH86" s="1">
        <f>CHOOSE(MATCH(MIN(ABS(BP86-C86),ABS(BQ86-C86),ABS(BR86-C86)),CHOOSE({1;2;3},ABS(BP86-C86),ABS(BQ86-C86),ABS(BR86-C86)),0),BP86,BQ86,BR86)</f>
        <v>88.800000000000011</v>
      </c>
      <c r="BJ86" s="1" cm="1">
        <f t="array" ref="BJ86">(INDEX(_xlfn._xlws.SORT(CHOOSE({1;2;3;4;5;6},BQ86,BR86,L86,AE86,BO86,BP86)),3) + INDEX(_xlfn._xlws.SORT(CHOOSE({1;2;3;4;5;6},BQ86,BR86,L86,AE86,BO86,BP86)),4))/2</f>
        <v>88.800000000000011</v>
      </c>
      <c r="BK86">
        <v>7.9949734757766997</v>
      </c>
      <c r="BL86" t="s">
        <v>6117</v>
      </c>
      <c r="BM86" s="1">
        <f>BK86*3*D86</f>
        <v>88.744205581121378</v>
      </c>
      <c r="BN86" s="1">
        <f>BM86-C86</f>
        <v>-5.5794418878619467E-2</v>
      </c>
      <c r="BO86" s="1">
        <f>GK86*3*D86</f>
        <v>85.470000000000013</v>
      </c>
      <c r="BP86" s="1">
        <f>DO86*3*D86</f>
        <v>98.79000000000002</v>
      </c>
      <c r="BQ86" s="1">
        <f>FJ86*3*D86</f>
        <v>88.800000000000011</v>
      </c>
      <c r="BR86" s="1">
        <f>GL86*3*D86</f>
        <v>88.800000000000011</v>
      </c>
      <c r="BT86">
        <v>76.67</v>
      </c>
      <c r="BU86">
        <v>8.85</v>
      </c>
      <c r="BV86" t="s">
        <v>5293</v>
      </c>
      <c r="BW86" t="s">
        <v>5294</v>
      </c>
      <c r="BX86" t="s">
        <v>5295</v>
      </c>
      <c r="BY86" t="s">
        <v>5296</v>
      </c>
      <c r="BZ86" t="s">
        <v>5084</v>
      </c>
      <c r="CA86" t="s">
        <v>2550</v>
      </c>
      <c r="CC86" t="s">
        <v>2634</v>
      </c>
      <c r="CD86" t="s">
        <v>2635</v>
      </c>
      <c r="CE86" t="s">
        <v>2482</v>
      </c>
      <c r="CG86" t="s">
        <v>2636</v>
      </c>
      <c r="CH86" t="s">
        <v>2637</v>
      </c>
      <c r="CI86" t="s">
        <v>2763</v>
      </c>
      <c r="CK86" t="s">
        <v>2993</v>
      </c>
      <c r="CL86" t="s">
        <v>2994</v>
      </c>
      <c r="CM86" t="s">
        <v>2995</v>
      </c>
      <c r="CO86" t="s">
        <v>2642</v>
      </c>
      <c r="CP86" t="s">
        <v>2869</v>
      </c>
      <c r="CQ86" t="s">
        <v>2769</v>
      </c>
      <c r="CR86" t="s">
        <v>2961</v>
      </c>
      <c r="CS86" t="s">
        <v>2996</v>
      </c>
      <c r="CT86" t="s">
        <v>2997</v>
      </c>
      <c r="CV86">
        <v>9</v>
      </c>
      <c r="CW86">
        <v>9</v>
      </c>
      <c r="CX86">
        <v>9</v>
      </c>
      <c r="CY86">
        <v>9</v>
      </c>
      <c r="CZ86">
        <v>8.5</v>
      </c>
      <c r="DA86">
        <v>0.1</v>
      </c>
      <c r="DB86">
        <v>0.1</v>
      </c>
      <c r="DC86">
        <v>0.2</v>
      </c>
      <c r="DD86">
        <v>0.3</v>
      </c>
      <c r="DE86">
        <v>0.3</v>
      </c>
      <c r="DF86">
        <v>0.9</v>
      </c>
      <c r="DG86">
        <v>0.9</v>
      </c>
      <c r="DH86">
        <v>1.8</v>
      </c>
      <c r="DI86">
        <v>2.7</v>
      </c>
      <c r="DJ86">
        <v>2.5499999999999998</v>
      </c>
      <c r="DK86">
        <v>8.85</v>
      </c>
      <c r="DL86">
        <v>0</v>
      </c>
      <c r="DM86">
        <v>8.85</v>
      </c>
      <c r="DN86">
        <v>8.4</v>
      </c>
      <c r="DO86">
        <f>AVERAGE(CV86:CZ86)</f>
        <v>8.9</v>
      </c>
      <c r="DQ86">
        <v>8</v>
      </c>
      <c r="DR86" t="s">
        <v>28</v>
      </c>
      <c r="DS86" t="s">
        <v>43</v>
      </c>
      <c r="DT86" t="s">
        <v>44</v>
      </c>
      <c r="DU86" t="s">
        <v>45</v>
      </c>
      <c r="DV86" t="s">
        <v>46</v>
      </c>
      <c r="DW86" t="s">
        <v>3769</v>
      </c>
      <c r="DX86" t="s">
        <v>3770</v>
      </c>
      <c r="DY86" t="s">
        <v>3771</v>
      </c>
      <c r="DZ86" t="s">
        <v>3772</v>
      </c>
      <c r="EA86" t="s">
        <v>3806</v>
      </c>
      <c r="EB86" t="s">
        <v>3807</v>
      </c>
      <c r="EC86" t="s">
        <v>3775</v>
      </c>
      <c r="ED86" t="s">
        <v>3776</v>
      </c>
      <c r="EE86" t="s">
        <v>3819</v>
      </c>
      <c r="EF86" t="s">
        <v>3809</v>
      </c>
      <c r="EG86" t="s">
        <v>3810</v>
      </c>
      <c r="EH86" t="s">
        <v>3811</v>
      </c>
      <c r="EI86" t="s">
        <v>3820</v>
      </c>
      <c r="EJ86" t="s">
        <v>3813</v>
      </c>
      <c r="EK86" t="s">
        <v>3925</v>
      </c>
      <c r="EL86" t="s">
        <v>3926</v>
      </c>
      <c r="EM86" t="s">
        <v>3816</v>
      </c>
      <c r="EN86" t="s">
        <v>3823</v>
      </c>
      <c r="EO86" t="s">
        <v>3824</v>
      </c>
      <c r="EP86" t="s">
        <v>3825</v>
      </c>
      <c r="EQ86">
        <v>7</v>
      </c>
      <c r="ER86">
        <v>8</v>
      </c>
      <c r="ES86">
        <v>8</v>
      </c>
      <c r="ET86">
        <v>8</v>
      </c>
      <c r="EU86">
        <v>8</v>
      </c>
      <c r="EV86">
        <v>0.1</v>
      </c>
      <c r="EW86">
        <v>0.1</v>
      </c>
      <c r="EX86">
        <v>0.2</v>
      </c>
      <c r="EY86">
        <v>0.3</v>
      </c>
      <c r="EZ86">
        <v>0.3</v>
      </c>
      <c r="FA86">
        <f>EV86*EQ86</f>
        <v>0.70000000000000007</v>
      </c>
      <c r="FB86">
        <f>EW86*ER86</f>
        <v>0.8</v>
      </c>
      <c r="FC86">
        <f>EX86*ES86</f>
        <v>1.6</v>
      </c>
      <c r="FD86">
        <f>EY86*ET86</f>
        <v>2.4</v>
      </c>
      <c r="FE86">
        <f>EZ86*EU86</f>
        <v>2.4</v>
      </c>
      <c r="FF86">
        <v>15</v>
      </c>
      <c r="FG86">
        <v>0</v>
      </c>
      <c r="FH86">
        <v>15</v>
      </c>
      <c r="FI86">
        <f>FA86+FB86+FC86+FD86+FE86</f>
        <v>7.9</v>
      </c>
      <c r="FJ86">
        <f>MEDIAN(EQ86:EU86)</f>
        <v>8</v>
      </c>
      <c r="FL86">
        <v>78.650000000000006</v>
      </c>
      <c r="FM86">
        <v>8.4</v>
      </c>
      <c r="FN86" t="s">
        <v>1012</v>
      </c>
      <c r="FO86" t="s">
        <v>1013</v>
      </c>
      <c r="FP86" t="s">
        <v>1014</v>
      </c>
      <c r="FQ86" t="s">
        <v>1015</v>
      </c>
      <c r="FR86" t="s">
        <v>1016</v>
      </c>
      <c r="FS86">
        <v>8</v>
      </c>
      <c r="FT86">
        <v>9</v>
      </c>
      <c r="FU86">
        <v>7.5</v>
      </c>
      <c r="FV86">
        <v>6.5</v>
      </c>
      <c r="FW86">
        <v>8.5</v>
      </c>
      <c r="FX86">
        <v>0.1</v>
      </c>
      <c r="FY86">
        <v>0.1</v>
      </c>
      <c r="FZ86">
        <v>0.2</v>
      </c>
      <c r="GA86">
        <v>0.3</v>
      </c>
      <c r="GB86">
        <v>0.3</v>
      </c>
      <c r="GC86">
        <f>FS86*FX86</f>
        <v>0.8</v>
      </c>
      <c r="GD86">
        <f>FT86*FY86</f>
        <v>0.9</v>
      </c>
      <c r="GE86">
        <f>FU86*FZ86</f>
        <v>1.5</v>
      </c>
      <c r="GF86">
        <f>FV86*GA86</f>
        <v>1.95</v>
      </c>
      <c r="GG86">
        <f>FW86*GB86</f>
        <v>2.5499999999999998</v>
      </c>
      <c r="GH86">
        <v>8.4</v>
      </c>
      <c r="GI86">
        <v>0</v>
      </c>
      <c r="GJ86">
        <v>8.4</v>
      </c>
      <c r="GK86">
        <f>GC86+GD86+GE86+GF86+GG86</f>
        <v>7.7</v>
      </c>
      <c r="GL86">
        <f>MEDIAN(FS86:FW86)</f>
        <v>8</v>
      </c>
    </row>
    <row r="87" spans="1:194" hidden="1" x14ac:dyDescent="0.25">
      <c r="A87">
        <v>86</v>
      </c>
      <c r="B87" t="s">
        <v>2</v>
      </c>
      <c r="C87" s="4">
        <v>85.8</v>
      </c>
      <c r="D87">
        <v>3.3</v>
      </c>
      <c r="E87" s="1">
        <f>C87/3/D87</f>
        <v>8.6666666666666661</v>
      </c>
      <c r="G87">
        <v>39.06</v>
      </c>
      <c r="H87">
        <v>8.4</v>
      </c>
      <c r="I87">
        <f>H87*D87*3</f>
        <v>83.16</v>
      </c>
      <c r="J87">
        <v>16.72</v>
      </c>
      <c r="K87">
        <v>9</v>
      </c>
      <c r="L87" s="3">
        <f>K87*3*D87</f>
        <v>89.1</v>
      </c>
      <c r="M87">
        <v>4.3600000000000003</v>
      </c>
      <c r="N87">
        <v>8.8000000000000007</v>
      </c>
      <c r="O87">
        <f>N87*D87*3</f>
        <v>87.12</v>
      </c>
      <c r="P87" s="5">
        <v>7.2</v>
      </c>
      <c r="Q87" s="5">
        <f>P87*D87*3</f>
        <v>71.28</v>
      </c>
      <c r="S87" t="s">
        <v>6223</v>
      </c>
      <c r="T87">
        <v>8.4</v>
      </c>
      <c r="U87" s="8">
        <f>T87*D87*3</f>
        <v>83.16</v>
      </c>
      <c r="V87">
        <v>29.22</v>
      </c>
      <c r="W87">
        <v>8</v>
      </c>
      <c r="X87" s="5">
        <f>W87*D87*3</f>
        <v>79.199999999999989</v>
      </c>
      <c r="Y87">
        <v>11.38</v>
      </c>
      <c r="Z87">
        <v>7</v>
      </c>
      <c r="AA87">
        <f>Z87*D87*3</f>
        <v>69.3</v>
      </c>
      <c r="AC87">
        <v>47.93</v>
      </c>
      <c r="AD87">
        <v>7.4</v>
      </c>
      <c r="AE87" s="1">
        <f>AD87*3*D87</f>
        <v>73.260000000000005</v>
      </c>
      <c r="AF87">
        <v>11.95</v>
      </c>
      <c r="AG87" s="5">
        <v>7</v>
      </c>
      <c r="AH87" s="5">
        <f>AG87*D87*3</f>
        <v>69.3</v>
      </c>
      <c r="AI87" s="13"/>
      <c r="AJ87">
        <v>2.7</v>
      </c>
      <c r="AK87" s="8">
        <f>AJ87*D87*3</f>
        <v>26.73</v>
      </c>
      <c r="AL87" s="13"/>
      <c r="AM87">
        <v>30.13</v>
      </c>
      <c r="AN87">
        <v>8.1</v>
      </c>
      <c r="AO87" s="8">
        <f>AN87*D87*3</f>
        <v>80.19</v>
      </c>
      <c r="AP87">
        <v>11.56</v>
      </c>
      <c r="AQ87">
        <v>9.4</v>
      </c>
      <c r="AR87">
        <f>AQ87*D87*3</f>
        <v>93.06</v>
      </c>
      <c r="AT87">
        <v>8.8000000000000007</v>
      </c>
      <c r="AU87">
        <f>AT87*D87*3</f>
        <v>87.12</v>
      </c>
      <c r="AW87">
        <v>25.04</v>
      </c>
      <c r="AX87">
        <v>9.3000000000000007</v>
      </c>
      <c r="AY87">
        <f>AX87*D87*3</f>
        <v>92.070000000000007</v>
      </c>
      <c r="AZ87">
        <v>25.04</v>
      </c>
      <c r="BA87">
        <v>9.1999999999999993</v>
      </c>
      <c r="BB87">
        <f>BA87*D87*3</f>
        <v>91.079999999999984</v>
      </c>
      <c r="BD87">
        <v>9</v>
      </c>
      <c r="BE87">
        <f>BD87*D87*3</f>
        <v>89.1</v>
      </c>
      <c r="BG87" s="10"/>
      <c r="BH87" s="1">
        <f>CHOOSE(MATCH(MIN(ABS(BP87-C87),ABS(BQ87-C87),ABS(BR87-C87)),CHOOSE({1;2;3},ABS(BP87-C87),ABS(BQ87-C87),ABS(BR87-C87)),0),BP87,BQ87,BR87)</f>
        <v>85.139999999999986</v>
      </c>
      <c r="BJ87" s="1" cm="1">
        <f t="array" ref="BJ87">(INDEX(_xlfn._xlws.SORT(CHOOSE({1;2;3;4;5;6},BQ87,BR87,L87,AE87,BO87,BP87)),3) + INDEX(_xlfn._xlws.SORT(CHOOSE({1;2;3;4;5;6},BQ87,BR87,L87,AE87,BO87,BP87)),4))/2</f>
        <v>71.28</v>
      </c>
      <c r="BK87">
        <v>8.6158566639367002</v>
      </c>
      <c r="BL87" t="s">
        <v>6117</v>
      </c>
      <c r="BM87" s="1">
        <f>BK87*3*D87</f>
        <v>85.29698097297333</v>
      </c>
      <c r="BN87" s="1">
        <f>BM87-C87</f>
        <v>-0.50301902702666723</v>
      </c>
      <c r="BO87" s="1">
        <f>GK87*3*D87</f>
        <v>49.5</v>
      </c>
      <c r="BP87" s="1">
        <f>DO87*3*D87</f>
        <v>85.139999999999986</v>
      </c>
      <c r="BQ87" s="1">
        <f>FJ87*3*D87</f>
        <v>69.3</v>
      </c>
      <c r="BR87" s="1">
        <f>GL87*3*D87</f>
        <v>39.599999999999994</v>
      </c>
      <c r="BT87">
        <v>39.06</v>
      </c>
      <c r="BU87">
        <v>8.4</v>
      </c>
      <c r="BV87" t="s">
        <v>5297</v>
      </c>
      <c r="BW87" t="s">
        <v>5298</v>
      </c>
      <c r="BX87" t="s">
        <v>5299</v>
      </c>
      <c r="BY87" t="s">
        <v>5300</v>
      </c>
      <c r="BZ87" t="s">
        <v>5301</v>
      </c>
      <c r="CA87" t="s">
        <v>2420</v>
      </c>
      <c r="CC87" t="s">
        <v>2525</v>
      </c>
      <c r="CD87" t="s">
        <v>2627</v>
      </c>
      <c r="CE87" t="s">
        <v>2423</v>
      </c>
      <c r="CG87" t="s">
        <v>2998</v>
      </c>
      <c r="CH87" t="s">
        <v>2510</v>
      </c>
      <c r="CI87" t="s">
        <v>2426</v>
      </c>
      <c r="CJ87" t="s">
        <v>2427</v>
      </c>
      <c r="CK87" t="s">
        <v>2999</v>
      </c>
      <c r="CL87" t="s">
        <v>3000</v>
      </c>
      <c r="CM87" t="s">
        <v>2430</v>
      </c>
      <c r="CO87" t="s">
        <v>3001</v>
      </c>
      <c r="CP87" t="s">
        <v>2514</v>
      </c>
      <c r="CQ87" t="s">
        <v>2433</v>
      </c>
      <c r="CR87" t="s">
        <v>2434</v>
      </c>
      <c r="CS87" t="s">
        <v>3002</v>
      </c>
      <c r="CT87" t="s">
        <v>3003</v>
      </c>
      <c r="CV87">
        <v>9</v>
      </c>
      <c r="CW87">
        <v>9</v>
      </c>
      <c r="CX87">
        <v>8</v>
      </c>
      <c r="CY87">
        <v>9</v>
      </c>
      <c r="CZ87">
        <v>8</v>
      </c>
      <c r="DA87">
        <v>0.1</v>
      </c>
      <c r="DB87">
        <v>0.1</v>
      </c>
      <c r="DC87">
        <v>0.2</v>
      </c>
      <c r="DD87">
        <v>0.3</v>
      </c>
      <c r="DE87">
        <v>0.3</v>
      </c>
      <c r="DF87">
        <v>0.9</v>
      </c>
      <c r="DG87">
        <v>0.9</v>
      </c>
      <c r="DH87">
        <v>1.6</v>
      </c>
      <c r="DI87">
        <v>2.7</v>
      </c>
      <c r="DJ87">
        <v>2.4</v>
      </c>
      <c r="DK87">
        <v>8.4</v>
      </c>
      <c r="DL87">
        <v>0</v>
      </c>
      <c r="DM87">
        <v>8.4</v>
      </c>
      <c r="DN87">
        <v>9</v>
      </c>
      <c r="DO87">
        <f>AVERAGE(CV87:CZ87)</f>
        <v>8.6</v>
      </c>
      <c r="DQ87">
        <v>8</v>
      </c>
      <c r="DR87" t="s">
        <v>28</v>
      </c>
      <c r="DS87" t="s">
        <v>43</v>
      </c>
      <c r="DT87" t="s">
        <v>156</v>
      </c>
      <c r="DU87" t="s">
        <v>157</v>
      </c>
      <c r="DV87" t="s">
        <v>158</v>
      </c>
      <c r="DW87" t="s">
        <v>3769</v>
      </c>
      <c r="DX87" t="s">
        <v>3770</v>
      </c>
      <c r="DY87" t="s">
        <v>3771</v>
      </c>
      <c r="DZ87" t="s">
        <v>3772</v>
      </c>
      <c r="EA87" t="s">
        <v>3806</v>
      </c>
      <c r="EB87" t="s">
        <v>3807</v>
      </c>
      <c r="EC87" t="s">
        <v>3775</v>
      </c>
      <c r="ED87" t="s">
        <v>3776</v>
      </c>
      <c r="EE87" t="s">
        <v>3819</v>
      </c>
      <c r="EF87" t="s">
        <v>4104</v>
      </c>
      <c r="EG87" t="s">
        <v>4048</v>
      </c>
      <c r="EH87" t="s">
        <v>4015</v>
      </c>
      <c r="EI87" t="s">
        <v>4105</v>
      </c>
      <c r="EJ87" t="s">
        <v>3813</v>
      </c>
      <c r="EK87" t="s">
        <v>4049</v>
      </c>
      <c r="EL87" t="s">
        <v>3815</v>
      </c>
      <c r="EM87" t="s">
        <v>3816</v>
      </c>
      <c r="EN87" t="s">
        <v>4050</v>
      </c>
      <c r="EO87" t="s">
        <v>4018</v>
      </c>
      <c r="EP87" t="s">
        <v>4051</v>
      </c>
      <c r="EQ87">
        <v>7</v>
      </c>
      <c r="ER87">
        <v>8</v>
      </c>
      <c r="ES87">
        <v>7</v>
      </c>
      <c r="ET87">
        <v>7</v>
      </c>
      <c r="EU87">
        <v>8</v>
      </c>
      <c r="EV87">
        <v>0.1</v>
      </c>
      <c r="EW87">
        <v>0.1</v>
      </c>
      <c r="EX87">
        <v>0.2</v>
      </c>
      <c r="EY87">
        <v>0.3</v>
      </c>
      <c r="EZ87">
        <v>0.3</v>
      </c>
      <c r="FA87">
        <f>EV87*EQ87</f>
        <v>0.70000000000000007</v>
      </c>
      <c r="FB87">
        <f>EW87*ER87</f>
        <v>0.8</v>
      </c>
      <c r="FC87">
        <f>EX87*ES87</f>
        <v>1.4000000000000001</v>
      </c>
      <c r="FD87">
        <f>EY87*ET87</f>
        <v>2.1</v>
      </c>
      <c r="FE87">
        <f>EZ87*EU87</f>
        <v>2.4</v>
      </c>
      <c r="FF87">
        <v>21</v>
      </c>
      <c r="FG87">
        <v>0</v>
      </c>
      <c r="FH87">
        <v>8</v>
      </c>
      <c r="FI87">
        <f>FA87+FB87+FC87+FD87+FE87</f>
        <v>7.4</v>
      </c>
      <c r="FJ87">
        <f>MEDIAN(EQ87:EU87)</f>
        <v>7</v>
      </c>
      <c r="FL87">
        <v>38.28</v>
      </c>
      <c r="FM87">
        <v>9.8000000000000007</v>
      </c>
      <c r="FN87" t="s">
        <v>1017</v>
      </c>
      <c r="FO87" t="s">
        <v>1018</v>
      </c>
      <c r="FP87" t="s">
        <v>1019</v>
      </c>
      <c r="FQ87" t="s">
        <v>843</v>
      </c>
      <c r="FR87" t="s">
        <v>1020</v>
      </c>
      <c r="FS87">
        <v>4</v>
      </c>
      <c r="FT87">
        <v>3</v>
      </c>
      <c r="FU87">
        <v>2</v>
      </c>
      <c r="FV87">
        <v>6</v>
      </c>
      <c r="FW87">
        <v>7</v>
      </c>
      <c r="FX87">
        <v>0.1</v>
      </c>
      <c r="FY87">
        <v>0.1</v>
      </c>
      <c r="FZ87">
        <v>0.2</v>
      </c>
      <c r="GA87">
        <v>0.3</v>
      </c>
      <c r="GB87">
        <v>0.3</v>
      </c>
      <c r="GC87">
        <f>FS87*FX87</f>
        <v>0.4</v>
      </c>
      <c r="GD87">
        <f>FT87*FY87</f>
        <v>0.30000000000000004</v>
      </c>
      <c r="GE87">
        <f>FU87*FZ87</f>
        <v>0.4</v>
      </c>
      <c r="GF87">
        <f>FV87*GA87</f>
        <v>1.7999999999999998</v>
      </c>
      <c r="GG87">
        <f>FW87*GB87</f>
        <v>2.1</v>
      </c>
      <c r="GH87">
        <v>9.8000000000000007</v>
      </c>
      <c r="GI87">
        <v>0</v>
      </c>
      <c r="GJ87">
        <v>9.8000000000000007</v>
      </c>
      <c r="GK87">
        <f>GC87+GD87+GE87+GF87+GG87</f>
        <v>5</v>
      </c>
      <c r="GL87">
        <f>MEDIAN(FS87:FW87)</f>
        <v>4</v>
      </c>
    </row>
    <row r="88" spans="1:194" hidden="1" x14ac:dyDescent="0.25">
      <c r="A88">
        <v>87</v>
      </c>
      <c r="B88" t="s">
        <v>2</v>
      </c>
      <c r="C88" s="4">
        <v>91.8</v>
      </c>
      <c r="D88">
        <v>3.6</v>
      </c>
      <c r="E88" s="1">
        <f>C88/3/D88</f>
        <v>8.5</v>
      </c>
      <c r="G88">
        <v>41.83</v>
      </c>
      <c r="H88">
        <v>3.8</v>
      </c>
      <c r="I88">
        <f>H88*D88*3</f>
        <v>41.04</v>
      </c>
      <c r="J88">
        <v>18.54</v>
      </c>
      <c r="K88">
        <v>8.6999999999999993</v>
      </c>
      <c r="L88" s="3">
        <f>K88*3*D88</f>
        <v>93.96</v>
      </c>
      <c r="M88">
        <v>5.23</v>
      </c>
      <c r="N88">
        <v>5</v>
      </c>
      <c r="O88">
        <f>N88*D88*3</f>
        <v>54</v>
      </c>
      <c r="P88" s="5">
        <v>7.8</v>
      </c>
      <c r="Q88" s="5">
        <f>P88*D88*3</f>
        <v>84.24</v>
      </c>
      <c r="S88" t="s">
        <v>6224</v>
      </c>
      <c r="T88">
        <v>4.5</v>
      </c>
      <c r="U88" s="8">
        <f>T88*D88*3</f>
        <v>48.599999999999994</v>
      </c>
      <c r="V88">
        <v>30.43</v>
      </c>
      <c r="W88">
        <v>9</v>
      </c>
      <c r="X88" s="5">
        <f>W88*D88*3</f>
        <v>97.199999999999989</v>
      </c>
      <c r="Y88">
        <v>11.84</v>
      </c>
      <c r="Z88">
        <v>7.5</v>
      </c>
      <c r="AA88">
        <f>Z88*D88*3</f>
        <v>81</v>
      </c>
      <c r="AC88">
        <v>47.57</v>
      </c>
      <c r="AD88">
        <v>7.9</v>
      </c>
      <c r="AE88" s="1">
        <f>AD88*3*D88</f>
        <v>85.320000000000007</v>
      </c>
      <c r="AF88">
        <v>11.94</v>
      </c>
      <c r="AG88" s="5">
        <v>7</v>
      </c>
      <c r="AH88" s="5">
        <f>AG88*D88*3</f>
        <v>75.599999999999994</v>
      </c>
      <c r="AI88" s="13"/>
      <c r="AJ88">
        <v>27</v>
      </c>
      <c r="AK88" s="8">
        <f>AJ88*D88*3</f>
        <v>291.60000000000002</v>
      </c>
      <c r="AL88" s="13"/>
      <c r="AM88">
        <v>31.02</v>
      </c>
      <c r="AN88">
        <v>7.1</v>
      </c>
      <c r="AO88" s="8">
        <f>AN88*D88*3</f>
        <v>76.679999999999993</v>
      </c>
      <c r="AP88">
        <v>15.24</v>
      </c>
      <c r="AQ88">
        <v>10</v>
      </c>
      <c r="AR88">
        <f>AQ88*D88*3</f>
        <v>108</v>
      </c>
      <c r="AT88">
        <v>9</v>
      </c>
      <c r="AU88">
        <f>AT88*D88*3</f>
        <v>97.199999999999989</v>
      </c>
      <c r="AW88">
        <v>24.15</v>
      </c>
      <c r="AX88">
        <v>9.6</v>
      </c>
      <c r="AY88">
        <f>AX88*D88*3</f>
        <v>103.68</v>
      </c>
      <c r="AZ88">
        <v>24.15</v>
      </c>
      <c r="BA88">
        <v>7.9</v>
      </c>
      <c r="BB88">
        <f>BA88*D88*3</f>
        <v>85.320000000000007</v>
      </c>
      <c r="BD88">
        <v>9</v>
      </c>
      <c r="BE88">
        <f>BD88*D88*3</f>
        <v>97.199999999999989</v>
      </c>
      <c r="BG88" s="10"/>
      <c r="BH88" s="1">
        <f>CHOOSE(MATCH(MIN(ABS(BP88-C88),ABS(BQ88-C88),ABS(BR88-C88)),CHOOSE({1;2;3},ABS(BP88-C88),ABS(BQ88-C88),ABS(BR88-C88)),0),BP88,BQ88,BR88)</f>
        <v>86.4</v>
      </c>
      <c r="BJ88" s="1" cm="1">
        <f t="array" ref="BJ88">(INDEX(_xlfn._xlws.SORT(CHOOSE({1;2;3;4;5;6},BQ88,BR88,L88,AE88,BO88,BP88)),3) + INDEX(_xlfn._xlws.SORT(CHOOSE({1;2;3;4;5;6},BQ88,BR88,L88,AE88,BO88,BP88)),4))/2</f>
        <v>77.760000000000005</v>
      </c>
      <c r="BK88">
        <v>8.4779824139995004</v>
      </c>
      <c r="BL88" t="s">
        <v>6117</v>
      </c>
      <c r="BM88" s="1">
        <f>BK88*3*D88</f>
        <v>91.562210071194613</v>
      </c>
      <c r="BN88" s="1">
        <f>BM88-C88</f>
        <v>-0.23778992880538397</v>
      </c>
      <c r="BO88" s="1">
        <f>GK88*3*D88</f>
        <v>70.2</v>
      </c>
      <c r="BP88" s="1">
        <f>DO88*3*D88</f>
        <v>69.120000000000019</v>
      </c>
      <c r="BQ88" s="1">
        <f>FJ88*3*D88</f>
        <v>86.4</v>
      </c>
      <c r="BR88" s="1">
        <f>GL88*3*D88</f>
        <v>70.2</v>
      </c>
      <c r="BT88">
        <v>41.83</v>
      </c>
      <c r="BU88">
        <v>3.8</v>
      </c>
      <c r="BV88" t="s">
        <v>5302</v>
      </c>
      <c r="BW88" t="s">
        <v>5303</v>
      </c>
      <c r="BX88" t="s">
        <v>5304</v>
      </c>
      <c r="BY88" t="s">
        <v>5305</v>
      </c>
      <c r="BZ88" t="s">
        <v>5306</v>
      </c>
      <c r="CA88" t="s">
        <v>2437</v>
      </c>
      <c r="CC88" t="s">
        <v>2438</v>
      </c>
      <c r="CD88" t="s">
        <v>2439</v>
      </c>
      <c r="CE88" t="s">
        <v>2440</v>
      </c>
      <c r="CG88" t="s">
        <v>2647</v>
      </c>
      <c r="CH88" t="s">
        <v>2648</v>
      </c>
      <c r="CI88" t="s">
        <v>2535</v>
      </c>
      <c r="CJ88" t="s">
        <v>2427</v>
      </c>
      <c r="CK88" t="s">
        <v>3004</v>
      </c>
      <c r="CL88" t="s">
        <v>3005</v>
      </c>
      <c r="CM88" t="s">
        <v>3006</v>
      </c>
      <c r="CN88" t="s">
        <v>3006</v>
      </c>
      <c r="CO88" t="s">
        <v>3007</v>
      </c>
      <c r="CP88" t="s">
        <v>3008</v>
      </c>
      <c r="CQ88" t="s">
        <v>3009</v>
      </c>
      <c r="CR88" t="s">
        <v>3009</v>
      </c>
      <c r="CS88" t="s">
        <v>3010</v>
      </c>
      <c r="CT88" t="s">
        <v>3011</v>
      </c>
      <c r="CV88">
        <v>9</v>
      </c>
      <c r="CW88">
        <v>9</v>
      </c>
      <c r="CX88">
        <v>7</v>
      </c>
      <c r="CY88">
        <v>5</v>
      </c>
      <c r="CZ88">
        <v>2</v>
      </c>
      <c r="DA88">
        <v>0.1</v>
      </c>
      <c r="DB88">
        <v>0.1</v>
      </c>
      <c r="DC88">
        <v>0.2</v>
      </c>
      <c r="DD88">
        <v>0.3</v>
      </c>
      <c r="DE88">
        <v>0.3</v>
      </c>
      <c r="DF88">
        <v>0.9</v>
      </c>
      <c r="DG88">
        <v>0.9</v>
      </c>
      <c r="DH88">
        <v>1.4</v>
      </c>
      <c r="DI88">
        <v>1.5</v>
      </c>
      <c r="DJ88">
        <v>0.6</v>
      </c>
      <c r="DK88">
        <v>4.3</v>
      </c>
      <c r="DL88">
        <v>-0.5</v>
      </c>
      <c r="DM88">
        <v>3.8</v>
      </c>
      <c r="DN88">
        <v>8.6999999999999993</v>
      </c>
      <c r="DO88">
        <f>AVERAGE(CV88:CZ88)</f>
        <v>6.4</v>
      </c>
      <c r="DQ88">
        <v>8</v>
      </c>
      <c r="DR88" t="s">
        <v>28</v>
      </c>
      <c r="DS88" t="s">
        <v>43</v>
      </c>
      <c r="DT88" t="s">
        <v>44</v>
      </c>
      <c r="DU88" t="s">
        <v>45</v>
      </c>
      <c r="DV88" t="s">
        <v>236</v>
      </c>
      <c r="DW88" t="s">
        <v>3769</v>
      </c>
      <c r="DX88" t="s">
        <v>3770</v>
      </c>
      <c r="DY88" t="s">
        <v>3771</v>
      </c>
      <c r="DZ88" t="s">
        <v>3772</v>
      </c>
      <c r="EA88" t="s">
        <v>3806</v>
      </c>
      <c r="EB88" t="s">
        <v>3807</v>
      </c>
      <c r="EC88" t="s">
        <v>3775</v>
      </c>
      <c r="ED88" t="s">
        <v>3776</v>
      </c>
      <c r="EE88" t="s">
        <v>3819</v>
      </c>
      <c r="EF88" t="s">
        <v>3809</v>
      </c>
      <c r="EG88" t="s">
        <v>3810</v>
      </c>
      <c r="EH88" t="s">
        <v>3811</v>
      </c>
      <c r="EI88" t="s">
        <v>3820</v>
      </c>
      <c r="EJ88" t="s">
        <v>3813</v>
      </c>
      <c r="EK88" t="s">
        <v>3821</v>
      </c>
      <c r="EL88" t="s">
        <v>3822</v>
      </c>
      <c r="EM88" t="s">
        <v>3816</v>
      </c>
      <c r="EN88" t="s">
        <v>3931</v>
      </c>
      <c r="EO88" t="s">
        <v>4259</v>
      </c>
      <c r="EP88" t="s">
        <v>3825</v>
      </c>
      <c r="EQ88">
        <v>7</v>
      </c>
      <c r="ER88">
        <v>8</v>
      </c>
      <c r="ES88">
        <v>8</v>
      </c>
      <c r="ET88">
        <v>8</v>
      </c>
      <c r="EU88">
        <v>8</v>
      </c>
      <c r="EV88">
        <v>0.1</v>
      </c>
      <c r="EW88">
        <v>0.1</v>
      </c>
      <c r="EX88">
        <v>0.2</v>
      </c>
      <c r="EY88">
        <v>0.3</v>
      </c>
      <c r="EZ88">
        <v>0.3</v>
      </c>
      <c r="FA88">
        <f>EV88*EQ88</f>
        <v>0.70000000000000007</v>
      </c>
      <c r="FB88">
        <f>EW88*ER88</f>
        <v>0.8</v>
      </c>
      <c r="FC88">
        <f>EX88*ES88</f>
        <v>1.6</v>
      </c>
      <c r="FD88">
        <f>EY88*ET88</f>
        <v>2.4</v>
      </c>
      <c r="FE88">
        <f>EZ88*EU88</f>
        <v>2.4</v>
      </c>
      <c r="FF88">
        <v>15</v>
      </c>
      <c r="FG88">
        <v>0</v>
      </c>
      <c r="FH88">
        <v>15</v>
      </c>
      <c r="FI88">
        <f>FA88+FB88+FC88+FD88+FE88</f>
        <v>7.9</v>
      </c>
      <c r="FJ88">
        <f>MEDIAN(EQ88:EU88)</f>
        <v>8</v>
      </c>
      <c r="FL88">
        <v>43.86</v>
      </c>
      <c r="FM88">
        <v>7.4</v>
      </c>
      <c r="FN88" t="s">
        <v>1021</v>
      </c>
      <c r="FO88" t="s">
        <v>1022</v>
      </c>
      <c r="FP88" t="s">
        <v>1023</v>
      </c>
      <c r="FQ88" t="s">
        <v>1024</v>
      </c>
      <c r="FR88" t="s">
        <v>1025</v>
      </c>
      <c r="FS88">
        <v>6.5</v>
      </c>
      <c r="FT88">
        <v>7.5</v>
      </c>
      <c r="FU88">
        <v>6</v>
      </c>
      <c r="FV88">
        <v>7</v>
      </c>
      <c r="FW88">
        <v>6</v>
      </c>
      <c r="FX88">
        <v>0.1</v>
      </c>
      <c r="FY88">
        <v>0.1</v>
      </c>
      <c r="FZ88">
        <v>0.2</v>
      </c>
      <c r="GA88">
        <v>0.3</v>
      </c>
      <c r="GB88">
        <v>0.3</v>
      </c>
      <c r="GC88">
        <f>FS88*FX88</f>
        <v>0.65</v>
      </c>
      <c r="GD88">
        <f>FT88*FY88</f>
        <v>0.75</v>
      </c>
      <c r="GE88">
        <f>FU88*FZ88</f>
        <v>1.2000000000000002</v>
      </c>
      <c r="GF88">
        <f>FV88*GA88</f>
        <v>2.1</v>
      </c>
      <c r="GG88">
        <f>FW88*GB88</f>
        <v>1.7999999999999998</v>
      </c>
      <c r="GH88">
        <v>7.4</v>
      </c>
      <c r="GJ88">
        <v>7.4</v>
      </c>
      <c r="GK88">
        <f>GC88+GD88+GE88+GF88+GG88</f>
        <v>6.5</v>
      </c>
      <c r="GL88">
        <f>MEDIAN(FS88:FW88)</f>
        <v>6.5</v>
      </c>
    </row>
    <row r="89" spans="1:194" hidden="1" x14ac:dyDescent="0.25">
      <c r="A89">
        <v>88</v>
      </c>
      <c r="B89" t="s">
        <v>2</v>
      </c>
      <c r="C89" s="4">
        <v>76.8</v>
      </c>
      <c r="D89">
        <v>3.2</v>
      </c>
      <c r="E89" s="1">
        <f>C89/3/D89</f>
        <v>7.9999999999999991</v>
      </c>
      <c r="G89">
        <v>34.049999999999997</v>
      </c>
      <c r="H89">
        <v>8.1999999999999993</v>
      </c>
      <c r="I89">
        <f>H89*D89*3</f>
        <v>78.72</v>
      </c>
      <c r="J89">
        <v>16.02</v>
      </c>
      <c r="K89">
        <v>7.7</v>
      </c>
      <c r="L89" s="3">
        <f>K89*3*D89</f>
        <v>73.92</v>
      </c>
      <c r="M89">
        <v>5.55</v>
      </c>
      <c r="N89">
        <v>5</v>
      </c>
      <c r="O89">
        <f>N89*D89*3</f>
        <v>48</v>
      </c>
      <c r="P89" s="5">
        <v>7</v>
      </c>
      <c r="Q89" s="5">
        <f>P89*D89*3</f>
        <v>67.2</v>
      </c>
      <c r="S89" t="s">
        <v>6225</v>
      </c>
      <c r="T89">
        <v>8.1999999999999993</v>
      </c>
      <c r="U89" s="8">
        <f>T89*D89*3</f>
        <v>78.72</v>
      </c>
      <c r="V89">
        <v>30.89</v>
      </c>
      <c r="W89">
        <v>8</v>
      </c>
      <c r="X89" s="5">
        <f>W89*D89*3</f>
        <v>76.800000000000011</v>
      </c>
      <c r="Y89">
        <v>9.8699999999999992</v>
      </c>
      <c r="Z89">
        <v>6</v>
      </c>
      <c r="AA89">
        <f>Z89*D89*3</f>
        <v>57.600000000000009</v>
      </c>
      <c r="AC89">
        <v>47.52</v>
      </c>
      <c r="AD89">
        <v>7.1</v>
      </c>
      <c r="AE89" s="1">
        <f>AD89*3*D89</f>
        <v>68.16</v>
      </c>
      <c r="AF89">
        <v>12.01</v>
      </c>
      <c r="AG89" s="5">
        <v>7</v>
      </c>
      <c r="AH89" s="5">
        <f>AG89*D89*3</f>
        <v>67.2</v>
      </c>
      <c r="AI89" s="13"/>
      <c r="AJ89">
        <v>21</v>
      </c>
      <c r="AK89" s="8">
        <f>AJ89*D89*3</f>
        <v>201.60000000000002</v>
      </c>
      <c r="AL89" s="13"/>
      <c r="AM89">
        <v>31.42</v>
      </c>
      <c r="AN89">
        <v>5.0999999999999996</v>
      </c>
      <c r="AO89" s="8">
        <f>AN89*D89*3</f>
        <v>48.96</v>
      </c>
      <c r="AP89">
        <v>12.93</v>
      </c>
      <c r="AQ89">
        <v>9.3000000000000007</v>
      </c>
      <c r="AR89">
        <f>AQ89*D89*3</f>
        <v>89.280000000000015</v>
      </c>
      <c r="AT89">
        <v>8.8000000000000007</v>
      </c>
      <c r="AU89">
        <f>AT89*D89*3</f>
        <v>84.480000000000018</v>
      </c>
      <c r="AW89">
        <v>23.68</v>
      </c>
      <c r="AX89">
        <v>9.1</v>
      </c>
      <c r="AY89">
        <f>AX89*D89*3</f>
        <v>87.36</v>
      </c>
      <c r="AZ89">
        <v>23.68</v>
      </c>
      <c r="BA89">
        <v>9</v>
      </c>
      <c r="BB89">
        <f>BA89*D89*3</f>
        <v>86.4</v>
      </c>
      <c r="BD89">
        <v>9</v>
      </c>
      <c r="BE89">
        <f>BD89*D89*3</f>
        <v>86.4</v>
      </c>
      <c r="BG89" s="10"/>
      <c r="BH89" s="1">
        <f>CHOOSE(MATCH(MIN(ABS(BP89-C89),ABS(BQ89-C89),ABS(BR89-C89)),CHOOSE({1;2;3},ABS(BP89-C89),ABS(BQ89-C89),ABS(BR89-C89)),0),BP89,BQ89,BR89)</f>
        <v>67.2</v>
      </c>
      <c r="BJ89" s="1" cm="1">
        <f t="array" ref="BJ89">(INDEX(_xlfn._xlws.SORT(CHOOSE({1;2;3;4;5;6},BQ89,BR89,L89,AE89,BO89,BP89)),3) + INDEX(_xlfn._xlws.SORT(CHOOSE({1;2;3;4;5;6},BQ89,BR89,L89,AE89,BO89,BP89)),4))/2</f>
        <v>67.680000000000007</v>
      </c>
      <c r="BK89">
        <v>8.0401247356867405</v>
      </c>
      <c r="BL89" t="s">
        <v>6117</v>
      </c>
      <c r="BM89" s="1">
        <f>BK89*3*D89</f>
        <v>77.185197462592726</v>
      </c>
      <c r="BN89" s="1">
        <f>BM89-C89</f>
        <v>0.38519746259272836</v>
      </c>
      <c r="BO89" s="1">
        <f>GK89*3*D89</f>
        <v>50.400000000000006</v>
      </c>
      <c r="BP89" s="1">
        <f>DO89*3*D89</f>
        <v>86.4</v>
      </c>
      <c r="BQ89" s="1">
        <f>FJ89*3*D89</f>
        <v>67.2</v>
      </c>
      <c r="BR89" s="1">
        <f>GL89*3*D89</f>
        <v>38.400000000000006</v>
      </c>
      <c r="BT89">
        <v>34.049999999999997</v>
      </c>
      <c r="BU89">
        <v>8.1999999999999993</v>
      </c>
      <c r="BV89" t="s">
        <v>5042</v>
      </c>
      <c r="BW89" t="s">
        <v>5143</v>
      </c>
      <c r="BX89" t="s">
        <v>5307</v>
      </c>
      <c r="BY89" t="s">
        <v>5308</v>
      </c>
      <c r="BZ89" t="s">
        <v>5309</v>
      </c>
      <c r="CA89" t="s">
        <v>2723</v>
      </c>
      <c r="CC89" t="s">
        <v>2758</v>
      </c>
      <c r="CD89" t="s">
        <v>2508</v>
      </c>
      <c r="CE89" t="s">
        <v>2440</v>
      </c>
      <c r="CG89" t="s">
        <v>2761</v>
      </c>
      <c r="CH89" t="s">
        <v>2510</v>
      </c>
      <c r="CI89" t="s">
        <v>2443</v>
      </c>
      <c r="CK89" t="s">
        <v>3012</v>
      </c>
      <c r="CL89" t="s">
        <v>2512</v>
      </c>
      <c r="CM89" t="s">
        <v>2446</v>
      </c>
      <c r="CO89" t="s">
        <v>2796</v>
      </c>
      <c r="CP89" t="s">
        <v>2514</v>
      </c>
      <c r="CQ89" t="s">
        <v>2449</v>
      </c>
      <c r="CS89" t="s">
        <v>3013</v>
      </c>
      <c r="CT89" t="s">
        <v>2524</v>
      </c>
      <c r="CV89">
        <v>9</v>
      </c>
      <c r="CW89">
        <v>9</v>
      </c>
      <c r="CX89">
        <v>9</v>
      </c>
      <c r="CY89">
        <v>9</v>
      </c>
      <c r="CZ89">
        <v>9</v>
      </c>
      <c r="DA89">
        <v>0.1</v>
      </c>
      <c r="DB89">
        <v>0.1</v>
      </c>
      <c r="DC89">
        <v>0.2</v>
      </c>
      <c r="DD89">
        <v>0.3</v>
      </c>
      <c r="DE89">
        <v>0.3</v>
      </c>
      <c r="DF89">
        <v>0.9</v>
      </c>
      <c r="DG89">
        <v>0.9</v>
      </c>
      <c r="DH89">
        <v>1.8</v>
      </c>
      <c r="DI89">
        <v>2.7</v>
      </c>
      <c r="DJ89">
        <v>2.7</v>
      </c>
      <c r="DK89">
        <v>8.1999999999999993</v>
      </c>
      <c r="DL89">
        <v>0</v>
      </c>
      <c r="DM89">
        <v>8.1999999999999993</v>
      </c>
      <c r="DN89">
        <v>7.7</v>
      </c>
      <c r="DO89">
        <f>AVERAGE(CV89:CZ89)</f>
        <v>9</v>
      </c>
      <c r="DQ89">
        <v>14</v>
      </c>
      <c r="DR89" t="s">
        <v>28</v>
      </c>
      <c r="DS89" t="s">
        <v>108</v>
      </c>
      <c r="DT89" t="s">
        <v>109</v>
      </c>
      <c r="DU89" t="s">
        <v>110</v>
      </c>
      <c r="DV89" t="s">
        <v>237</v>
      </c>
      <c r="DW89" t="s">
        <v>3769</v>
      </c>
      <c r="DX89" t="s">
        <v>3770</v>
      </c>
      <c r="DY89" t="s">
        <v>3771</v>
      </c>
      <c r="DZ89" t="s">
        <v>3772</v>
      </c>
      <c r="EA89" t="s">
        <v>3828</v>
      </c>
      <c r="EB89" t="s">
        <v>3774</v>
      </c>
      <c r="EC89" t="s">
        <v>3775</v>
      </c>
      <c r="ED89" t="s">
        <v>3776</v>
      </c>
      <c r="EE89" t="s">
        <v>3777</v>
      </c>
      <c r="EF89" t="s">
        <v>3778</v>
      </c>
      <c r="EG89" t="s">
        <v>4014</v>
      </c>
      <c r="EH89" t="s">
        <v>4015</v>
      </c>
      <c r="EI89" t="s">
        <v>4016</v>
      </c>
      <c r="EJ89" t="s">
        <v>3782</v>
      </c>
      <c r="EK89" t="s">
        <v>4017</v>
      </c>
      <c r="EL89" t="s">
        <v>3815</v>
      </c>
      <c r="EM89" t="s">
        <v>4289</v>
      </c>
      <c r="EN89" t="s">
        <v>4290</v>
      </c>
      <c r="EO89" t="s">
        <v>4291</v>
      </c>
      <c r="EP89" t="s">
        <v>3818</v>
      </c>
      <c r="EQ89">
        <v>7</v>
      </c>
      <c r="ER89">
        <v>8</v>
      </c>
      <c r="ES89">
        <v>7</v>
      </c>
      <c r="ET89">
        <v>7</v>
      </c>
      <c r="EU89">
        <v>7</v>
      </c>
      <c r="EV89">
        <v>0.1</v>
      </c>
      <c r="EW89">
        <v>0.1</v>
      </c>
      <c r="EX89">
        <v>0.2</v>
      </c>
      <c r="EY89">
        <v>0.3</v>
      </c>
      <c r="EZ89">
        <v>0.3</v>
      </c>
      <c r="FA89">
        <f>EV89*EQ89</f>
        <v>0.70000000000000007</v>
      </c>
      <c r="FB89">
        <f>EW89*ER89</f>
        <v>0.8</v>
      </c>
      <c r="FC89">
        <f>EX89*ES89</f>
        <v>1.4000000000000001</v>
      </c>
      <c r="FD89">
        <f>EY89*ET89</f>
        <v>2.1</v>
      </c>
      <c r="FE89">
        <f>EZ89*EU89</f>
        <v>2.1</v>
      </c>
      <c r="FF89">
        <v>14</v>
      </c>
      <c r="FG89">
        <v>0</v>
      </c>
      <c r="FH89">
        <v>14</v>
      </c>
      <c r="FI89">
        <f>FA89+FB89+FC89+FD89+FE89</f>
        <v>7.1</v>
      </c>
      <c r="FJ89">
        <f>MEDIAN(EQ89:EU89)</f>
        <v>7</v>
      </c>
      <c r="FL89">
        <v>39.04</v>
      </c>
      <c r="FM89">
        <v>9</v>
      </c>
      <c r="FN89" t="s">
        <v>1026</v>
      </c>
      <c r="FO89" t="s">
        <v>1027</v>
      </c>
      <c r="FP89" t="s">
        <v>1028</v>
      </c>
      <c r="FQ89" t="s">
        <v>1029</v>
      </c>
      <c r="FR89" t="s">
        <v>1030</v>
      </c>
      <c r="FS89">
        <v>2.5</v>
      </c>
      <c r="FT89">
        <v>3</v>
      </c>
      <c r="FU89">
        <v>4</v>
      </c>
      <c r="FV89">
        <v>6</v>
      </c>
      <c r="FW89">
        <v>7</v>
      </c>
      <c r="FX89">
        <v>0.1</v>
      </c>
      <c r="FY89">
        <v>0.1</v>
      </c>
      <c r="FZ89">
        <v>0.2</v>
      </c>
      <c r="GA89">
        <v>0.3</v>
      </c>
      <c r="GB89">
        <v>0.3</v>
      </c>
      <c r="GC89">
        <f>FS89*FX89</f>
        <v>0.25</v>
      </c>
      <c r="GD89">
        <f>FT89*FY89</f>
        <v>0.30000000000000004</v>
      </c>
      <c r="GE89">
        <f>FU89*FZ89</f>
        <v>0.8</v>
      </c>
      <c r="GF89">
        <f>FV89*GA89</f>
        <v>1.7999999999999998</v>
      </c>
      <c r="GG89">
        <f>FW89*GB89</f>
        <v>2.1</v>
      </c>
      <c r="GH89">
        <v>9</v>
      </c>
      <c r="GI89">
        <v>0</v>
      </c>
      <c r="GJ89">
        <v>9</v>
      </c>
      <c r="GK89">
        <f>GC89+GD89+GE89+GF89+GG89</f>
        <v>5.25</v>
      </c>
      <c r="GL89">
        <f>MEDIAN(FS89:FW89)</f>
        <v>4</v>
      </c>
    </row>
    <row r="90" spans="1:194" hidden="1" x14ac:dyDescent="0.25">
      <c r="A90">
        <v>89</v>
      </c>
      <c r="B90" t="s">
        <v>2</v>
      </c>
      <c r="C90" s="4">
        <v>81.599999999999994</v>
      </c>
      <c r="D90">
        <v>3.2</v>
      </c>
      <c r="E90" s="1">
        <f>C90/3/D90</f>
        <v>8.5</v>
      </c>
      <c r="G90">
        <v>36.42</v>
      </c>
      <c r="H90">
        <v>8.6999999999999993</v>
      </c>
      <c r="I90">
        <f>H90*D90*3</f>
        <v>83.52</v>
      </c>
      <c r="J90">
        <v>16.61</v>
      </c>
      <c r="K90">
        <v>9</v>
      </c>
      <c r="L90" s="3">
        <f>K90*3*D90</f>
        <v>86.4</v>
      </c>
      <c r="M90">
        <v>4.9800000000000004</v>
      </c>
      <c r="N90">
        <v>6.8</v>
      </c>
      <c r="O90">
        <f>N90*D90*3</f>
        <v>65.28</v>
      </c>
      <c r="P90" s="5">
        <v>9</v>
      </c>
      <c r="Q90" s="5">
        <f>P90*D90*3</f>
        <v>86.4</v>
      </c>
      <c r="S90" t="s">
        <v>6226</v>
      </c>
      <c r="T90">
        <v>8.1999999999999993</v>
      </c>
      <c r="U90" s="8">
        <f>T90*D90*3</f>
        <v>78.72</v>
      </c>
      <c r="V90">
        <v>30.14</v>
      </c>
      <c r="W90">
        <v>8.4</v>
      </c>
      <c r="X90" s="5">
        <f>W90*D90*3</f>
        <v>80.640000000000015</v>
      </c>
      <c r="Y90">
        <v>10.77</v>
      </c>
      <c r="Z90">
        <v>7</v>
      </c>
      <c r="AA90">
        <f>Z90*D90*3</f>
        <v>67.2</v>
      </c>
      <c r="AC90">
        <v>47.83</v>
      </c>
      <c r="AD90">
        <v>8</v>
      </c>
      <c r="AE90" s="1">
        <f>AD90*3*D90</f>
        <v>76.800000000000011</v>
      </c>
      <c r="AF90">
        <v>11.97</v>
      </c>
      <c r="AG90" s="5">
        <v>7</v>
      </c>
      <c r="AH90" s="5">
        <f>AG90*D90*3</f>
        <v>67.2</v>
      </c>
      <c r="AI90" s="13"/>
      <c r="AK90" s="8">
        <f>AJ90*D90*3</f>
        <v>0</v>
      </c>
      <c r="AL90" s="13"/>
      <c r="AM90">
        <v>32.21</v>
      </c>
      <c r="AN90">
        <v>7.5</v>
      </c>
      <c r="AO90" s="8">
        <f>AN90*D90*3</f>
        <v>72</v>
      </c>
      <c r="AP90">
        <v>14.16</v>
      </c>
      <c r="AQ90">
        <v>10</v>
      </c>
      <c r="AR90">
        <f>AQ90*D90*3</f>
        <v>96</v>
      </c>
      <c r="AT90">
        <v>8.6999999999999993</v>
      </c>
      <c r="AU90">
        <f>AT90*D90*3</f>
        <v>83.52</v>
      </c>
      <c r="AW90">
        <v>24.31</v>
      </c>
      <c r="AX90">
        <v>9.3000000000000007</v>
      </c>
      <c r="AY90">
        <f>AX90*D90*3</f>
        <v>89.280000000000015</v>
      </c>
      <c r="AZ90">
        <v>24.31</v>
      </c>
      <c r="BA90">
        <v>9.1999999999999993</v>
      </c>
      <c r="BB90">
        <f>BA90*D90*3</f>
        <v>88.32</v>
      </c>
      <c r="BD90">
        <v>9</v>
      </c>
      <c r="BE90">
        <f>BD90*D90*3</f>
        <v>86.4</v>
      </c>
      <c r="BG90" s="10"/>
      <c r="BH90" s="1">
        <f>CHOOSE(MATCH(MIN(ABS(BP90-C90),ABS(BQ90-C90),ABS(BR90-C90)),CHOOSE({1;2;3},ABS(BP90-C90),ABS(BQ90-C90),ABS(BR90-C90)),0),BP90,BQ90,BR90)</f>
        <v>84.480000000000018</v>
      </c>
      <c r="BJ90" s="1" cm="1">
        <f t="array" ref="BJ90">(INDEX(_xlfn._xlws.SORT(CHOOSE({1;2;3;4;5;6},BQ90,BR90,L90,AE90,BO90,BP90)),3) + INDEX(_xlfn._xlws.SORT(CHOOSE({1;2;3;4;5;6},BQ90,BR90,L90,AE90,BO90,BP90)),4))/2</f>
        <v>76.800000000000011</v>
      </c>
      <c r="BK90">
        <v>8.4429076120448894</v>
      </c>
      <c r="BL90" t="s">
        <v>6117</v>
      </c>
      <c r="BM90" s="1">
        <f>BK90*3*D90</f>
        <v>81.051913075630935</v>
      </c>
      <c r="BN90" s="1">
        <f>BM90-C90</f>
        <v>-0.54808692436905915</v>
      </c>
      <c r="BO90" s="1">
        <f>GK90*3*D90</f>
        <v>37.44</v>
      </c>
      <c r="BP90" s="1">
        <f>DO90*3*D90</f>
        <v>84.480000000000018</v>
      </c>
      <c r="BQ90" s="1">
        <f>FJ90*3*D90</f>
        <v>76.800000000000011</v>
      </c>
      <c r="BR90" s="1">
        <f>GL90*3*D90</f>
        <v>38.400000000000006</v>
      </c>
      <c r="BT90">
        <v>36.42</v>
      </c>
      <c r="BU90">
        <v>8.6999999999999993</v>
      </c>
      <c r="BV90" t="s">
        <v>5310</v>
      </c>
      <c r="BW90" t="s">
        <v>5311</v>
      </c>
      <c r="BX90" t="s">
        <v>5312</v>
      </c>
      <c r="BY90" t="s">
        <v>5313</v>
      </c>
      <c r="BZ90" t="s">
        <v>5314</v>
      </c>
      <c r="CA90" t="s">
        <v>2723</v>
      </c>
      <c r="CC90" t="s">
        <v>2878</v>
      </c>
      <c r="CD90" t="s">
        <v>2508</v>
      </c>
      <c r="CE90" t="s">
        <v>2440</v>
      </c>
      <c r="CG90" t="s">
        <v>2509</v>
      </c>
      <c r="CH90" t="s">
        <v>2963</v>
      </c>
      <c r="CI90" t="s">
        <v>2443</v>
      </c>
      <c r="CK90" t="s">
        <v>2655</v>
      </c>
      <c r="CL90" t="s">
        <v>2964</v>
      </c>
      <c r="CM90" t="s">
        <v>2446</v>
      </c>
      <c r="CO90" t="s">
        <v>2965</v>
      </c>
      <c r="CP90" t="s">
        <v>2966</v>
      </c>
      <c r="CQ90" t="s">
        <v>2449</v>
      </c>
      <c r="CR90" t="s">
        <v>2515</v>
      </c>
      <c r="CS90" t="s">
        <v>2516</v>
      </c>
      <c r="CT90" t="s">
        <v>3014</v>
      </c>
      <c r="CV90">
        <v>9</v>
      </c>
      <c r="CW90">
        <v>9</v>
      </c>
      <c r="CX90">
        <v>9</v>
      </c>
      <c r="CY90">
        <v>9</v>
      </c>
      <c r="CZ90">
        <v>8</v>
      </c>
      <c r="DA90">
        <v>0.1</v>
      </c>
      <c r="DB90">
        <v>0.1</v>
      </c>
      <c r="DC90">
        <v>0.2</v>
      </c>
      <c r="DD90">
        <v>0.3</v>
      </c>
      <c r="DE90">
        <v>0.3</v>
      </c>
      <c r="DF90">
        <v>0.9</v>
      </c>
      <c r="DG90">
        <v>0.9</v>
      </c>
      <c r="DH90">
        <v>1.8</v>
      </c>
      <c r="DI90">
        <v>2.7</v>
      </c>
      <c r="DJ90">
        <v>2.4</v>
      </c>
      <c r="DK90">
        <v>8.6999999999999993</v>
      </c>
      <c r="DL90">
        <v>0</v>
      </c>
      <c r="DM90">
        <v>8.6999999999999993</v>
      </c>
      <c r="DN90">
        <v>9</v>
      </c>
      <c r="DO90">
        <f>AVERAGE(CV90:CZ90)</f>
        <v>8.8000000000000007</v>
      </c>
      <c r="DQ90">
        <v>8</v>
      </c>
      <c r="DR90" t="s">
        <v>52</v>
      </c>
      <c r="DS90" t="s">
        <v>204</v>
      </c>
      <c r="DT90" t="s">
        <v>238</v>
      </c>
      <c r="DU90" t="s">
        <v>239</v>
      </c>
      <c r="DV90" t="s">
        <v>72</v>
      </c>
      <c r="DW90" t="s">
        <v>3836</v>
      </c>
      <c r="DX90" t="s">
        <v>3858</v>
      </c>
      <c r="DY90" t="s">
        <v>4292</v>
      </c>
      <c r="DZ90" t="s">
        <v>4293</v>
      </c>
      <c r="EA90" t="s">
        <v>3860</v>
      </c>
      <c r="EB90" t="s">
        <v>3840</v>
      </c>
      <c r="EC90" t="s">
        <v>4294</v>
      </c>
      <c r="ED90" t="s">
        <v>4295</v>
      </c>
      <c r="EE90" t="s">
        <v>3843</v>
      </c>
      <c r="EF90" t="s">
        <v>4245</v>
      </c>
      <c r="EG90" t="s">
        <v>4296</v>
      </c>
      <c r="EH90" t="s">
        <v>4297</v>
      </c>
      <c r="EI90" t="s">
        <v>4298</v>
      </c>
      <c r="EJ90" t="s">
        <v>4299</v>
      </c>
      <c r="EK90" t="s">
        <v>4300</v>
      </c>
      <c r="EL90" t="s">
        <v>4301</v>
      </c>
      <c r="EM90" t="s">
        <v>3851</v>
      </c>
      <c r="EN90" t="s">
        <v>4302</v>
      </c>
      <c r="EO90" t="s">
        <v>4303</v>
      </c>
      <c r="EP90" t="s">
        <v>4304</v>
      </c>
      <c r="EQ90">
        <v>8</v>
      </c>
      <c r="ER90">
        <v>8</v>
      </c>
      <c r="ES90">
        <v>8</v>
      </c>
      <c r="ET90">
        <v>8</v>
      </c>
      <c r="EU90">
        <v>8</v>
      </c>
      <c r="EV90">
        <v>0.1</v>
      </c>
      <c r="EW90">
        <v>0.1</v>
      </c>
      <c r="EX90">
        <v>0.2</v>
      </c>
      <c r="EY90">
        <v>0.3</v>
      </c>
      <c r="EZ90">
        <v>0.3</v>
      </c>
      <c r="FA90">
        <f>EV90*EQ90</f>
        <v>0.8</v>
      </c>
      <c r="FB90">
        <f>EW90*ER90</f>
        <v>0.8</v>
      </c>
      <c r="FC90">
        <f>EX90*ES90</f>
        <v>1.6</v>
      </c>
      <c r="FD90">
        <f>EY90*ET90</f>
        <v>2.4</v>
      </c>
      <c r="FE90">
        <f>EZ90*EU90</f>
        <v>2.4</v>
      </c>
      <c r="FF90">
        <v>16</v>
      </c>
      <c r="FG90">
        <v>0</v>
      </c>
      <c r="FH90">
        <v>8</v>
      </c>
      <c r="FI90">
        <f>FA90+FB90+FC90+FD90+FE90</f>
        <v>8</v>
      </c>
      <c r="FJ90">
        <f>MEDIAN(EQ90:EU90)</f>
        <v>8</v>
      </c>
      <c r="FL90">
        <v>36.090000000000003</v>
      </c>
      <c r="FM90">
        <v>5.5</v>
      </c>
      <c r="FN90" t="s">
        <v>970</v>
      </c>
      <c r="FO90" t="s">
        <v>840</v>
      </c>
      <c r="FP90" t="s">
        <v>1031</v>
      </c>
      <c r="FQ90" t="s">
        <v>1032</v>
      </c>
      <c r="FR90" t="s">
        <v>629</v>
      </c>
      <c r="FS90">
        <v>5</v>
      </c>
      <c r="FT90">
        <v>4</v>
      </c>
      <c r="FU90">
        <v>3</v>
      </c>
      <c r="FV90">
        <v>6</v>
      </c>
      <c r="FW90">
        <v>2</v>
      </c>
      <c r="FX90">
        <v>0.1</v>
      </c>
      <c r="FY90">
        <v>0.1</v>
      </c>
      <c r="FZ90">
        <v>0.2</v>
      </c>
      <c r="GA90">
        <v>0.3</v>
      </c>
      <c r="GB90">
        <v>0.3</v>
      </c>
      <c r="GC90">
        <f>FS90*FX90</f>
        <v>0.5</v>
      </c>
      <c r="GD90">
        <f>FT90*FY90</f>
        <v>0.4</v>
      </c>
      <c r="GE90">
        <f>FU90*FZ90</f>
        <v>0.60000000000000009</v>
      </c>
      <c r="GF90">
        <f>FV90*GA90</f>
        <v>1.7999999999999998</v>
      </c>
      <c r="GG90">
        <f>FW90*GB90</f>
        <v>0.6</v>
      </c>
      <c r="GH90">
        <v>5.7</v>
      </c>
      <c r="GI90">
        <v>-0.2</v>
      </c>
      <c r="GJ90">
        <v>5.5</v>
      </c>
      <c r="GK90">
        <f>GC90+GD90+GE90+GF90+GG90</f>
        <v>3.9</v>
      </c>
      <c r="GL90">
        <f>MEDIAN(FS90:FW90)</f>
        <v>4</v>
      </c>
    </row>
    <row r="91" spans="1:194" hidden="1" x14ac:dyDescent="0.25">
      <c r="A91">
        <v>90</v>
      </c>
      <c r="B91" t="s">
        <v>2</v>
      </c>
      <c r="C91" s="4">
        <v>89.6</v>
      </c>
      <c r="D91">
        <v>3.2</v>
      </c>
      <c r="E91" s="1">
        <f>C91/3/D91</f>
        <v>9.3333333333333321</v>
      </c>
      <c r="G91">
        <v>35.57</v>
      </c>
      <c r="H91">
        <v>8.1999999999999993</v>
      </c>
      <c r="I91">
        <f>H91*D91*3</f>
        <v>78.72</v>
      </c>
      <c r="J91">
        <v>16.600000000000001</v>
      </c>
      <c r="K91">
        <v>8.4</v>
      </c>
      <c r="L91" s="3">
        <f>K91*3*D91</f>
        <v>80.640000000000015</v>
      </c>
      <c r="M91">
        <v>5.03</v>
      </c>
      <c r="N91">
        <v>6.8</v>
      </c>
      <c r="O91">
        <f>N91*D91*3</f>
        <v>65.28</v>
      </c>
      <c r="P91" s="5">
        <v>6.8</v>
      </c>
      <c r="Q91" s="5">
        <f>P91*D91*3</f>
        <v>65.28</v>
      </c>
      <c r="S91" t="s">
        <v>6227</v>
      </c>
      <c r="T91">
        <v>5.3</v>
      </c>
      <c r="U91" s="8">
        <f>T91*D91*3</f>
        <v>50.88</v>
      </c>
      <c r="V91">
        <v>29.81</v>
      </c>
      <c r="W91">
        <v>8.4</v>
      </c>
      <c r="X91" s="5">
        <f>W91*D91*3</f>
        <v>80.640000000000015</v>
      </c>
      <c r="Y91">
        <v>11.08</v>
      </c>
      <c r="Z91">
        <v>8</v>
      </c>
      <c r="AA91">
        <f>Z91*D91*3</f>
        <v>76.800000000000011</v>
      </c>
      <c r="AC91">
        <v>46.25</v>
      </c>
      <c r="AD91">
        <v>8</v>
      </c>
      <c r="AE91" s="1">
        <f>AD91*3*D91</f>
        <v>76.800000000000011</v>
      </c>
      <c r="AF91">
        <v>11.86</v>
      </c>
      <c r="AG91" s="5">
        <v>7</v>
      </c>
      <c r="AH91" s="5">
        <f>AG91*D91*3</f>
        <v>67.2</v>
      </c>
      <c r="AI91" s="13"/>
      <c r="AJ91">
        <v>23.5</v>
      </c>
      <c r="AK91" s="8">
        <f>AJ91*D91*3</f>
        <v>225.60000000000002</v>
      </c>
      <c r="AL91" s="13"/>
      <c r="AM91">
        <v>31.16</v>
      </c>
      <c r="AN91">
        <v>7.3</v>
      </c>
      <c r="AO91" s="8">
        <f>AN91*D91*3</f>
        <v>70.08</v>
      </c>
      <c r="AP91">
        <v>14.22</v>
      </c>
      <c r="AQ91">
        <v>9.5</v>
      </c>
      <c r="AR91">
        <f>AQ91*D91*3</f>
        <v>91.2</v>
      </c>
      <c r="AT91">
        <v>8.5</v>
      </c>
      <c r="AU91">
        <f>AT91*D91*3</f>
        <v>81.600000000000009</v>
      </c>
      <c r="AW91">
        <v>24.66</v>
      </c>
      <c r="AX91">
        <v>9.3000000000000007</v>
      </c>
      <c r="AY91">
        <f>AX91*D91*3</f>
        <v>89.280000000000015</v>
      </c>
      <c r="AZ91">
        <v>24.66</v>
      </c>
      <c r="BA91">
        <v>9.1999999999999993</v>
      </c>
      <c r="BB91">
        <f>BA91*D91*3</f>
        <v>88.32</v>
      </c>
      <c r="BD91">
        <v>8.9</v>
      </c>
      <c r="BE91">
        <f>BD91*D91*3</f>
        <v>85.440000000000012</v>
      </c>
      <c r="BG91" s="10"/>
      <c r="BH91" s="1">
        <f>CHOOSE(MATCH(MIN(ABS(BP91-C91),ABS(BQ91-C91),ABS(BR91-C91)),CHOOSE({1;2;3},ABS(BP91-C91),ABS(BQ91-C91),ABS(BR91-C91)),0),BP91,BQ91,BR91)</f>
        <v>86.4</v>
      </c>
      <c r="BJ91" s="1" cm="1">
        <f t="array" ref="BJ91">(INDEX(_xlfn._xlws.SORT(CHOOSE({1;2;3;4;5;6},BQ91,BR91,L91,AE91,BO91,BP91)),3) + INDEX(_xlfn._xlws.SORT(CHOOSE({1;2;3;4;5;6},BQ91,BR91,L91,AE91,BO91,BP91)),4))/2</f>
        <v>76.800000000000011</v>
      </c>
      <c r="BK91">
        <v>9.2302671382355594</v>
      </c>
      <c r="BL91" t="s">
        <v>6117</v>
      </c>
      <c r="BM91" s="1">
        <f>BK91*3*D91</f>
        <v>88.610564527061371</v>
      </c>
      <c r="BN91" s="1">
        <f>BM91-C91</f>
        <v>-0.98943547293862366</v>
      </c>
      <c r="BO91" s="1">
        <f>GK91*3*D91</f>
        <v>55.68</v>
      </c>
      <c r="BP91" s="1">
        <f>DO91*3*D91</f>
        <v>86.4</v>
      </c>
      <c r="BQ91" s="1">
        <f>FJ91*3*D91</f>
        <v>76.800000000000011</v>
      </c>
      <c r="BR91" s="1">
        <f>GL91*3*D91</f>
        <v>57.6</v>
      </c>
      <c r="BT91">
        <v>35.57</v>
      </c>
      <c r="BU91">
        <v>8.1999999999999993</v>
      </c>
      <c r="BV91" t="s">
        <v>5315</v>
      </c>
      <c r="BW91" t="s">
        <v>5056</v>
      </c>
      <c r="BX91" t="s">
        <v>5057</v>
      </c>
      <c r="BY91" t="s">
        <v>4984</v>
      </c>
      <c r="BZ91" t="s">
        <v>5059</v>
      </c>
      <c r="CA91" t="s">
        <v>2506</v>
      </c>
      <c r="CC91" t="s">
        <v>2507</v>
      </c>
      <c r="CD91" t="s">
        <v>2508</v>
      </c>
      <c r="CE91" t="s">
        <v>2440</v>
      </c>
      <c r="CG91" t="s">
        <v>2509</v>
      </c>
      <c r="CH91" t="s">
        <v>2510</v>
      </c>
      <c r="CI91" t="s">
        <v>2443</v>
      </c>
      <c r="CK91" t="s">
        <v>2511</v>
      </c>
      <c r="CL91" t="s">
        <v>2512</v>
      </c>
      <c r="CM91" t="s">
        <v>2446</v>
      </c>
      <c r="CO91" t="s">
        <v>2513</v>
      </c>
      <c r="CP91" t="s">
        <v>2514</v>
      </c>
      <c r="CQ91" t="s">
        <v>2449</v>
      </c>
      <c r="CS91" t="s">
        <v>2523</v>
      </c>
      <c r="CT91" t="s">
        <v>2524</v>
      </c>
      <c r="CV91">
        <v>9</v>
      </c>
      <c r="CW91">
        <v>9</v>
      </c>
      <c r="CX91">
        <v>9</v>
      </c>
      <c r="CY91">
        <v>9</v>
      </c>
      <c r="CZ91">
        <v>9</v>
      </c>
      <c r="DA91">
        <v>0.1</v>
      </c>
      <c r="DB91">
        <v>0.1</v>
      </c>
      <c r="DC91">
        <v>0.2</v>
      </c>
      <c r="DD91">
        <v>0.3</v>
      </c>
      <c r="DE91">
        <v>0.3</v>
      </c>
      <c r="DF91">
        <v>0.9</v>
      </c>
      <c r="DG91">
        <v>0.9</v>
      </c>
      <c r="DH91">
        <v>1.8</v>
      </c>
      <c r="DI91">
        <v>2.7</v>
      </c>
      <c r="DJ91">
        <v>2.7</v>
      </c>
      <c r="DK91">
        <v>8.1999999999999993</v>
      </c>
      <c r="DL91">
        <v>0</v>
      </c>
      <c r="DM91">
        <v>8.1999999999999993</v>
      </c>
      <c r="DN91">
        <v>8.4</v>
      </c>
      <c r="DO91">
        <f>AVERAGE(CV91:CZ91)</f>
        <v>9</v>
      </c>
      <c r="DQ91">
        <v>8</v>
      </c>
      <c r="DR91" t="s">
        <v>240</v>
      </c>
      <c r="DS91" t="s">
        <v>187</v>
      </c>
      <c r="DT91" t="s">
        <v>241</v>
      </c>
      <c r="DU91" t="s">
        <v>189</v>
      </c>
      <c r="DV91" t="s">
        <v>242</v>
      </c>
      <c r="DW91" t="s">
        <v>3788</v>
      </c>
      <c r="DX91" t="s">
        <v>3789</v>
      </c>
      <c r="DY91" t="s">
        <v>3790</v>
      </c>
      <c r="DZ91" t="s">
        <v>3933</v>
      </c>
      <c r="EA91" t="s">
        <v>3792</v>
      </c>
      <c r="EB91" t="s">
        <v>3793</v>
      </c>
      <c r="EC91" t="s">
        <v>4189</v>
      </c>
      <c r="ED91" t="s">
        <v>4190</v>
      </c>
      <c r="EE91" t="s">
        <v>4305</v>
      </c>
      <c r="EF91" t="s">
        <v>3797</v>
      </c>
      <c r="EG91" t="s">
        <v>4306</v>
      </c>
      <c r="EH91" t="s">
        <v>4307</v>
      </c>
      <c r="EI91" t="s">
        <v>4194</v>
      </c>
      <c r="EJ91" t="s">
        <v>3800</v>
      </c>
      <c r="EK91" t="s">
        <v>4195</v>
      </c>
      <c r="EL91" t="s">
        <v>4196</v>
      </c>
      <c r="EM91" t="s">
        <v>4308</v>
      </c>
      <c r="EN91" t="s">
        <v>3803</v>
      </c>
      <c r="EO91" t="s">
        <v>4309</v>
      </c>
      <c r="EP91" t="s">
        <v>4310</v>
      </c>
      <c r="EQ91">
        <v>8</v>
      </c>
      <c r="ER91">
        <v>8</v>
      </c>
      <c r="ES91">
        <v>8</v>
      </c>
      <c r="ET91">
        <v>8</v>
      </c>
      <c r="EU91">
        <v>8</v>
      </c>
      <c r="EV91">
        <v>0.1</v>
      </c>
      <c r="EW91">
        <v>0.1</v>
      </c>
      <c r="EX91">
        <v>0.2</v>
      </c>
      <c r="EY91">
        <v>0.3</v>
      </c>
      <c r="EZ91">
        <v>0.3</v>
      </c>
      <c r="FA91">
        <f>EV91*EQ91</f>
        <v>0.8</v>
      </c>
      <c r="FB91">
        <f>EW91*ER91</f>
        <v>0.8</v>
      </c>
      <c r="FC91">
        <f>EX91*ES91</f>
        <v>1.6</v>
      </c>
      <c r="FD91">
        <f>EY91*ET91</f>
        <v>2.4</v>
      </c>
      <c r="FE91">
        <f>EZ91*EU91</f>
        <v>2.4</v>
      </c>
      <c r="FF91">
        <v>17</v>
      </c>
      <c r="FG91">
        <v>0</v>
      </c>
      <c r="FH91">
        <v>8</v>
      </c>
      <c r="FI91">
        <f>FA91+FB91+FC91+FD91+FE91</f>
        <v>8</v>
      </c>
      <c r="FJ91">
        <f>MEDIAN(EQ91:EU91)</f>
        <v>8</v>
      </c>
      <c r="FL91">
        <v>61.04</v>
      </c>
      <c r="FM91">
        <v>5.6</v>
      </c>
      <c r="FN91" t="s">
        <v>1033</v>
      </c>
      <c r="FO91" t="s">
        <v>1034</v>
      </c>
      <c r="FP91" t="s">
        <v>1035</v>
      </c>
      <c r="FQ91" t="s">
        <v>1036</v>
      </c>
      <c r="FR91" t="s">
        <v>1037</v>
      </c>
      <c r="FS91">
        <v>5</v>
      </c>
      <c r="FT91">
        <v>8</v>
      </c>
      <c r="FU91">
        <v>6</v>
      </c>
      <c r="FV91">
        <v>7</v>
      </c>
      <c r="FW91">
        <v>4</v>
      </c>
      <c r="FX91">
        <v>0.1</v>
      </c>
      <c r="FY91">
        <v>0.1</v>
      </c>
      <c r="FZ91">
        <v>0.2</v>
      </c>
      <c r="GA91">
        <v>0.3</v>
      </c>
      <c r="GB91">
        <v>0.3</v>
      </c>
      <c r="GC91">
        <f>FS91*FX91</f>
        <v>0.5</v>
      </c>
      <c r="GD91">
        <f>FT91*FY91</f>
        <v>0.8</v>
      </c>
      <c r="GE91">
        <f>FU91*FZ91</f>
        <v>1.2000000000000002</v>
      </c>
      <c r="GF91">
        <f>FV91*GA91</f>
        <v>2.1</v>
      </c>
      <c r="GG91">
        <f>FW91*GB91</f>
        <v>1.2</v>
      </c>
      <c r="GH91">
        <v>5.6</v>
      </c>
      <c r="GJ91">
        <v>5.6</v>
      </c>
      <c r="GK91">
        <f>GC91+GD91+GE91+GF91+GG91</f>
        <v>5.8</v>
      </c>
      <c r="GL91">
        <f>MEDIAN(FS91:FW91)</f>
        <v>6</v>
      </c>
    </row>
    <row r="92" spans="1:194" hidden="1" x14ac:dyDescent="0.25">
      <c r="A92">
        <v>91</v>
      </c>
      <c r="B92" t="s">
        <v>2</v>
      </c>
      <c r="C92" s="4">
        <v>86.4</v>
      </c>
      <c r="D92">
        <v>3.2</v>
      </c>
      <c r="E92" s="1">
        <f>C92/3/D92</f>
        <v>9</v>
      </c>
      <c r="G92">
        <v>33.01</v>
      </c>
      <c r="H92">
        <v>8.1999999999999993</v>
      </c>
      <c r="I92">
        <f>H92*D92*3</f>
        <v>78.72</v>
      </c>
      <c r="J92">
        <v>14.04</v>
      </c>
      <c r="K92">
        <v>9</v>
      </c>
      <c r="L92" s="3">
        <f>K92*3*D92</f>
        <v>86.4</v>
      </c>
      <c r="M92">
        <v>6.01</v>
      </c>
      <c r="N92">
        <v>4.4000000000000004</v>
      </c>
      <c r="O92">
        <f>N92*D92*3</f>
        <v>42.240000000000009</v>
      </c>
      <c r="P92" s="5">
        <v>6.5</v>
      </c>
      <c r="Q92" s="5">
        <f>P92*D92*3</f>
        <v>62.400000000000006</v>
      </c>
      <c r="S92" t="s">
        <v>6228</v>
      </c>
      <c r="T92">
        <v>6.7</v>
      </c>
      <c r="U92" s="8">
        <f>T92*D92*3</f>
        <v>64.320000000000007</v>
      </c>
      <c r="V92">
        <v>31.7</v>
      </c>
      <c r="W92">
        <v>8</v>
      </c>
      <c r="X92" s="5">
        <f>W92*D92*3</f>
        <v>76.800000000000011</v>
      </c>
      <c r="Y92">
        <v>8.86</v>
      </c>
      <c r="Z92">
        <v>6</v>
      </c>
      <c r="AA92">
        <f>Z92*D92*3</f>
        <v>57.600000000000009</v>
      </c>
      <c r="AC92">
        <v>46.19</v>
      </c>
      <c r="AD92">
        <v>8</v>
      </c>
      <c r="AE92" s="1">
        <f>AD92*3*D92</f>
        <v>76.800000000000011</v>
      </c>
      <c r="AF92">
        <v>11.79</v>
      </c>
      <c r="AG92" s="5">
        <v>7</v>
      </c>
      <c r="AH92" s="5">
        <f>AG92*D92*3</f>
        <v>67.2</v>
      </c>
      <c r="AI92" s="13"/>
      <c r="AK92" s="8">
        <f>AJ92*D92*3</f>
        <v>0</v>
      </c>
      <c r="AL92" s="13"/>
      <c r="AM92">
        <v>31.25</v>
      </c>
      <c r="AN92">
        <v>7</v>
      </c>
      <c r="AO92" s="8">
        <f>AN92*D92*3</f>
        <v>67.2</v>
      </c>
      <c r="AP92">
        <v>14.93</v>
      </c>
      <c r="AQ92">
        <v>10</v>
      </c>
      <c r="AR92">
        <f>AQ92*D92*3</f>
        <v>96</v>
      </c>
      <c r="AT92">
        <v>9</v>
      </c>
      <c r="AU92">
        <f>AT92*D92*3</f>
        <v>86.4</v>
      </c>
      <c r="AW92">
        <v>23.55</v>
      </c>
      <c r="AX92">
        <v>8.8000000000000007</v>
      </c>
      <c r="AY92">
        <f>AX92*D92*3</f>
        <v>84.480000000000018</v>
      </c>
      <c r="AZ92">
        <v>23.55</v>
      </c>
      <c r="BA92">
        <v>9</v>
      </c>
      <c r="BB92">
        <f>BA92*D92*3</f>
        <v>86.4</v>
      </c>
      <c r="BD92">
        <v>8.6</v>
      </c>
      <c r="BE92">
        <f>BD92*D92*3</f>
        <v>82.56</v>
      </c>
      <c r="BG92" s="10"/>
      <c r="BH92" s="1">
        <f>CHOOSE(MATCH(MIN(ABS(BP92-C92),ABS(BQ92-C92),ABS(BR92-C92)),CHOOSE({1;2;3},ABS(BP92-C92),ABS(BQ92-C92),ABS(BR92-C92)),0),BP92,BQ92,BR92)</f>
        <v>86.4</v>
      </c>
      <c r="BJ92" s="1" cm="1">
        <f t="array" ref="BJ92">(INDEX(_xlfn._xlws.SORT(CHOOSE({1;2;3;4;5;6},BQ92,BR92,L92,AE92,BO92,BP92)),3) + INDEX(_xlfn._xlws.SORT(CHOOSE({1;2;3;4;5;6},BQ92,BR92,L92,AE92,BO92,BP92)),4))/2</f>
        <v>76.800000000000011</v>
      </c>
      <c r="BK92">
        <v>8.9560310257210904</v>
      </c>
      <c r="BL92" t="s">
        <v>6117</v>
      </c>
      <c r="BM92" s="1">
        <f>BK92*3*D92</f>
        <v>85.977897846922474</v>
      </c>
      <c r="BN92" s="1">
        <f>BM92-C92</f>
        <v>-0.42210215307753174</v>
      </c>
      <c r="BO92" s="1">
        <f>GK92*3*D92</f>
        <v>36.96</v>
      </c>
      <c r="BP92" s="1">
        <f>DO92*3*D92</f>
        <v>86.4</v>
      </c>
      <c r="BQ92" s="1">
        <f>FJ92*3*D92</f>
        <v>76.800000000000011</v>
      </c>
      <c r="BR92" s="1">
        <f>GL92*3*D92</f>
        <v>28.8</v>
      </c>
      <c r="BT92">
        <v>33.01</v>
      </c>
      <c r="BU92">
        <v>8.1999999999999993</v>
      </c>
      <c r="BV92" t="s">
        <v>5316</v>
      </c>
      <c r="BW92" t="s">
        <v>5317</v>
      </c>
      <c r="BX92" t="s">
        <v>5318</v>
      </c>
      <c r="BY92" t="s">
        <v>5319</v>
      </c>
      <c r="BZ92" t="s">
        <v>5320</v>
      </c>
      <c r="CA92" t="s">
        <v>2437</v>
      </c>
      <c r="CC92" t="s">
        <v>2758</v>
      </c>
      <c r="CD92" t="s">
        <v>2508</v>
      </c>
      <c r="CE92" t="s">
        <v>2440</v>
      </c>
      <c r="CG92" t="s">
        <v>2761</v>
      </c>
      <c r="CH92" t="s">
        <v>2510</v>
      </c>
      <c r="CI92" t="s">
        <v>2443</v>
      </c>
      <c r="CK92" t="s">
        <v>3012</v>
      </c>
      <c r="CL92" t="s">
        <v>2512</v>
      </c>
      <c r="CM92" t="s">
        <v>2446</v>
      </c>
      <c r="CO92" t="s">
        <v>2796</v>
      </c>
      <c r="CP92" t="s">
        <v>2514</v>
      </c>
      <c r="CQ92" t="s">
        <v>2449</v>
      </c>
      <c r="CS92" t="s">
        <v>3013</v>
      </c>
      <c r="CT92" t="s">
        <v>2524</v>
      </c>
      <c r="CV92">
        <v>9</v>
      </c>
      <c r="CW92">
        <v>9</v>
      </c>
      <c r="CX92">
        <v>9</v>
      </c>
      <c r="CY92">
        <v>9</v>
      </c>
      <c r="CZ92">
        <v>9</v>
      </c>
      <c r="DA92">
        <v>0.1</v>
      </c>
      <c r="DB92">
        <v>0.1</v>
      </c>
      <c r="DC92">
        <v>0.2</v>
      </c>
      <c r="DD92">
        <v>0.3</v>
      </c>
      <c r="DE92">
        <v>0.3</v>
      </c>
      <c r="DF92">
        <v>0.9</v>
      </c>
      <c r="DG92">
        <v>0.9</v>
      </c>
      <c r="DH92">
        <v>1.8</v>
      </c>
      <c r="DI92">
        <v>2.7</v>
      </c>
      <c r="DJ92">
        <v>2.7</v>
      </c>
      <c r="DK92">
        <v>8.1999999999999993</v>
      </c>
      <c r="DL92">
        <v>0</v>
      </c>
      <c r="DM92">
        <v>8.1999999999999993</v>
      </c>
      <c r="DN92">
        <v>9</v>
      </c>
      <c r="DO92">
        <f>AVERAGE(CV92:CZ92)</f>
        <v>9</v>
      </c>
      <c r="DQ92" t="s">
        <v>27</v>
      </c>
      <c r="DR92" t="s">
        <v>33</v>
      </c>
      <c r="DS92" t="s">
        <v>243</v>
      </c>
      <c r="DT92" t="s">
        <v>244</v>
      </c>
      <c r="DU92" t="s">
        <v>245</v>
      </c>
      <c r="DV92" t="s">
        <v>246</v>
      </c>
      <c r="DW92" t="s">
        <v>3788</v>
      </c>
      <c r="DX92" t="s">
        <v>4311</v>
      </c>
      <c r="DY92" t="s">
        <v>4312</v>
      </c>
      <c r="DZ92" t="s">
        <v>4313</v>
      </c>
      <c r="EA92" t="s">
        <v>3934</v>
      </c>
      <c r="EB92" t="s">
        <v>3953</v>
      </c>
      <c r="EC92" t="s">
        <v>4314</v>
      </c>
      <c r="ED92" t="s">
        <v>4315</v>
      </c>
      <c r="EE92" t="s">
        <v>3978</v>
      </c>
      <c r="EF92" t="s">
        <v>3844</v>
      </c>
      <c r="EG92" t="s">
        <v>4316</v>
      </c>
      <c r="EH92" t="s">
        <v>4317</v>
      </c>
      <c r="EI92" t="s">
        <v>3981</v>
      </c>
      <c r="EJ92" t="s">
        <v>3848</v>
      </c>
      <c r="EK92" t="s">
        <v>4318</v>
      </c>
      <c r="EL92" t="s">
        <v>4319</v>
      </c>
      <c r="EM92" t="s">
        <v>4320</v>
      </c>
      <c r="EN92" t="s">
        <v>3852</v>
      </c>
      <c r="EO92" t="s">
        <v>4321</v>
      </c>
      <c r="EP92" t="s">
        <v>4322</v>
      </c>
      <c r="EQ92">
        <v>8</v>
      </c>
      <c r="ER92">
        <v>8</v>
      </c>
      <c r="ES92">
        <v>8</v>
      </c>
      <c r="ET92">
        <v>8</v>
      </c>
      <c r="EU92">
        <v>8</v>
      </c>
      <c r="EV92">
        <v>0.1</v>
      </c>
      <c r="EW92">
        <v>0.1</v>
      </c>
      <c r="EX92">
        <v>0.2</v>
      </c>
      <c r="EY92">
        <v>0.3</v>
      </c>
      <c r="EZ92">
        <v>0.3</v>
      </c>
      <c r="FA92">
        <f>EV92*EQ92</f>
        <v>0.8</v>
      </c>
      <c r="FB92">
        <f>EW92*ER92</f>
        <v>0.8</v>
      </c>
      <c r="FC92">
        <f>EX92*ES92</f>
        <v>1.6</v>
      </c>
      <c r="FD92">
        <f>EY92*ET92</f>
        <v>2.4</v>
      </c>
      <c r="FE92">
        <f>EZ92*EU92</f>
        <v>2.4</v>
      </c>
      <c r="FF92">
        <v>16</v>
      </c>
      <c r="FG92">
        <v>0</v>
      </c>
      <c r="FH92">
        <v>8</v>
      </c>
      <c r="FI92">
        <f>FA92+FB92+FC92+FD92+FE92</f>
        <v>8</v>
      </c>
      <c r="FJ92">
        <f>MEDIAN(EQ92:EU92)</f>
        <v>8</v>
      </c>
      <c r="FL92">
        <v>45.61</v>
      </c>
      <c r="FM92">
        <v>7.5</v>
      </c>
      <c r="FN92" t="s">
        <v>1038</v>
      </c>
      <c r="FO92" t="s">
        <v>1039</v>
      </c>
      <c r="FP92" t="s">
        <v>802</v>
      </c>
      <c r="FQ92" t="s">
        <v>1040</v>
      </c>
      <c r="FR92" t="s">
        <v>1041</v>
      </c>
      <c r="FS92">
        <v>2.5</v>
      </c>
      <c r="FT92">
        <v>3</v>
      </c>
      <c r="FU92">
        <v>1.5</v>
      </c>
      <c r="FV92">
        <v>4</v>
      </c>
      <c r="FW92">
        <v>6</v>
      </c>
      <c r="FX92">
        <v>0.1</v>
      </c>
      <c r="FY92">
        <v>0.1</v>
      </c>
      <c r="FZ92">
        <v>0.2</v>
      </c>
      <c r="GA92">
        <v>0.3</v>
      </c>
      <c r="GB92">
        <v>0.3</v>
      </c>
      <c r="GC92">
        <f>FS92*FX92</f>
        <v>0.25</v>
      </c>
      <c r="GD92">
        <f>FT92*FY92</f>
        <v>0.30000000000000004</v>
      </c>
      <c r="GE92">
        <f>FU92*FZ92</f>
        <v>0.30000000000000004</v>
      </c>
      <c r="GF92">
        <f>FV92*GA92</f>
        <v>1.2</v>
      </c>
      <c r="GG92">
        <f>FW92*GB92</f>
        <v>1.7999999999999998</v>
      </c>
      <c r="GH92">
        <v>7.5</v>
      </c>
      <c r="GI92">
        <v>0</v>
      </c>
      <c r="GJ92">
        <v>7.5</v>
      </c>
      <c r="GK92">
        <f>GC92+GD92+GE92+GF92+GG92</f>
        <v>3.8499999999999996</v>
      </c>
      <c r="GL92">
        <f>MEDIAN(FS92:FW92)</f>
        <v>3</v>
      </c>
    </row>
    <row r="93" spans="1:194" hidden="1" x14ac:dyDescent="0.25">
      <c r="A93">
        <v>92</v>
      </c>
      <c r="B93" t="s">
        <v>2</v>
      </c>
      <c r="C93" s="4">
        <v>88.2</v>
      </c>
      <c r="D93">
        <v>3.6</v>
      </c>
      <c r="E93" s="1">
        <f>C93/3/D93</f>
        <v>8.1666666666666679</v>
      </c>
      <c r="G93">
        <v>75.17</v>
      </c>
      <c r="H93">
        <v>8.1999999999999993</v>
      </c>
      <c r="I93">
        <f>H93*D93*3</f>
        <v>88.56</v>
      </c>
      <c r="J93">
        <v>17.309999999999999</v>
      </c>
      <c r="K93">
        <v>9</v>
      </c>
      <c r="L93" s="3">
        <f>K93*3*D93</f>
        <v>97.2</v>
      </c>
      <c r="M93">
        <v>5.0199999999999996</v>
      </c>
      <c r="N93">
        <v>5</v>
      </c>
      <c r="O93">
        <f>N93*D93*3</f>
        <v>54</v>
      </c>
      <c r="P93" s="5">
        <v>7.2</v>
      </c>
      <c r="Q93" s="5">
        <f>P93*D93*3</f>
        <v>77.760000000000005</v>
      </c>
      <c r="S93" t="s">
        <v>6229</v>
      </c>
      <c r="T93">
        <v>5.2</v>
      </c>
      <c r="U93" s="8">
        <f>T93*D93*3</f>
        <v>56.160000000000011</v>
      </c>
      <c r="V93">
        <v>35.200000000000003</v>
      </c>
      <c r="W93">
        <v>6</v>
      </c>
      <c r="X93" s="5">
        <f>W93*D93*3</f>
        <v>64.800000000000011</v>
      </c>
      <c r="Y93">
        <v>11.92</v>
      </c>
      <c r="Z93">
        <v>7.8</v>
      </c>
      <c r="AA93">
        <f>Z93*D93*3</f>
        <v>84.24</v>
      </c>
      <c r="AC93">
        <v>47.8</v>
      </c>
      <c r="AD93">
        <v>7.9</v>
      </c>
      <c r="AE93" s="1">
        <f>AD93*3*D93</f>
        <v>85.320000000000007</v>
      </c>
      <c r="AF93">
        <v>11.92</v>
      </c>
      <c r="AG93" s="5">
        <v>7</v>
      </c>
      <c r="AH93" s="5">
        <f>AG93*D93*3</f>
        <v>75.599999999999994</v>
      </c>
      <c r="AI93" s="13"/>
      <c r="AJ93">
        <v>23</v>
      </c>
      <c r="AK93" s="8">
        <f>AJ93*D93*3</f>
        <v>248.39999999999998</v>
      </c>
      <c r="AL93" s="13"/>
      <c r="AM93">
        <v>30.84</v>
      </c>
      <c r="AN93">
        <v>7.3</v>
      </c>
      <c r="AO93" s="8">
        <f>AN93*D93*3</f>
        <v>78.84</v>
      </c>
      <c r="AP93">
        <v>13.91</v>
      </c>
      <c r="AQ93">
        <v>9.5</v>
      </c>
      <c r="AR93">
        <f>AQ93*D93*3</f>
        <v>102.60000000000001</v>
      </c>
      <c r="AT93">
        <v>9</v>
      </c>
      <c r="AU93">
        <f>AT93*D93*3</f>
        <v>97.199999999999989</v>
      </c>
      <c r="AW93">
        <v>22.98</v>
      </c>
      <c r="AX93">
        <v>9.9</v>
      </c>
      <c r="AY93">
        <f>AX93*D93*3</f>
        <v>106.92</v>
      </c>
      <c r="AZ93">
        <v>22.98</v>
      </c>
      <c r="BA93">
        <v>9</v>
      </c>
      <c r="BB93">
        <f>BA93*D93*3</f>
        <v>97.199999999999989</v>
      </c>
      <c r="BD93">
        <v>8</v>
      </c>
      <c r="BE93">
        <f>BD93*D93*3</f>
        <v>86.4</v>
      </c>
      <c r="BG93" s="10"/>
      <c r="BH93" s="1">
        <f>CHOOSE(MATCH(MIN(ABS(BP93-C93),ABS(BQ93-C93),ABS(BR93-C93)),CHOOSE({1;2;3},ABS(BP93-C93),ABS(BQ93-C93),ABS(BR93-C93)),0),BP93,BQ93,BR93)</f>
        <v>86.4</v>
      </c>
      <c r="BJ93" s="1" cm="1">
        <f t="array" ref="BJ93">(INDEX(_xlfn._xlws.SORT(CHOOSE({1;2;3;4;5;6},BQ93,BR93,L93,AE93,BO93,BP93)),3) + INDEX(_xlfn._xlws.SORT(CHOOSE({1;2;3;4;5;6},BQ93,BR93,L93,AE93,BO93,BP93)),4))/2</f>
        <v>89.1</v>
      </c>
      <c r="BK93">
        <v>8.1672654184842202</v>
      </c>
      <c r="BL93" t="s">
        <v>6117</v>
      </c>
      <c r="BM93" s="1">
        <f>BK93*3*D93</f>
        <v>88.206466519629586</v>
      </c>
      <c r="BN93" s="1">
        <f>BM93-C93</f>
        <v>6.4665196295834448E-3</v>
      </c>
      <c r="BO93" s="1">
        <f>GK93*3*D93</f>
        <v>84.78</v>
      </c>
      <c r="BP93" s="1">
        <f>DO93*3*D93</f>
        <v>97.2</v>
      </c>
      <c r="BQ93" s="1">
        <f>FJ93*3*D93</f>
        <v>86.4</v>
      </c>
      <c r="BR93" s="1">
        <f>GL93*3*D93</f>
        <v>91.8</v>
      </c>
      <c r="BT93">
        <v>75.17</v>
      </c>
      <c r="BU93">
        <v>8.1999999999999993</v>
      </c>
      <c r="BV93" t="s">
        <v>5032</v>
      </c>
      <c r="BW93" t="s">
        <v>5321</v>
      </c>
      <c r="BX93" t="s">
        <v>5322</v>
      </c>
      <c r="BY93" t="s">
        <v>5323</v>
      </c>
      <c r="BZ93" t="s">
        <v>5324</v>
      </c>
      <c r="CA93" t="s">
        <v>2437</v>
      </c>
      <c r="CC93" t="s">
        <v>2758</v>
      </c>
      <c r="CD93" t="s">
        <v>2508</v>
      </c>
      <c r="CE93" t="s">
        <v>2440</v>
      </c>
      <c r="CG93" t="s">
        <v>2761</v>
      </c>
      <c r="CH93" t="s">
        <v>2510</v>
      </c>
      <c r="CI93" t="s">
        <v>2443</v>
      </c>
      <c r="CK93" t="s">
        <v>2795</v>
      </c>
      <c r="CL93" t="s">
        <v>2512</v>
      </c>
      <c r="CM93" t="s">
        <v>2446</v>
      </c>
      <c r="CO93" t="s">
        <v>2796</v>
      </c>
      <c r="CP93" t="s">
        <v>2514</v>
      </c>
      <c r="CQ93" t="s">
        <v>2449</v>
      </c>
      <c r="CS93" t="s">
        <v>2679</v>
      </c>
      <c r="CT93" t="s">
        <v>2524</v>
      </c>
      <c r="CV93">
        <v>9</v>
      </c>
      <c r="CW93">
        <v>9</v>
      </c>
      <c r="CX93">
        <v>9</v>
      </c>
      <c r="CY93">
        <v>9</v>
      </c>
      <c r="CZ93">
        <v>9</v>
      </c>
      <c r="DA93">
        <v>0.1</v>
      </c>
      <c r="DB93">
        <v>0.1</v>
      </c>
      <c r="DC93">
        <v>0.2</v>
      </c>
      <c r="DD93">
        <v>0.3</v>
      </c>
      <c r="DE93">
        <v>0.3</v>
      </c>
      <c r="DF93">
        <v>0.9</v>
      </c>
      <c r="DG93">
        <v>0.9</v>
      </c>
      <c r="DH93">
        <v>1.8</v>
      </c>
      <c r="DI93">
        <v>2.7</v>
      </c>
      <c r="DJ93">
        <v>2.7</v>
      </c>
      <c r="DK93">
        <v>8.1999999999999993</v>
      </c>
      <c r="DL93">
        <v>0</v>
      </c>
      <c r="DM93">
        <v>8.1999999999999993</v>
      </c>
      <c r="DN93">
        <v>9</v>
      </c>
      <c r="DO93">
        <f>AVERAGE(CV93:CZ93)</f>
        <v>9</v>
      </c>
      <c r="DQ93">
        <v>15</v>
      </c>
      <c r="DR93" t="s">
        <v>28</v>
      </c>
      <c r="DS93" t="s">
        <v>43</v>
      </c>
      <c r="DT93" t="s">
        <v>178</v>
      </c>
      <c r="DU93" t="s">
        <v>45</v>
      </c>
      <c r="DV93" t="s">
        <v>247</v>
      </c>
      <c r="DW93" t="s">
        <v>3769</v>
      </c>
      <c r="DX93" t="s">
        <v>3770</v>
      </c>
      <c r="DY93" t="s">
        <v>3771</v>
      </c>
      <c r="DZ93" t="s">
        <v>3772</v>
      </c>
      <c r="EA93" t="s">
        <v>3806</v>
      </c>
      <c r="EB93" t="s">
        <v>3807</v>
      </c>
      <c r="EC93" t="s">
        <v>3775</v>
      </c>
      <c r="ED93" t="s">
        <v>3776</v>
      </c>
      <c r="EE93" t="s">
        <v>3819</v>
      </c>
      <c r="EF93" t="s">
        <v>4104</v>
      </c>
      <c r="EG93" t="s">
        <v>3810</v>
      </c>
      <c r="EH93" t="s">
        <v>3811</v>
      </c>
      <c r="EI93" t="s">
        <v>3820</v>
      </c>
      <c r="EJ93" t="s">
        <v>4174</v>
      </c>
      <c r="EK93" t="s">
        <v>4175</v>
      </c>
      <c r="EL93" t="s">
        <v>3856</v>
      </c>
      <c r="EM93" t="s">
        <v>3816</v>
      </c>
      <c r="EN93" t="s">
        <v>3823</v>
      </c>
      <c r="EO93" t="s">
        <v>3824</v>
      </c>
      <c r="EP93" t="s">
        <v>3857</v>
      </c>
      <c r="EQ93">
        <v>7</v>
      </c>
      <c r="ER93">
        <v>8</v>
      </c>
      <c r="ES93">
        <v>8</v>
      </c>
      <c r="ET93">
        <v>8</v>
      </c>
      <c r="EU93">
        <v>8</v>
      </c>
      <c r="EV93">
        <v>0.1</v>
      </c>
      <c r="EW93">
        <v>0.1</v>
      </c>
      <c r="EX93">
        <v>0.2</v>
      </c>
      <c r="EY93">
        <v>0.3</v>
      </c>
      <c r="EZ93">
        <v>0.3</v>
      </c>
      <c r="FA93">
        <f>EV93*EQ93</f>
        <v>0.70000000000000007</v>
      </c>
      <c r="FB93">
        <f>EW93*ER93</f>
        <v>0.8</v>
      </c>
      <c r="FC93">
        <f>EX93*ES93</f>
        <v>1.6</v>
      </c>
      <c r="FD93">
        <f>EY93*ET93</f>
        <v>2.4</v>
      </c>
      <c r="FE93">
        <f>EZ93*EU93</f>
        <v>2.4</v>
      </c>
      <c r="FF93">
        <v>15</v>
      </c>
      <c r="FG93">
        <v>0</v>
      </c>
      <c r="FH93">
        <v>15</v>
      </c>
      <c r="FI93">
        <f>FA93+FB93+FC93+FD93+FE93</f>
        <v>7.9</v>
      </c>
      <c r="FJ93">
        <f>MEDIAN(EQ93:EU93)</f>
        <v>8</v>
      </c>
      <c r="FL93">
        <v>74.900000000000006</v>
      </c>
      <c r="FM93">
        <v>8.4</v>
      </c>
      <c r="FN93" t="s">
        <v>1042</v>
      </c>
      <c r="FO93" t="s">
        <v>1043</v>
      </c>
      <c r="FP93" t="s">
        <v>1044</v>
      </c>
      <c r="FQ93" t="s">
        <v>1045</v>
      </c>
      <c r="FR93" t="s">
        <v>1046</v>
      </c>
      <c r="FS93">
        <v>10</v>
      </c>
      <c r="FT93">
        <v>9.5</v>
      </c>
      <c r="FU93">
        <v>8.5</v>
      </c>
      <c r="FV93">
        <v>7.5</v>
      </c>
      <c r="FW93">
        <v>6.5</v>
      </c>
      <c r="FX93">
        <v>0.1</v>
      </c>
      <c r="FY93">
        <v>0.1</v>
      </c>
      <c r="FZ93">
        <v>0.2</v>
      </c>
      <c r="GA93">
        <v>0.3</v>
      </c>
      <c r="GB93">
        <v>0.3</v>
      </c>
      <c r="GC93">
        <f>FS93*FX93</f>
        <v>1</v>
      </c>
      <c r="GD93">
        <f>FT93*FY93</f>
        <v>0.95000000000000007</v>
      </c>
      <c r="GE93">
        <f>FU93*FZ93</f>
        <v>1.7000000000000002</v>
      </c>
      <c r="GF93">
        <f>FV93*GA93</f>
        <v>2.25</v>
      </c>
      <c r="GG93">
        <f>FW93*GB93</f>
        <v>1.95</v>
      </c>
      <c r="GH93">
        <v>8.4</v>
      </c>
      <c r="GI93">
        <v>0</v>
      </c>
      <c r="GJ93">
        <v>8.4</v>
      </c>
      <c r="GK93">
        <f>GC93+GD93+GE93+GF93+GG93</f>
        <v>7.8500000000000005</v>
      </c>
      <c r="GL93">
        <f>MEDIAN(FS93:FW93)</f>
        <v>8.5</v>
      </c>
    </row>
    <row r="94" spans="1:194" x14ac:dyDescent="0.25">
      <c r="A94">
        <v>107</v>
      </c>
      <c r="B94" t="s">
        <v>2</v>
      </c>
      <c r="C94" s="4">
        <v>94.05</v>
      </c>
      <c r="D94">
        <v>3.3</v>
      </c>
      <c r="E94" s="1">
        <f>C94/3/D94</f>
        <v>9.5</v>
      </c>
      <c r="G94">
        <v>34.03</v>
      </c>
      <c r="H94">
        <v>8</v>
      </c>
      <c r="I94">
        <f>H94*D94*3</f>
        <v>79.199999999999989</v>
      </c>
      <c r="J94">
        <v>16.100000000000001</v>
      </c>
      <c r="K94">
        <v>9</v>
      </c>
      <c r="L94" s="3">
        <f>K94*3*D94</f>
        <v>89.1</v>
      </c>
      <c r="M94">
        <v>3.9</v>
      </c>
      <c r="N94">
        <v>9</v>
      </c>
      <c r="O94">
        <f>N94*D94*3</f>
        <v>89.1</v>
      </c>
      <c r="P94" s="5">
        <v>7</v>
      </c>
      <c r="Q94" s="5">
        <f>P94*D94*3</f>
        <v>69.3</v>
      </c>
      <c r="S94" t="s">
        <v>6230</v>
      </c>
      <c r="T94">
        <v>5.3</v>
      </c>
      <c r="U94" s="8">
        <f>T94*D94*3</f>
        <v>52.47</v>
      </c>
      <c r="V94">
        <v>31.13</v>
      </c>
      <c r="W94">
        <v>8.4</v>
      </c>
      <c r="X94" s="5">
        <f>W94*D94*3</f>
        <v>83.16</v>
      </c>
      <c r="Y94">
        <v>10.55</v>
      </c>
      <c r="Z94">
        <v>7.9</v>
      </c>
      <c r="AA94">
        <f>Z94*D94*3</f>
        <v>78.210000000000008</v>
      </c>
      <c r="AC94">
        <v>45.58</v>
      </c>
      <c r="AD94">
        <v>8</v>
      </c>
      <c r="AE94" s="1">
        <f>AD94*3*D94</f>
        <v>79.199999999999989</v>
      </c>
      <c r="AF94">
        <v>11.79</v>
      </c>
      <c r="AG94" s="5">
        <v>7</v>
      </c>
      <c r="AH94" s="5">
        <f>AG94*D94*3</f>
        <v>69.3</v>
      </c>
      <c r="AI94" s="13"/>
      <c r="AK94" s="8">
        <f>AJ94*D94*3</f>
        <v>0</v>
      </c>
      <c r="AL94" s="13"/>
      <c r="AM94">
        <v>30.76</v>
      </c>
      <c r="AN94">
        <v>7.9</v>
      </c>
      <c r="AO94" s="8">
        <f>AN94*D94*3</f>
        <v>78.210000000000008</v>
      </c>
      <c r="AP94">
        <v>14.61</v>
      </c>
      <c r="AQ94">
        <v>9.5</v>
      </c>
      <c r="AR94">
        <f>AQ94*D94*3</f>
        <v>94.05</v>
      </c>
      <c r="AT94">
        <v>8.6999999999999993</v>
      </c>
      <c r="AU94">
        <f>AT94*D94*3</f>
        <v>86.13</v>
      </c>
      <c r="AW94">
        <v>23.03</v>
      </c>
      <c r="AX94">
        <v>9.3000000000000007</v>
      </c>
      <c r="AY94">
        <f>AX94*D94*3</f>
        <v>92.070000000000007</v>
      </c>
      <c r="AZ94">
        <v>23.03</v>
      </c>
      <c r="BA94">
        <v>9</v>
      </c>
      <c r="BB94">
        <f>BA94*D94*3</f>
        <v>89.1</v>
      </c>
      <c r="BD94">
        <v>9</v>
      </c>
      <c r="BE94">
        <f>BD94*D94*3</f>
        <v>89.1</v>
      </c>
      <c r="BG94" s="10"/>
      <c r="BH94" s="1">
        <f>CHOOSE(MATCH(MIN(ABS(BP94-C94),ABS(BQ94-C94),ABS(BR94-C94)),CHOOSE({1;2;3},ABS(BP94-C94),ABS(BQ94-C94),ABS(BR94-C94)),0),BP94,BQ94,BR94)</f>
        <v>89.1</v>
      </c>
      <c r="BJ94" s="1" cm="1">
        <f t="array" ref="BJ94">(INDEX(_xlfn._xlws.SORT(CHOOSE({1;2;3;4;5;6},BQ94,BR94,L94,AE94,BO94,BP94)),3) + INDEX(_xlfn._xlws.SORT(CHOOSE({1;2;3;4;5;6},BQ94,BR94,L94,AE94,BO94,BP94)),4))/2</f>
        <v>79.199999999999989</v>
      </c>
      <c r="BK94">
        <v>8.7921016084066306</v>
      </c>
      <c r="BL94" s="11" t="s">
        <v>6116</v>
      </c>
      <c r="BM94" s="1">
        <f>BK94*3*D94</f>
        <v>87.041805923225638</v>
      </c>
      <c r="BN94" s="1">
        <f>BM94-C94</f>
        <v>-7.0081940767743589</v>
      </c>
      <c r="BO94" s="1">
        <f>GK94*3*D94</f>
        <v>74.74499999999999</v>
      </c>
      <c r="BP94" s="1">
        <f>DO94*3*D94</f>
        <v>89.1</v>
      </c>
      <c r="BQ94" s="1">
        <f>FJ94*3*D94</f>
        <v>79.199999999999989</v>
      </c>
      <c r="BR94" s="1">
        <f>GL94*3*D94</f>
        <v>79.199999999999989</v>
      </c>
      <c r="BT94">
        <v>34.03</v>
      </c>
      <c r="BU94">
        <v>8</v>
      </c>
      <c r="BV94" t="s">
        <v>5362</v>
      </c>
      <c r="BW94" t="s">
        <v>5363</v>
      </c>
      <c r="BX94" t="s">
        <v>5364</v>
      </c>
      <c r="BY94" t="s">
        <v>5365</v>
      </c>
      <c r="BZ94" t="s">
        <v>5366</v>
      </c>
      <c r="CA94" t="s">
        <v>2633</v>
      </c>
      <c r="CC94" t="s">
        <v>2634</v>
      </c>
      <c r="CD94" t="s">
        <v>2635</v>
      </c>
      <c r="CE94" t="s">
        <v>3034</v>
      </c>
      <c r="CG94" t="s">
        <v>2634</v>
      </c>
      <c r="CH94" t="s">
        <v>2637</v>
      </c>
      <c r="CI94" t="s">
        <v>2867</v>
      </c>
      <c r="CK94" t="s">
        <v>2634</v>
      </c>
      <c r="CL94" t="s">
        <v>2669</v>
      </c>
      <c r="CM94" t="s">
        <v>3045</v>
      </c>
      <c r="CO94" t="s">
        <v>2634</v>
      </c>
      <c r="CP94" t="s">
        <v>3035</v>
      </c>
      <c r="CQ94" t="s">
        <v>2911</v>
      </c>
      <c r="CS94" t="s">
        <v>2634</v>
      </c>
      <c r="CT94" t="s">
        <v>2645</v>
      </c>
      <c r="CV94">
        <v>9</v>
      </c>
      <c r="CW94">
        <v>9</v>
      </c>
      <c r="CX94">
        <v>9</v>
      </c>
      <c r="CY94">
        <v>9</v>
      </c>
      <c r="CZ94">
        <v>9</v>
      </c>
      <c r="DA94">
        <v>0.1</v>
      </c>
      <c r="DB94">
        <v>0.1</v>
      </c>
      <c r="DC94">
        <v>0.2</v>
      </c>
      <c r="DD94">
        <v>0.3</v>
      </c>
      <c r="DE94">
        <v>0.3</v>
      </c>
      <c r="DF94">
        <v>0.9</v>
      </c>
      <c r="DG94">
        <v>0.9</v>
      </c>
      <c r="DH94">
        <v>1.8</v>
      </c>
      <c r="DI94">
        <v>2.7</v>
      </c>
      <c r="DJ94">
        <v>2.7</v>
      </c>
      <c r="DK94">
        <v>8</v>
      </c>
      <c r="DL94">
        <v>0</v>
      </c>
      <c r="DM94">
        <v>8</v>
      </c>
      <c r="DN94">
        <v>9</v>
      </c>
      <c r="DO94">
        <f>AVERAGE(CV94:CZ94)</f>
        <v>9</v>
      </c>
      <c r="DQ94">
        <v>8</v>
      </c>
      <c r="DR94" t="s">
        <v>47</v>
      </c>
      <c r="DS94" t="s">
        <v>48</v>
      </c>
      <c r="DT94" t="s">
        <v>49</v>
      </c>
      <c r="DU94" t="s">
        <v>50</v>
      </c>
      <c r="DV94" t="s">
        <v>51</v>
      </c>
      <c r="DW94" t="s">
        <v>3769</v>
      </c>
      <c r="DX94" t="s">
        <v>3789</v>
      </c>
      <c r="DY94" t="s">
        <v>3826</v>
      </c>
      <c r="DZ94" t="s">
        <v>3827</v>
      </c>
      <c r="EA94" t="s">
        <v>3828</v>
      </c>
      <c r="EB94" t="s">
        <v>3793</v>
      </c>
      <c r="EC94" t="s">
        <v>3829</v>
      </c>
      <c r="ED94" t="s">
        <v>3827</v>
      </c>
      <c r="EE94" t="s">
        <v>3830</v>
      </c>
      <c r="EF94" t="s">
        <v>3797</v>
      </c>
      <c r="EG94" t="s">
        <v>3831</v>
      </c>
      <c r="EH94" t="s">
        <v>3827</v>
      </c>
      <c r="EI94" t="s">
        <v>3832</v>
      </c>
      <c r="EJ94" t="s">
        <v>3800</v>
      </c>
      <c r="EK94" t="s">
        <v>3833</v>
      </c>
      <c r="EL94" t="s">
        <v>3827</v>
      </c>
      <c r="EM94" t="s">
        <v>3834</v>
      </c>
      <c r="EN94" t="s">
        <v>3803</v>
      </c>
      <c r="EO94" t="s">
        <v>3835</v>
      </c>
      <c r="EP94" t="s">
        <v>3827</v>
      </c>
      <c r="EQ94">
        <v>8</v>
      </c>
      <c r="ER94">
        <v>8</v>
      </c>
      <c r="ES94">
        <v>8</v>
      </c>
      <c r="ET94">
        <v>8</v>
      </c>
      <c r="EU94">
        <v>8</v>
      </c>
      <c r="EV94">
        <v>0.1</v>
      </c>
      <c r="EW94">
        <v>0.1</v>
      </c>
      <c r="EX94">
        <v>0.2</v>
      </c>
      <c r="EY94">
        <v>0.3</v>
      </c>
      <c r="EZ94">
        <v>0.3</v>
      </c>
      <c r="FA94">
        <f>EV94*EQ94</f>
        <v>0.8</v>
      </c>
      <c r="FB94">
        <f>EW94*ER94</f>
        <v>0.8</v>
      </c>
      <c r="FC94">
        <f>EX94*ES94</f>
        <v>1.6</v>
      </c>
      <c r="FD94">
        <f>EY94*ET94</f>
        <v>2.4</v>
      </c>
      <c r="FE94">
        <f>EZ94*EU94</f>
        <v>2.4</v>
      </c>
      <c r="FF94">
        <v>16</v>
      </c>
      <c r="FG94">
        <v>0</v>
      </c>
      <c r="FH94">
        <v>8</v>
      </c>
      <c r="FI94">
        <f>FA94+FB94+FC94+FD94+FE94</f>
        <v>8</v>
      </c>
      <c r="FJ94">
        <f>MEDIAN(EQ94:EU94)</f>
        <v>8</v>
      </c>
      <c r="FL94">
        <v>14.56</v>
      </c>
      <c r="FM94">
        <v>7.3</v>
      </c>
      <c r="FN94" t="s">
        <v>1112</v>
      </c>
      <c r="FO94" t="s">
        <v>1113</v>
      </c>
      <c r="FP94" t="s">
        <v>1114</v>
      </c>
      <c r="FQ94" t="s">
        <v>1115</v>
      </c>
      <c r="FR94" t="s">
        <v>1116</v>
      </c>
      <c r="FS94">
        <v>8</v>
      </c>
      <c r="FT94">
        <v>9</v>
      </c>
      <c r="FU94">
        <v>7.5</v>
      </c>
      <c r="FV94">
        <v>8.5</v>
      </c>
      <c r="FW94">
        <v>6</v>
      </c>
      <c r="FX94">
        <v>0.1</v>
      </c>
      <c r="FY94">
        <v>0.1</v>
      </c>
      <c r="FZ94">
        <v>0.2</v>
      </c>
      <c r="GA94">
        <v>0.3</v>
      </c>
      <c r="GB94">
        <v>0.3</v>
      </c>
      <c r="GC94">
        <f>FS94*FX94</f>
        <v>0.8</v>
      </c>
      <c r="GD94">
        <f>FT94*FY94</f>
        <v>0.9</v>
      </c>
      <c r="GE94">
        <f>FU94*FZ94</f>
        <v>1.5</v>
      </c>
      <c r="GF94">
        <f>FV94*GA94</f>
        <v>2.5499999999999998</v>
      </c>
      <c r="GG94">
        <f>FW94*GB94</f>
        <v>1.7999999999999998</v>
      </c>
      <c r="GH94">
        <v>7.45</v>
      </c>
      <c r="GI94">
        <v>-0.1</v>
      </c>
      <c r="GJ94">
        <v>7.3</v>
      </c>
      <c r="GK94">
        <f>GC94+GD94+GE94+GF94+GG94</f>
        <v>7.55</v>
      </c>
      <c r="GL94">
        <f>MEDIAN(FS94:FW94)</f>
        <v>8</v>
      </c>
    </row>
    <row r="95" spans="1:194" hidden="1" x14ac:dyDescent="0.25">
      <c r="A95">
        <v>94</v>
      </c>
      <c r="B95" t="s">
        <v>2</v>
      </c>
      <c r="C95" s="4">
        <v>86.4</v>
      </c>
      <c r="D95">
        <v>3.2</v>
      </c>
      <c r="E95" s="1">
        <f>C95/3/D95</f>
        <v>9</v>
      </c>
      <c r="G95">
        <v>38.26</v>
      </c>
      <c r="H95">
        <v>8.6999999999999993</v>
      </c>
      <c r="I95">
        <f>H95*D95*3</f>
        <v>83.52</v>
      </c>
      <c r="J95">
        <v>18.07</v>
      </c>
      <c r="K95">
        <v>8.4</v>
      </c>
      <c r="L95" s="3">
        <f>K95*3*D95</f>
        <v>80.640000000000015</v>
      </c>
      <c r="M95">
        <v>4.93</v>
      </c>
      <c r="N95">
        <v>5.5</v>
      </c>
      <c r="O95">
        <f>N95*D95*3</f>
        <v>52.800000000000004</v>
      </c>
      <c r="P95" s="5">
        <v>7.4</v>
      </c>
      <c r="Q95" s="5">
        <f>P95*D95*3</f>
        <v>71.040000000000006</v>
      </c>
      <c r="S95" t="s">
        <v>6231</v>
      </c>
      <c r="T95">
        <v>3.5</v>
      </c>
      <c r="U95" s="8">
        <f>T95*D95*3</f>
        <v>33.6</v>
      </c>
      <c r="V95">
        <v>29.64</v>
      </c>
      <c r="W95">
        <v>8</v>
      </c>
      <c r="X95" s="5">
        <f>W95*D95*3</f>
        <v>76.800000000000011</v>
      </c>
      <c r="Y95">
        <v>10.1</v>
      </c>
      <c r="Z95">
        <v>7.8</v>
      </c>
      <c r="AA95">
        <f>Z95*D95*3</f>
        <v>74.88</v>
      </c>
      <c r="AC95">
        <v>51.25</v>
      </c>
      <c r="AD95">
        <v>8</v>
      </c>
      <c r="AE95" s="1">
        <f>AD95*3*D95</f>
        <v>76.800000000000011</v>
      </c>
      <c r="AF95">
        <v>11.94</v>
      </c>
      <c r="AG95" s="5">
        <v>7</v>
      </c>
      <c r="AH95" s="5">
        <f>AG95*D95*3</f>
        <v>67.2</v>
      </c>
      <c r="AI95" s="13"/>
      <c r="AK95" s="8">
        <f>AJ95*D95*3</f>
        <v>0</v>
      </c>
      <c r="AL95" s="13"/>
      <c r="AM95">
        <v>32.130000000000003</v>
      </c>
      <c r="AN95">
        <v>7</v>
      </c>
      <c r="AO95" s="8">
        <f>AN95*D95*3</f>
        <v>67.2</v>
      </c>
      <c r="AP95">
        <v>14.92</v>
      </c>
      <c r="AQ95">
        <v>9.4</v>
      </c>
      <c r="AR95">
        <f>AQ95*D95*3</f>
        <v>90.240000000000009</v>
      </c>
      <c r="AT95">
        <v>9</v>
      </c>
      <c r="AU95">
        <f>AT95*D95*3</f>
        <v>86.4</v>
      </c>
      <c r="AW95">
        <v>27.22</v>
      </c>
      <c r="AX95">
        <v>9.1</v>
      </c>
      <c r="AY95">
        <f>AX95*D95*3</f>
        <v>87.36</v>
      </c>
      <c r="AZ95">
        <v>27.22</v>
      </c>
      <c r="BA95">
        <v>8.4</v>
      </c>
      <c r="BB95">
        <f>BA95*D95*3</f>
        <v>80.640000000000015</v>
      </c>
      <c r="BD95">
        <v>9</v>
      </c>
      <c r="BE95">
        <f>BD95*D95*3</f>
        <v>86.4</v>
      </c>
      <c r="BG95" s="10"/>
      <c r="BH95" s="1">
        <f>CHOOSE(MATCH(MIN(ABS(BP95-C95),ABS(BQ95-C95),ABS(BR95-C95)),CHOOSE({1;2;3},ABS(BP95-C95),ABS(BQ95-C95),ABS(BR95-C95)),0),BP95,BQ95,BR95)</f>
        <v>84.480000000000018</v>
      </c>
      <c r="BJ95" s="1" cm="1">
        <f t="array" ref="BJ95">(INDEX(_xlfn._xlws.SORT(CHOOSE({1;2;3;4;5;6},BQ95,BR95,L95,AE95,BO95,BP95)),3) + INDEX(_xlfn._xlws.SORT(CHOOSE({1;2;3;4;5;6},BQ95,BR95,L95,AE95,BO95,BP95)),4))/2</f>
        <v>76.800000000000011</v>
      </c>
      <c r="BK95">
        <v>8.9361198375843198</v>
      </c>
      <c r="BL95" t="s">
        <v>6117</v>
      </c>
      <c r="BM95" s="1">
        <f>BK95*3*D95</f>
        <v>85.78675044080947</v>
      </c>
      <c r="BN95" s="1">
        <f>BM95-C95</f>
        <v>-0.61324955919053536</v>
      </c>
      <c r="BO95" s="1">
        <f>GK95*3*D95</f>
        <v>51.840000000000011</v>
      </c>
      <c r="BP95" s="1">
        <f>DO95*3*D95</f>
        <v>84.480000000000018</v>
      </c>
      <c r="BQ95" s="1">
        <f>FJ95*3*D95</f>
        <v>76.800000000000011</v>
      </c>
      <c r="BR95" s="1">
        <f>GL95*3*D95</f>
        <v>48</v>
      </c>
      <c r="BT95">
        <v>38.26</v>
      </c>
      <c r="BU95">
        <v>8.6999999999999993</v>
      </c>
      <c r="BV95" t="s">
        <v>5134</v>
      </c>
      <c r="BW95" t="s">
        <v>5311</v>
      </c>
      <c r="BX95" t="s">
        <v>5327</v>
      </c>
      <c r="BY95" t="s">
        <v>5328</v>
      </c>
      <c r="BZ95" t="s">
        <v>5329</v>
      </c>
      <c r="CA95" t="s">
        <v>2506</v>
      </c>
      <c r="CC95" t="s">
        <v>2507</v>
      </c>
      <c r="CD95" t="s">
        <v>2508</v>
      </c>
      <c r="CE95" t="s">
        <v>2440</v>
      </c>
      <c r="CG95" t="s">
        <v>2509</v>
      </c>
      <c r="CH95" t="s">
        <v>2510</v>
      </c>
      <c r="CI95" t="s">
        <v>2443</v>
      </c>
      <c r="CK95" t="s">
        <v>2511</v>
      </c>
      <c r="CL95" t="s">
        <v>2512</v>
      </c>
      <c r="CM95" t="s">
        <v>2446</v>
      </c>
      <c r="CO95" t="s">
        <v>2513</v>
      </c>
      <c r="CP95" t="s">
        <v>2514</v>
      </c>
      <c r="CQ95" t="s">
        <v>2666</v>
      </c>
      <c r="CR95" t="s">
        <v>2515</v>
      </c>
      <c r="CS95" t="s">
        <v>3017</v>
      </c>
      <c r="CT95" t="s">
        <v>3018</v>
      </c>
      <c r="CV95">
        <v>9</v>
      </c>
      <c r="CW95">
        <v>9</v>
      </c>
      <c r="CX95">
        <v>9</v>
      </c>
      <c r="CY95">
        <v>9</v>
      </c>
      <c r="CZ95">
        <v>8</v>
      </c>
      <c r="DA95">
        <v>0.1</v>
      </c>
      <c r="DB95">
        <v>0.1</v>
      </c>
      <c r="DC95">
        <v>0.2</v>
      </c>
      <c r="DD95">
        <v>0.3</v>
      </c>
      <c r="DE95">
        <v>0.3</v>
      </c>
      <c r="DF95">
        <v>0.9</v>
      </c>
      <c r="DG95">
        <v>0.9</v>
      </c>
      <c r="DH95">
        <v>1.8</v>
      </c>
      <c r="DI95">
        <v>2.7</v>
      </c>
      <c r="DJ95">
        <v>2.4</v>
      </c>
      <c r="DK95">
        <v>8.6999999999999993</v>
      </c>
      <c r="DL95">
        <v>0</v>
      </c>
      <c r="DM95">
        <v>8.6999999999999993</v>
      </c>
      <c r="DN95">
        <v>8.4</v>
      </c>
      <c r="DO95">
        <f>AVERAGE(CV95:CZ95)</f>
        <v>8.8000000000000007</v>
      </c>
      <c r="DQ95" t="s">
        <v>125</v>
      </c>
      <c r="DR95" t="s">
        <v>52</v>
      </c>
      <c r="DS95" t="s">
        <v>61</v>
      </c>
      <c r="DT95" t="s">
        <v>238</v>
      </c>
      <c r="DU95" t="s">
        <v>249</v>
      </c>
      <c r="DV95" t="s">
        <v>56</v>
      </c>
      <c r="DW95" t="s">
        <v>3836</v>
      </c>
      <c r="DX95" t="s">
        <v>3858</v>
      </c>
      <c r="DY95" t="s">
        <v>4119</v>
      </c>
      <c r="DZ95" t="s">
        <v>4120</v>
      </c>
      <c r="EA95" t="s">
        <v>3860</v>
      </c>
      <c r="EB95" t="s">
        <v>4330</v>
      </c>
      <c r="EC95" t="s">
        <v>4331</v>
      </c>
      <c r="ED95" t="s">
        <v>4332</v>
      </c>
      <c r="EE95" t="s">
        <v>3843</v>
      </c>
      <c r="EF95" t="s">
        <v>4333</v>
      </c>
      <c r="EG95" t="s">
        <v>4334</v>
      </c>
      <c r="EH95" t="s">
        <v>4334</v>
      </c>
      <c r="EI95" t="s">
        <v>4335</v>
      </c>
      <c r="EJ95" t="s">
        <v>4336</v>
      </c>
      <c r="EK95" t="s">
        <v>4337</v>
      </c>
      <c r="EL95" t="s">
        <v>4337</v>
      </c>
      <c r="EM95" t="s">
        <v>3851</v>
      </c>
      <c r="EN95" t="s">
        <v>4338</v>
      </c>
      <c r="EO95" t="s">
        <v>4339</v>
      </c>
      <c r="EP95" t="s">
        <v>4339</v>
      </c>
      <c r="EQ95">
        <v>8</v>
      </c>
      <c r="ER95">
        <v>8</v>
      </c>
      <c r="ES95">
        <v>8</v>
      </c>
      <c r="ET95">
        <v>8</v>
      </c>
      <c r="EU95">
        <v>8</v>
      </c>
      <c r="EV95">
        <v>0.1</v>
      </c>
      <c r="EW95">
        <v>0.1</v>
      </c>
      <c r="EX95">
        <v>0.2</v>
      </c>
      <c r="EY95">
        <v>0.3</v>
      </c>
      <c r="EZ95">
        <v>0.3</v>
      </c>
      <c r="FA95">
        <f>EV95*EQ95</f>
        <v>0.8</v>
      </c>
      <c r="FB95">
        <f>EW95*ER95</f>
        <v>0.8</v>
      </c>
      <c r="FC95">
        <f>EX95*ES95</f>
        <v>1.6</v>
      </c>
      <c r="FD95">
        <f>EY95*ET95</f>
        <v>2.4</v>
      </c>
      <c r="FE95">
        <f>EZ95*EU95</f>
        <v>2.4</v>
      </c>
      <c r="FF95">
        <v>17</v>
      </c>
      <c r="FG95">
        <v>0</v>
      </c>
      <c r="FH95">
        <v>8</v>
      </c>
      <c r="FI95">
        <f>FA95+FB95+FC95+FD95+FE95</f>
        <v>8</v>
      </c>
      <c r="FJ95">
        <f>MEDIAN(EQ95:EU95)</f>
        <v>8</v>
      </c>
      <c r="FL95">
        <v>45.14</v>
      </c>
      <c r="FM95">
        <v>7</v>
      </c>
      <c r="FN95" t="s">
        <v>1052</v>
      </c>
      <c r="FO95" t="s">
        <v>1053</v>
      </c>
      <c r="FP95" t="s">
        <v>1054</v>
      </c>
      <c r="FQ95" t="s">
        <v>1055</v>
      </c>
      <c r="FR95" t="s">
        <v>1056</v>
      </c>
      <c r="FS95">
        <v>5</v>
      </c>
      <c r="FT95">
        <v>4</v>
      </c>
      <c r="FU95">
        <v>3</v>
      </c>
      <c r="FV95">
        <v>6</v>
      </c>
      <c r="FW95">
        <v>7</v>
      </c>
      <c r="FX95">
        <v>0.1</v>
      </c>
      <c r="FY95">
        <v>0.1</v>
      </c>
      <c r="FZ95">
        <v>0.2</v>
      </c>
      <c r="GA95">
        <v>0.3</v>
      </c>
      <c r="GB95">
        <v>0.3</v>
      </c>
      <c r="GC95">
        <f>FS95*FX95</f>
        <v>0.5</v>
      </c>
      <c r="GD95">
        <f>FT95*FY95</f>
        <v>0.4</v>
      </c>
      <c r="GE95">
        <f>FU95*FZ95</f>
        <v>0.60000000000000009</v>
      </c>
      <c r="GF95">
        <f>FV95*GA95</f>
        <v>1.7999999999999998</v>
      </c>
      <c r="GG95">
        <f>FW95*GB95</f>
        <v>2.1</v>
      </c>
      <c r="GH95">
        <v>7</v>
      </c>
      <c r="GJ95">
        <v>7</v>
      </c>
      <c r="GK95">
        <f>GC95+GD95+GE95+GF95+GG95</f>
        <v>5.4</v>
      </c>
      <c r="GL95">
        <f>MEDIAN(FS95:FW95)</f>
        <v>5</v>
      </c>
    </row>
    <row r="96" spans="1:194" hidden="1" x14ac:dyDescent="0.25">
      <c r="A96">
        <v>95</v>
      </c>
      <c r="B96" t="s">
        <v>2</v>
      </c>
      <c r="C96" s="4">
        <v>86.95</v>
      </c>
      <c r="D96">
        <v>3.7</v>
      </c>
      <c r="E96" s="1">
        <f>C96/3/D96</f>
        <v>7.833333333333333</v>
      </c>
      <c r="G96">
        <v>84.03</v>
      </c>
      <c r="H96">
        <v>8.85</v>
      </c>
      <c r="I96">
        <f>H96*D96*3</f>
        <v>98.234999999999985</v>
      </c>
      <c r="J96">
        <v>18.170000000000002</v>
      </c>
      <c r="K96">
        <v>9</v>
      </c>
      <c r="L96" s="3">
        <f>K96*3*D96</f>
        <v>99.9</v>
      </c>
      <c r="M96">
        <v>3.87</v>
      </c>
      <c r="N96">
        <v>8.5</v>
      </c>
      <c r="O96">
        <f>N96*D96*3</f>
        <v>94.350000000000009</v>
      </c>
      <c r="P96" s="5">
        <v>8.6999999999999993</v>
      </c>
      <c r="Q96" s="5">
        <f>P96*D96*3</f>
        <v>96.57</v>
      </c>
      <c r="S96" t="s">
        <v>6232</v>
      </c>
      <c r="T96">
        <v>5.3</v>
      </c>
      <c r="U96" s="8">
        <f>T96*D96*3</f>
        <v>58.83</v>
      </c>
      <c r="V96">
        <v>31.11</v>
      </c>
      <c r="W96">
        <v>8.6999999999999993</v>
      </c>
      <c r="X96" s="5">
        <f>W96*D96*3</f>
        <v>96.57</v>
      </c>
      <c r="Y96">
        <v>9.2100000000000009</v>
      </c>
      <c r="Z96">
        <v>6</v>
      </c>
      <c r="AA96">
        <f>Z96*D96*3</f>
        <v>66.600000000000009</v>
      </c>
      <c r="AC96">
        <v>51.73</v>
      </c>
      <c r="AD96">
        <v>7.1</v>
      </c>
      <c r="AE96" s="1">
        <f>AD96*3*D96</f>
        <v>78.809999999999988</v>
      </c>
      <c r="AF96">
        <v>11.93</v>
      </c>
      <c r="AG96" s="5">
        <v>7</v>
      </c>
      <c r="AH96" s="5">
        <f>AG96*D96*3</f>
        <v>77.7</v>
      </c>
      <c r="AI96" s="13"/>
      <c r="AJ96">
        <v>25.5</v>
      </c>
      <c r="AK96" s="8">
        <f>AJ96*D96*3</f>
        <v>283.05</v>
      </c>
      <c r="AL96" s="13"/>
      <c r="AM96">
        <v>30.46</v>
      </c>
      <c r="AN96">
        <v>7.3</v>
      </c>
      <c r="AO96" s="8">
        <f>AN96*D96*3</f>
        <v>81.03</v>
      </c>
      <c r="AP96">
        <v>14.45</v>
      </c>
      <c r="AQ96">
        <v>9.5</v>
      </c>
      <c r="AR96">
        <f>AQ96*D96*3</f>
        <v>105.44999999999999</v>
      </c>
      <c r="AT96">
        <v>8.6</v>
      </c>
      <c r="AU96">
        <f>AT96*D96*3</f>
        <v>95.460000000000008</v>
      </c>
      <c r="AW96">
        <v>23.24</v>
      </c>
      <c r="AX96">
        <v>9</v>
      </c>
      <c r="AY96">
        <f>AX96*D96*3</f>
        <v>99.9</v>
      </c>
      <c r="AZ96">
        <v>23.24</v>
      </c>
      <c r="BA96">
        <v>9.4</v>
      </c>
      <c r="BB96">
        <f>BA96*D96*3</f>
        <v>104.34</v>
      </c>
      <c r="BD96">
        <v>8.9</v>
      </c>
      <c r="BE96">
        <f>BD96*D96*3</f>
        <v>98.789999999999992</v>
      </c>
      <c r="BG96" s="10"/>
      <c r="BH96" s="1">
        <f>CHOOSE(MATCH(MIN(ABS(BP96-C96),ABS(BQ96-C96),ABS(BR96-C96)),CHOOSE({1;2;3},ABS(BP96-C96),ABS(BQ96-C96),ABS(BR96-C96)),0),BP96,BQ96,BR96)</f>
        <v>83.25</v>
      </c>
      <c r="BJ96" s="1" cm="1">
        <f t="array" ref="BJ96">(INDEX(_xlfn._xlws.SORT(CHOOSE({1;2;3;4;5;6},BQ96,BR96,L96,AE96,BO96,BP96)),3) + INDEX(_xlfn._xlws.SORT(CHOOSE({1;2;3;4;5;6},BQ96,BR96,L96,AE96,BO96,BP96)),4))/2</f>
        <v>81.03</v>
      </c>
      <c r="BK96">
        <v>7.8318475192710899</v>
      </c>
      <c r="BL96" t="s">
        <v>6117</v>
      </c>
      <c r="BM96" s="1">
        <f>BK96*3*D96</f>
        <v>86.933507463909109</v>
      </c>
      <c r="BN96" s="1">
        <f>BM96-C96</f>
        <v>-1.649253609089385E-2</v>
      </c>
      <c r="BO96" s="1">
        <f>GK96*3*D96</f>
        <v>75.48</v>
      </c>
      <c r="BP96" s="1">
        <f>DO96*3*D96</f>
        <v>98.79000000000002</v>
      </c>
      <c r="BQ96" s="1">
        <f>FJ96*3*D96</f>
        <v>77.7</v>
      </c>
      <c r="BR96" s="1">
        <f>GL96*3*D96</f>
        <v>83.25</v>
      </c>
      <c r="BT96">
        <v>84.03</v>
      </c>
      <c r="BU96">
        <v>8.85</v>
      </c>
      <c r="BV96" t="s">
        <v>5259</v>
      </c>
      <c r="BW96" t="s">
        <v>4987</v>
      </c>
      <c r="BX96" t="s">
        <v>5099</v>
      </c>
      <c r="BY96" t="s">
        <v>5330</v>
      </c>
      <c r="BZ96" t="s">
        <v>5331</v>
      </c>
      <c r="CA96" t="s">
        <v>2550</v>
      </c>
      <c r="CC96" t="s">
        <v>2481</v>
      </c>
      <c r="CD96" t="s">
        <v>2481</v>
      </c>
      <c r="CE96" t="s">
        <v>2603</v>
      </c>
      <c r="CG96" t="s">
        <v>2472</v>
      </c>
      <c r="CH96" t="s">
        <v>2472</v>
      </c>
      <c r="CI96" t="s">
        <v>2604</v>
      </c>
      <c r="CK96" t="s">
        <v>2605</v>
      </c>
      <c r="CL96" t="s">
        <v>2605</v>
      </c>
      <c r="CM96" t="s">
        <v>2595</v>
      </c>
      <c r="CO96" t="s">
        <v>2606</v>
      </c>
      <c r="CP96" t="s">
        <v>2606</v>
      </c>
      <c r="CQ96" t="s">
        <v>2607</v>
      </c>
      <c r="CR96" t="s">
        <v>2478</v>
      </c>
      <c r="CS96" t="s">
        <v>2608</v>
      </c>
      <c r="CT96" t="s">
        <v>2608</v>
      </c>
      <c r="CV96">
        <v>9</v>
      </c>
      <c r="CW96">
        <v>9</v>
      </c>
      <c r="CX96">
        <v>9</v>
      </c>
      <c r="CY96">
        <v>9</v>
      </c>
      <c r="CZ96">
        <v>8.5</v>
      </c>
      <c r="DA96">
        <v>0.1</v>
      </c>
      <c r="DB96">
        <v>0.1</v>
      </c>
      <c r="DC96">
        <v>0.2</v>
      </c>
      <c r="DD96">
        <v>0.3</v>
      </c>
      <c r="DE96">
        <v>0.3</v>
      </c>
      <c r="DF96">
        <v>0.9</v>
      </c>
      <c r="DG96">
        <v>0.9</v>
      </c>
      <c r="DH96">
        <v>1.8</v>
      </c>
      <c r="DI96">
        <v>2.7</v>
      </c>
      <c r="DJ96">
        <v>2.5499999999999998</v>
      </c>
      <c r="DK96">
        <v>8.85</v>
      </c>
      <c r="DL96">
        <v>0</v>
      </c>
      <c r="DM96">
        <v>8.85</v>
      </c>
      <c r="DN96">
        <v>9</v>
      </c>
      <c r="DO96">
        <f>AVERAGE(CV96:CZ96)</f>
        <v>8.9</v>
      </c>
      <c r="DQ96">
        <v>14</v>
      </c>
      <c r="DR96" t="s">
        <v>28</v>
      </c>
      <c r="DS96" t="s">
        <v>61</v>
      </c>
      <c r="DT96" t="s">
        <v>90</v>
      </c>
      <c r="DU96" t="s">
        <v>91</v>
      </c>
      <c r="DV96" t="s">
        <v>92</v>
      </c>
      <c r="DW96" t="s">
        <v>3769</v>
      </c>
      <c r="DX96" t="s">
        <v>3770</v>
      </c>
      <c r="DY96" t="s">
        <v>4340</v>
      </c>
      <c r="DZ96" t="s">
        <v>4340</v>
      </c>
      <c r="EA96" t="s">
        <v>3860</v>
      </c>
      <c r="EB96" t="s">
        <v>3964</v>
      </c>
      <c r="EC96" t="s">
        <v>4036</v>
      </c>
      <c r="ED96" t="s">
        <v>4036</v>
      </c>
      <c r="EE96" t="s">
        <v>3966</v>
      </c>
      <c r="EF96" t="s">
        <v>3967</v>
      </c>
      <c r="EG96" t="s">
        <v>3968</v>
      </c>
      <c r="EH96" t="s">
        <v>3968</v>
      </c>
      <c r="EI96" t="s">
        <v>3246</v>
      </c>
      <c r="EJ96" t="s">
        <v>3969</v>
      </c>
      <c r="EK96" t="s">
        <v>3970</v>
      </c>
      <c r="EL96" t="s">
        <v>3970</v>
      </c>
      <c r="EM96" t="s">
        <v>3971</v>
      </c>
      <c r="EN96" t="s">
        <v>3972</v>
      </c>
      <c r="EO96" t="s">
        <v>3973</v>
      </c>
      <c r="EP96" t="s">
        <v>3973</v>
      </c>
      <c r="EQ96">
        <v>7</v>
      </c>
      <c r="ER96">
        <v>8</v>
      </c>
      <c r="ES96">
        <v>7</v>
      </c>
      <c r="ET96">
        <v>7</v>
      </c>
      <c r="EU96">
        <v>7</v>
      </c>
      <c r="EV96">
        <v>0.1</v>
      </c>
      <c r="EW96">
        <v>0.1</v>
      </c>
      <c r="EX96">
        <v>0.2</v>
      </c>
      <c r="EY96">
        <v>0.3</v>
      </c>
      <c r="EZ96">
        <v>0.3</v>
      </c>
      <c r="FA96">
        <f>EV96*EQ96</f>
        <v>0.70000000000000007</v>
      </c>
      <c r="FB96">
        <f>EW96*ER96</f>
        <v>0.8</v>
      </c>
      <c r="FC96">
        <f>EX96*ES96</f>
        <v>1.4000000000000001</v>
      </c>
      <c r="FD96">
        <f>EY96*ET96</f>
        <v>2.1</v>
      </c>
      <c r="FE96">
        <f>EZ96*EU96</f>
        <v>2.1</v>
      </c>
      <c r="FF96">
        <v>14</v>
      </c>
      <c r="FG96">
        <v>0</v>
      </c>
      <c r="FH96">
        <v>14</v>
      </c>
      <c r="FI96">
        <f>FA96+FB96+FC96+FD96+FE96</f>
        <v>7.1</v>
      </c>
      <c r="FJ96">
        <f>MEDIAN(EQ96:EU96)</f>
        <v>7</v>
      </c>
      <c r="FL96">
        <v>73.14</v>
      </c>
      <c r="FM96">
        <v>4.8</v>
      </c>
      <c r="FN96" t="s">
        <v>1057</v>
      </c>
      <c r="FO96" t="s">
        <v>1058</v>
      </c>
      <c r="FP96" t="s">
        <v>938</v>
      </c>
      <c r="FQ96" t="s">
        <v>1059</v>
      </c>
      <c r="FR96" t="s">
        <v>1060</v>
      </c>
      <c r="FS96">
        <v>7.5</v>
      </c>
      <c r="FT96">
        <v>8</v>
      </c>
      <c r="FU96">
        <v>7.5</v>
      </c>
      <c r="FV96">
        <v>6.5</v>
      </c>
      <c r="FW96">
        <v>6</v>
      </c>
      <c r="FX96">
        <v>0.1</v>
      </c>
      <c r="FY96">
        <v>0.1</v>
      </c>
      <c r="FZ96">
        <v>0.2</v>
      </c>
      <c r="GA96">
        <v>0.3</v>
      </c>
      <c r="GB96">
        <v>0.3</v>
      </c>
      <c r="GC96">
        <f>FS96*FX96</f>
        <v>0.75</v>
      </c>
      <c r="GD96">
        <f>FT96*FY96</f>
        <v>0.8</v>
      </c>
      <c r="GE96">
        <f>FU96*FZ96</f>
        <v>1.5</v>
      </c>
      <c r="GF96">
        <f>FV96*GA96</f>
        <v>1.95</v>
      </c>
      <c r="GG96">
        <f>FW96*GB96</f>
        <v>1.7999999999999998</v>
      </c>
      <c r="GH96">
        <v>4.95</v>
      </c>
      <c r="GI96">
        <v>-0.15</v>
      </c>
      <c r="GJ96">
        <v>4.8</v>
      </c>
      <c r="GK96">
        <f>GC96+GD96+GE96+GF96+GG96</f>
        <v>6.8</v>
      </c>
      <c r="GL96">
        <f>MEDIAN(FS96:FW96)</f>
        <v>7.5</v>
      </c>
    </row>
    <row r="97" spans="1:194" hidden="1" x14ac:dyDescent="0.25">
      <c r="A97">
        <v>96</v>
      </c>
      <c r="B97" t="s">
        <v>2</v>
      </c>
      <c r="C97" s="4">
        <v>63</v>
      </c>
      <c r="D97">
        <v>3</v>
      </c>
      <c r="E97" s="1">
        <f>C97/3/D97</f>
        <v>7</v>
      </c>
      <c r="G97">
        <v>118.58</v>
      </c>
      <c r="H97">
        <v>8.1999999999999993</v>
      </c>
      <c r="I97">
        <f>H97*D97*3</f>
        <v>73.8</v>
      </c>
      <c r="J97">
        <v>17.73</v>
      </c>
      <c r="K97">
        <v>9</v>
      </c>
      <c r="L97" s="3">
        <f>K97*3*D97</f>
        <v>81</v>
      </c>
      <c r="M97">
        <v>5.35</v>
      </c>
      <c r="N97">
        <v>3</v>
      </c>
      <c r="O97">
        <f>N97*D97*3</f>
        <v>27</v>
      </c>
      <c r="P97" s="5">
        <v>8.6999999999999993</v>
      </c>
      <c r="Q97" s="5">
        <f>P97*D97*3</f>
        <v>78.3</v>
      </c>
      <c r="S97" t="s">
        <v>6233</v>
      </c>
      <c r="T97">
        <v>6</v>
      </c>
      <c r="U97" s="8">
        <f>T97*D97*3</f>
        <v>54</v>
      </c>
      <c r="V97">
        <v>30.14</v>
      </c>
      <c r="W97">
        <v>8</v>
      </c>
      <c r="X97" s="5">
        <f>W97*D97*3</f>
        <v>72</v>
      </c>
      <c r="Y97">
        <v>11.56</v>
      </c>
      <c r="Z97">
        <v>6.8</v>
      </c>
      <c r="AA97">
        <f>Z97*D97*3</f>
        <v>61.199999999999996</v>
      </c>
      <c r="AC97">
        <v>41.49</v>
      </c>
      <c r="AD97">
        <v>7.9</v>
      </c>
      <c r="AE97" s="1">
        <f>AD97*3*D97</f>
        <v>71.100000000000009</v>
      </c>
      <c r="AF97">
        <v>13.65</v>
      </c>
      <c r="AH97" s="5">
        <f>AG97*D97*3</f>
        <v>0</v>
      </c>
      <c r="AI97" s="13"/>
      <c r="AJ97">
        <v>8</v>
      </c>
      <c r="AK97" s="8">
        <f>AJ97*D97*3</f>
        <v>72</v>
      </c>
      <c r="AL97" s="13"/>
      <c r="AM97">
        <v>30.98</v>
      </c>
      <c r="AN97">
        <v>7.9</v>
      </c>
      <c r="AO97" s="8">
        <f>AN97*D97*3</f>
        <v>71.100000000000009</v>
      </c>
      <c r="AP97">
        <v>15.15</v>
      </c>
      <c r="AQ97">
        <v>10</v>
      </c>
      <c r="AR97">
        <f>AQ97*D97*3</f>
        <v>90</v>
      </c>
      <c r="AT97">
        <v>8.8000000000000007</v>
      </c>
      <c r="AU97">
        <f>AT97*D97*3</f>
        <v>79.2</v>
      </c>
      <c r="AW97">
        <v>22.36</v>
      </c>
      <c r="AX97">
        <v>9.1</v>
      </c>
      <c r="AY97">
        <f>AX97*D97*3</f>
        <v>81.899999999999991</v>
      </c>
      <c r="AZ97">
        <v>22.36</v>
      </c>
      <c r="BA97">
        <v>9</v>
      </c>
      <c r="BB97">
        <f>BA97*D97*3</f>
        <v>81</v>
      </c>
      <c r="BD97">
        <v>8.9</v>
      </c>
      <c r="BE97">
        <f>BD97*D97*3</f>
        <v>80.100000000000009</v>
      </c>
      <c r="BG97" s="10"/>
      <c r="BH97" s="1">
        <f>CHOOSE(MATCH(MIN(ABS(BP97-C97),ABS(BQ97-C97),ABS(BR97-C97)),CHOOSE({1;2;3},ABS(BP97-C97),ABS(BQ97-C97),ABS(BR97-C97)),0),BP97,BQ97,BR97)</f>
        <v>72</v>
      </c>
      <c r="BJ97" s="1" cm="1">
        <f t="array" ref="BJ97">(INDEX(_xlfn._xlws.SORT(CHOOSE({1;2;3;4;5;6},BQ97,BR97,L97,AE97,BO97,BP97)),3) + INDEX(_xlfn._xlws.SORT(CHOOSE({1;2;3;4;5;6},BQ97,BR97,L97,AE97,BO97,BP97)),4))/2</f>
        <v>71.550000000000011</v>
      </c>
      <c r="BK97">
        <v>7.0214326903231896</v>
      </c>
      <c r="BL97" t="s">
        <v>6117</v>
      </c>
      <c r="BM97" s="1">
        <f>BK97*3*D97</f>
        <v>63.192894212908712</v>
      </c>
      <c r="BN97" s="1">
        <f>BM97-C97</f>
        <v>0.19289421290871189</v>
      </c>
      <c r="BO97" s="1">
        <f>GK97*3*D97</f>
        <v>36.9</v>
      </c>
      <c r="BP97" s="1">
        <f>DO97*3*D97</f>
        <v>81</v>
      </c>
      <c r="BQ97" s="1">
        <f>FJ97*3*D97</f>
        <v>72</v>
      </c>
      <c r="BR97" s="1">
        <f>GL97*3*D97</f>
        <v>36</v>
      </c>
      <c r="BT97">
        <v>118.58</v>
      </c>
      <c r="BU97">
        <v>8.1999999999999993</v>
      </c>
      <c r="BV97" t="s">
        <v>5332</v>
      </c>
      <c r="BW97" t="s">
        <v>5333</v>
      </c>
      <c r="BX97" t="s">
        <v>5334</v>
      </c>
      <c r="BY97" t="s">
        <v>5335</v>
      </c>
      <c r="BZ97" t="s">
        <v>5336</v>
      </c>
      <c r="CA97" t="s">
        <v>3019</v>
      </c>
      <c r="CC97" t="s">
        <v>2585</v>
      </c>
      <c r="CD97" t="s">
        <v>2453</v>
      </c>
      <c r="CE97" t="s">
        <v>3020</v>
      </c>
      <c r="CG97" t="s">
        <v>2441</v>
      </c>
      <c r="CH97" t="s">
        <v>2587</v>
      </c>
      <c r="CI97" t="s">
        <v>2567</v>
      </c>
      <c r="CK97" t="s">
        <v>2444</v>
      </c>
      <c r="CL97" t="s">
        <v>2588</v>
      </c>
      <c r="CM97" t="s">
        <v>3021</v>
      </c>
      <c r="CO97" t="s">
        <v>2447</v>
      </c>
      <c r="CP97" t="s">
        <v>2590</v>
      </c>
      <c r="CQ97" t="s">
        <v>3022</v>
      </c>
      <c r="CS97" t="s">
        <v>2450</v>
      </c>
      <c r="CT97" t="s">
        <v>2592</v>
      </c>
      <c r="CV97">
        <v>9</v>
      </c>
      <c r="CW97">
        <v>9</v>
      </c>
      <c r="CX97">
        <v>9</v>
      </c>
      <c r="CY97">
        <v>9</v>
      </c>
      <c r="CZ97">
        <v>9</v>
      </c>
      <c r="DA97">
        <v>0.1</v>
      </c>
      <c r="DB97">
        <v>0.1</v>
      </c>
      <c r="DC97">
        <v>0.2</v>
      </c>
      <c r="DD97">
        <v>0.3</v>
      </c>
      <c r="DE97">
        <v>0.3</v>
      </c>
      <c r="DF97">
        <v>0.9</v>
      </c>
      <c r="DG97">
        <v>0.9</v>
      </c>
      <c r="DH97">
        <v>1.8</v>
      </c>
      <c r="DI97">
        <v>2.7</v>
      </c>
      <c r="DJ97">
        <v>2.7</v>
      </c>
      <c r="DK97">
        <v>8.1999999999999993</v>
      </c>
      <c r="DL97">
        <v>0</v>
      </c>
      <c r="DM97">
        <v>8.1999999999999993</v>
      </c>
      <c r="DN97">
        <v>9</v>
      </c>
      <c r="DO97">
        <f>AVERAGE(CV97:CZ97)</f>
        <v>9</v>
      </c>
      <c r="DQ97">
        <v>19</v>
      </c>
      <c r="DR97" t="s">
        <v>250</v>
      </c>
      <c r="DS97" t="s">
        <v>251</v>
      </c>
      <c r="DT97" t="s">
        <v>118</v>
      </c>
      <c r="DU97" t="s">
        <v>252</v>
      </c>
      <c r="DV97" t="s">
        <v>253</v>
      </c>
      <c r="DW97" t="s">
        <v>3805</v>
      </c>
      <c r="DX97" t="s">
        <v>4341</v>
      </c>
      <c r="DY97" t="s">
        <v>4342</v>
      </c>
      <c r="DZ97" t="s">
        <v>4343</v>
      </c>
      <c r="EA97" t="s">
        <v>4344</v>
      </c>
      <c r="EB97" t="s">
        <v>4344</v>
      </c>
      <c r="EE97" t="s">
        <v>3966</v>
      </c>
      <c r="EF97" t="s">
        <v>4044</v>
      </c>
      <c r="EI97" t="s">
        <v>4021</v>
      </c>
      <c r="EJ97" t="s">
        <v>4021</v>
      </c>
      <c r="EM97" t="s">
        <v>4345</v>
      </c>
      <c r="EN97" t="s">
        <v>4346</v>
      </c>
      <c r="EQ97">
        <v>7</v>
      </c>
      <c r="ER97">
        <v>8</v>
      </c>
      <c r="ES97">
        <v>8</v>
      </c>
      <c r="ET97">
        <v>8</v>
      </c>
      <c r="EU97">
        <v>8</v>
      </c>
      <c r="EV97">
        <v>0.1</v>
      </c>
      <c r="EW97">
        <v>0.1</v>
      </c>
      <c r="EX97">
        <v>0.2</v>
      </c>
      <c r="EY97">
        <v>0.3</v>
      </c>
      <c r="EZ97">
        <v>0.3</v>
      </c>
      <c r="FA97">
        <f>EV97*EQ97</f>
        <v>0.70000000000000007</v>
      </c>
      <c r="FB97">
        <f>EW97*ER97</f>
        <v>0.8</v>
      </c>
      <c r="FC97">
        <f>EX97*ES97</f>
        <v>1.6</v>
      </c>
      <c r="FD97">
        <f>EY97*ET97</f>
        <v>2.4</v>
      </c>
      <c r="FE97">
        <f>EZ97*EU97</f>
        <v>2.4</v>
      </c>
      <c r="FF97">
        <v>19</v>
      </c>
      <c r="FG97">
        <v>0</v>
      </c>
      <c r="FH97">
        <v>19</v>
      </c>
      <c r="FI97">
        <f>FA97+FB97+FC97+FD97+FE97</f>
        <v>7.9</v>
      </c>
      <c r="FJ97">
        <f>MEDIAN(EQ97:EU97)</f>
        <v>8</v>
      </c>
      <c r="FL97">
        <v>88.47</v>
      </c>
      <c r="FM97">
        <v>7</v>
      </c>
      <c r="FN97" t="s">
        <v>1017</v>
      </c>
      <c r="FO97" t="s">
        <v>1061</v>
      </c>
      <c r="FP97" t="s">
        <v>1062</v>
      </c>
      <c r="FQ97" t="s">
        <v>1063</v>
      </c>
      <c r="FR97" t="s">
        <v>1064</v>
      </c>
      <c r="FS97">
        <v>4</v>
      </c>
      <c r="FT97">
        <v>3</v>
      </c>
      <c r="FU97">
        <v>2</v>
      </c>
      <c r="FV97">
        <v>4</v>
      </c>
      <c r="FW97">
        <v>6</v>
      </c>
      <c r="FX97">
        <v>0.1</v>
      </c>
      <c r="FY97">
        <v>0.1</v>
      </c>
      <c r="FZ97">
        <v>0.2</v>
      </c>
      <c r="GA97">
        <v>0.3</v>
      </c>
      <c r="GB97">
        <v>0.3</v>
      </c>
      <c r="GC97">
        <f>FS97*FX97</f>
        <v>0.4</v>
      </c>
      <c r="GD97">
        <f>FT97*FY97</f>
        <v>0.30000000000000004</v>
      </c>
      <c r="GE97">
        <f>FU97*FZ97</f>
        <v>0.4</v>
      </c>
      <c r="GF97">
        <f>FV97*GA97</f>
        <v>1.2</v>
      </c>
      <c r="GG97">
        <f>FW97*GB97</f>
        <v>1.7999999999999998</v>
      </c>
      <c r="GH97">
        <v>7</v>
      </c>
      <c r="GI97">
        <v>0</v>
      </c>
      <c r="GJ97">
        <v>7</v>
      </c>
      <c r="GK97">
        <f>GC97+GD97+GE97+GF97+GG97</f>
        <v>4.0999999999999996</v>
      </c>
      <c r="GL97">
        <f>MEDIAN(FS97:FW97)</f>
        <v>4</v>
      </c>
    </row>
    <row r="98" spans="1:194" hidden="1" x14ac:dyDescent="0.25">
      <c r="A98">
        <v>97</v>
      </c>
      <c r="B98" t="s">
        <v>2</v>
      </c>
      <c r="C98" s="4">
        <v>86.4</v>
      </c>
      <c r="D98">
        <v>3.6</v>
      </c>
      <c r="E98" s="1">
        <f>C98/3/D98</f>
        <v>8</v>
      </c>
      <c r="G98">
        <v>36.49</v>
      </c>
      <c r="H98">
        <v>8.1999999999999993</v>
      </c>
      <c r="I98">
        <f>H98*D98*3</f>
        <v>88.56</v>
      </c>
      <c r="J98">
        <v>17.25</v>
      </c>
      <c r="K98">
        <v>8.4</v>
      </c>
      <c r="L98" s="3">
        <f>K98*3*D98</f>
        <v>90.720000000000013</v>
      </c>
      <c r="M98">
        <v>4.6900000000000004</v>
      </c>
      <c r="N98">
        <v>3</v>
      </c>
      <c r="O98">
        <f>N98*D98*3</f>
        <v>32.400000000000006</v>
      </c>
      <c r="P98" s="5">
        <v>7</v>
      </c>
      <c r="Q98" s="5">
        <f>P98*D98*3</f>
        <v>75.599999999999994</v>
      </c>
      <c r="S98" t="s">
        <v>6234</v>
      </c>
      <c r="T98">
        <v>5.4</v>
      </c>
      <c r="U98" s="8">
        <f>T98*D98*3</f>
        <v>58.320000000000007</v>
      </c>
      <c r="V98">
        <v>30.17</v>
      </c>
      <c r="W98">
        <v>8</v>
      </c>
      <c r="X98" s="5">
        <f>W98*D98*3</f>
        <v>86.4</v>
      </c>
      <c r="Y98">
        <v>11.23</v>
      </c>
      <c r="Z98">
        <v>7.8</v>
      </c>
      <c r="AA98">
        <f>Z98*D98*3</f>
        <v>84.24</v>
      </c>
      <c r="AC98">
        <v>46.44</v>
      </c>
      <c r="AD98">
        <v>8</v>
      </c>
      <c r="AE98" s="1">
        <f>AD98*3*D98</f>
        <v>86.4</v>
      </c>
      <c r="AF98">
        <v>11.9</v>
      </c>
      <c r="AG98" s="5">
        <v>7</v>
      </c>
      <c r="AH98" s="5">
        <f>AG98*D98*3</f>
        <v>75.599999999999994</v>
      </c>
      <c r="AI98" s="13"/>
      <c r="AK98" s="8">
        <f>AJ98*D98*3</f>
        <v>0</v>
      </c>
      <c r="AL98" s="13"/>
      <c r="AM98">
        <v>29.85</v>
      </c>
      <c r="AN98">
        <v>7.8</v>
      </c>
      <c r="AO98" s="8">
        <f>AN98*D98*3</f>
        <v>84.24</v>
      </c>
      <c r="AP98">
        <v>11.9</v>
      </c>
      <c r="AQ98">
        <v>9.3000000000000007</v>
      </c>
      <c r="AR98">
        <f>AQ98*D98*3</f>
        <v>100.44000000000001</v>
      </c>
      <c r="AT98">
        <v>9</v>
      </c>
      <c r="AU98">
        <f>AT98*D98*3</f>
        <v>97.199999999999989</v>
      </c>
      <c r="AW98">
        <v>24.11</v>
      </c>
      <c r="AX98">
        <v>8.8000000000000007</v>
      </c>
      <c r="AY98">
        <f>AX98*D98*3</f>
        <v>95.04</v>
      </c>
      <c r="AZ98">
        <v>24.11</v>
      </c>
      <c r="BA98">
        <v>9</v>
      </c>
      <c r="BB98">
        <f>BA98*D98*3</f>
        <v>97.199999999999989</v>
      </c>
      <c r="BD98">
        <v>9</v>
      </c>
      <c r="BE98">
        <f>BD98*D98*3</f>
        <v>97.199999999999989</v>
      </c>
      <c r="BG98" s="10"/>
      <c r="BH98" s="1">
        <f>CHOOSE(MATCH(MIN(ABS(BP98-C98),ABS(BQ98-C98),ABS(BR98-C98)),CHOOSE({1;2;3},ABS(BP98-C98),ABS(BQ98-C98),ABS(BR98-C98)),0),BP98,BQ98,BR98)</f>
        <v>86.4</v>
      </c>
      <c r="BJ98" s="1" cm="1">
        <f t="array" ref="BJ98">(INDEX(_xlfn._xlws.SORT(CHOOSE({1;2;3;4;5;6},BQ98,BR98,L98,AE98,BO98,BP98)),3) + INDEX(_xlfn._xlws.SORT(CHOOSE({1;2;3;4;5;6},BQ98,BR98,L98,AE98,BO98,BP98)),4))/2</f>
        <v>86.4</v>
      </c>
      <c r="BK98">
        <v>7.9703668043311104</v>
      </c>
      <c r="BL98" t="s">
        <v>6117</v>
      </c>
      <c r="BM98" s="1">
        <f>BK98*3*D98</f>
        <v>86.079961486776</v>
      </c>
      <c r="BN98" s="1">
        <f>BM98-C98</f>
        <v>-0.32003851322400578</v>
      </c>
      <c r="BO98" s="1">
        <f>GK98*3*D98</f>
        <v>86.4</v>
      </c>
      <c r="BP98" s="1">
        <f>DO98*3*D98</f>
        <v>97.2</v>
      </c>
      <c r="BQ98" s="1">
        <f>FJ98*3*D98</f>
        <v>86.4</v>
      </c>
      <c r="BR98" s="1">
        <f>GL98*3*D98</f>
        <v>86.4</v>
      </c>
      <c r="BT98">
        <v>36.49</v>
      </c>
      <c r="BU98">
        <v>8.1999999999999993</v>
      </c>
      <c r="BV98" t="s">
        <v>5042</v>
      </c>
      <c r="BW98" t="s">
        <v>5337</v>
      </c>
      <c r="BX98" t="s">
        <v>5338</v>
      </c>
      <c r="BY98" t="s">
        <v>5339</v>
      </c>
      <c r="BZ98" t="s">
        <v>5340</v>
      </c>
      <c r="CA98" t="s">
        <v>2723</v>
      </c>
      <c r="CC98" t="s">
        <v>2842</v>
      </c>
      <c r="CD98" t="s">
        <v>2439</v>
      </c>
      <c r="CE98" t="s">
        <v>2440</v>
      </c>
      <c r="CG98" t="s">
        <v>3023</v>
      </c>
      <c r="CH98" t="s">
        <v>2648</v>
      </c>
      <c r="CI98" t="s">
        <v>2443</v>
      </c>
      <c r="CK98" t="s">
        <v>3024</v>
      </c>
      <c r="CL98" t="s">
        <v>3025</v>
      </c>
      <c r="CM98" t="s">
        <v>2446</v>
      </c>
      <c r="CO98" t="s">
        <v>3026</v>
      </c>
      <c r="CP98" t="s">
        <v>2652</v>
      </c>
      <c r="CQ98" t="s">
        <v>2449</v>
      </c>
      <c r="CS98" t="s">
        <v>3027</v>
      </c>
      <c r="CT98" t="s">
        <v>3028</v>
      </c>
      <c r="CV98">
        <v>9</v>
      </c>
      <c r="CW98">
        <v>9</v>
      </c>
      <c r="CX98">
        <v>9</v>
      </c>
      <c r="CY98">
        <v>9</v>
      </c>
      <c r="CZ98">
        <v>9</v>
      </c>
      <c r="DA98">
        <v>0.1</v>
      </c>
      <c r="DB98">
        <v>0.1</v>
      </c>
      <c r="DC98">
        <v>0.2</v>
      </c>
      <c r="DD98">
        <v>0.3</v>
      </c>
      <c r="DE98">
        <v>0.3</v>
      </c>
      <c r="DF98">
        <v>0.9</v>
      </c>
      <c r="DG98">
        <v>0.9</v>
      </c>
      <c r="DH98">
        <v>1.8</v>
      </c>
      <c r="DI98">
        <v>2.7</v>
      </c>
      <c r="DJ98">
        <v>2.7</v>
      </c>
      <c r="DK98">
        <v>8.1999999999999993</v>
      </c>
      <c r="DL98">
        <v>0</v>
      </c>
      <c r="DM98">
        <v>8.1999999999999993</v>
      </c>
      <c r="DN98">
        <v>8.4</v>
      </c>
      <c r="DO98">
        <f>AVERAGE(CV98:CZ98)</f>
        <v>9</v>
      </c>
      <c r="DQ98">
        <v>8</v>
      </c>
      <c r="DR98" t="s">
        <v>33</v>
      </c>
      <c r="DS98" t="s">
        <v>82</v>
      </c>
      <c r="DT98" t="s">
        <v>254</v>
      </c>
      <c r="DU98" t="s">
        <v>84</v>
      </c>
      <c r="DV98" t="s">
        <v>85</v>
      </c>
      <c r="DW98" t="s">
        <v>3788</v>
      </c>
      <c r="DX98" t="s">
        <v>3789</v>
      </c>
      <c r="DY98" t="s">
        <v>3790</v>
      </c>
      <c r="DZ98" t="s">
        <v>3933</v>
      </c>
      <c r="EA98" t="s">
        <v>3934</v>
      </c>
      <c r="EB98" t="s">
        <v>3793</v>
      </c>
      <c r="EC98" t="s">
        <v>3935</v>
      </c>
      <c r="ED98" t="s">
        <v>3936</v>
      </c>
      <c r="EE98" t="s">
        <v>3937</v>
      </c>
      <c r="EF98" t="s">
        <v>3797</v>
      </c>
      <c r="EG98" t="s">
        <v>4347</v>
      </c>
      <c r="EH98" t="s">
        <v>4348</v>
      </c>
      <c r="EI98" t="s">
        <v>3940</v>
      </c>
      <c r="EJ98" t="s">
        <v>3800</v>
      </c>
      <c r="EK98" t="s">
        <v>3941</v>
      </c>
      <c r="EL98" t="s">
        <v>3942</v>
      </c>
      <c r="EM98" t="s">
        <v>3943</v>
      </c>
      <c r="EN98" t="s">
        <v>3803</v>
      </c>
      <c r="EO98" t="s">
        <v>3944</v>
      </c>
      <c r="EP98" t="s">
        <v>3945</v>
      </c>
      <c r="EQ98">
        <v>8</v>
      </c>
      <c r="ER98">
        <v>8</v>
      </c>
      <c r="ES98">
        <v>8</v>
      </c>
      <c r="ET98">
        <v>8</v>
      </c>
      <c r="EU98">
        <v>8</v>
      </c>
      <c r="EV98">
        <v>0.1</v>
      </c>
      <c r="EW98">
        <v>0.1</v>
      </c>
      <c r="EX98">
        <v>0.2</v>
      </c>
      <c r="EY98">
        <v>0.3</v>
      </c>
      <c r="EZ98">
        <v>0.3</v>
      </c>
      <c r="FA98">
        <f>EV98*EQ98</f>
        <v>0.8</v>
      </c>
      <c r="FB98">
        <f>EW98*ER98</f>
        <v>0.8</v>
      </c>
      <c r="FC98">
        <f>EX98*ES98</f>
        <v>1.6</v>
      </c>
      <c r="FD98">
        <f>EY98*ET98</f>
        <v>2.4</v>
      </c>
      <c r="FE98">
        <f>EZ98*EU98</f>
        <v>2.4</v>
      </c>
      <c r="FF98">
        <v>17</v>
      </c>
      <c r="FG98">
        <v>0</v>
      </c>
      <c r="FH98">
        <v>8</v>
      </c>
      <c r="FI98">
        <f>FA98+FB98+FC98+FD98+FE98</f>
        <v>8</v>
      </c>
      <c r="FJ98">
        <f>MEDIAN(EQ98:EU98)</f>
        <v>8</v>
      </c>
      <c r="FL98">
        <v>39.200000000000003</v>
      </c>
      <c r="FM98">
        <v>7</v>
      </c>
      <c r="FN98" t="s">
        <v>1065</v>
      </c>
      <c r="FO98" t="s">
        <v>1066</v>
      </c>
      <c r="FP98" t="s">
        <v>1067</v>
      </c>
      <c r="FQ98" t="s">
        <v>1068</v>
      </c>
      <c r="FR98" t="s">
        <v>1069</v>
      </c>
      <c r="FS98">
        <v>8</v>
      </c>
      <c r="FT98">
        <v>7.5</v>
      </c>
      <c r="FU98">
        <v>9</v>
      </c>
      <c r="FV98">
        <v>8.5</v>
      </c>
      <c r="FW98">
        <v>7</v>
      </c>
      <c r="FX98">
        <v>0.1</v>
      </c>
      <c r="FY98">
        <v>0.1</v>
      </c>
      <c r="FZ98">
        <v>0.2</v>
      </c>
      <c r="GA98">
        <v>0.3</v>
      </c>
      <c r="GB98">
        <v>0.3</v>
      </c>
      <c r="GC98">
        <f>FS98*FX98</f>
        <v>0.8</v>
      </c>
      <c r="GD98">
        <f>FT98*FY98</f>
        <v>0.75</v>
      </c>
      <c r="GE98">
        <f>FU98*FZ98</f>
        <v>1.8</v>
      </c>
      <c r="GF98">
        <f>FV98*GA98</f>
        <v>2.5499999999999998</v>
      </c>
      <c r="GG98">
        <f>FW98*GB98</f>
        <v>2.1</v>
      </c>
      <c r="GH98">
        <v>6.95</v>
      </c>
      <c r="GJ98">
        <v>7</v>
      </c>
      <c r="GK98">
        <f>GC98+GD98+GE98+GF98+GG98</f>
        <v>8</v>
      </c>
      <c r="GL98">
        <f>MEDIAN(FS98:FW98)</f>
        <v>8</v>
      </c>
    </row>
    <row r="99" spans="1:194" hidden="1" x14ac:dyDescent="0.25">
      <c r="A99">
        <v>98</v>
      </c>
      <c r="B99" t="s">
        <v>2</v>
      </c>
      <c r="C99" s="4">
        <v>86.4</v>
      </c>
      <c r="D99">
        <v>3.6</v>
      </c>
      <c r="E99" s="1">
        <f>C99/3/D99</f>
        <v>8</v>
      </c>
      <c r="G99">
        <v>38.479999999999997</v>
      </c>
      <c r="H99">
        <v>8</v>
      </c>
      <c r="I99">
        <f>H99*D99*3</f>
        <v>86.4</v>
      </c>
      <c r="J99">
        <v>17.38</v>
      </c>
      <c r="K99">
        <v>9</v>
      </c>
      <c r="L99" s="3">
        <f>K99*3*D99</f>
        <v>97.2</v>
      </c>
      <c r="M99">
        <v>4.53</v>
      </c>
      <c r="N99">
        <v>8.5</v>
      </c>
      <c r="O99">
        <f>N99*D99*3</f>
        <v>91.800000000000011</v>
      </c>
      <c r="P99" s="5">
        <v>7</v>
      </c>
      <c r="Q99" s="5">
        <f>P99*D99*3</f>
        <v>75.599999999999994</v>
      </c>
      <c r="S99" t="s">
        <v>6235</v>
      </c>
      <c r="T99">
        <v>5.3</v>
      </c>
      <c r="U99" s="8">
        <f>T99*D99*3</f>
        <v>57.239999999999995</v>
      </c>
      <c r="V99">
        <v>38.69</v>
      </c>
      <c r="W99">
        <v>6</v>
      </c>
      <c r="X99" s="5">
        <f>W99*D99*3</f>
        <v>64.800000000000011</v>
      </c>
      <c r="Y99">
        <v>9.57</v>
      </c>
      <c r="Z99">
        <v>7.8</v>
      </c>
      <c r="AA99">
        <f>Z99*D99*3</f>
        <v>84.24</v>
      </c>
      <c r="AC99">
        <v>49.68</v>
      </c>
      <c r="AD99">
        <v>8</v>
      </c>
      <c r="AE99" s="1">
        <f>AD99*3*D99</f>
        <v>86.4</v>
      </c>
      <c r="AF99">
        <v>11.84</v>
      </c>
      <c r="AG99" s="5">
        <v>7</v>
      </c>
      <c r="AH99" s="5">
        <f>AG99*D99*3</f>
        <v>75.599999999999994</v>
      </c>
      <c r="AI99" s="13"/>
      <c r="AJ99">
        <v>5.2</v>
      </c>
      <c r="AK99" s="8">
        <f>AJ99*D99*3</f>
        <v>56.160000000000011</v>
      </c>
      <c r="AL99" s="13"/>
      <c r="AM99">
        <v>30.42</v>
      </c>
      <c r="AN99">
        <v>7.9</v>
      </c>
      <c r="AO99" s="8">
        <f>AN99*D99*3</f>
        <v>85.320000000000007</v>
      </c>
      <c r="AP99">
        <v>14.22</v>
      </c>
      <c r="AQ99">
        <v>9.5</v>
      </c>
      <c r="AR99">
        <f>AQ99*D99*3</f>
        <v>102.60000000000001</v>
      </c>
      <c r="AT99">
        <v>9</v>
      </c>
      <c r="AU99">
        <f>AT99*D99*3</f>
        <v>97.199999999999989</v>
      </c>
      <c r="AW99">
        <v>26.16</v>
      </c>
      <c r="AX99">
        <v>8.3000000000000007</v>
      </c>
      <c r="AY99">
        <f>AX99*D99*3</f>
        <v>89.640000000000015</v>
      </c>
      <c r="AZ99">
        <v>26.16</v>
      </c>
      <c r="BA99">
        <v>9.4</v>
      </c>
      <c r="BB99">
        <f>BA99*D99*3</f>
        <v>101.52000000000001</v>
      </c>
      <c r="BD99">
        <v>9</v>
      </c>
      <c r="BE99">
        <f>BD99*D99*3</f>
        <v>97.199999999999989</v>
      </c>
      <c r="BG99" s="10"/>
      <c r="BH99" s="1">
        <f>CHOOSE(MATCH(MIN(ABS(BP99-C99),ABS(BQ99-C99),ABS(BR99-C99)),CHOOSE({1;2;3},ABS(BP99-C99),ABS(BQ99-C99),ABS(BR99-C99)),0),BP99,BQ99,BR99)</f>
        <v>86.4</v>
      </c>
      <c r="BJ99" s="1" cm="1">
        <f t="array" ref="BJ99">(INDEX(_xlfn._xlws.SORT(CHOOSE({1;2;3;4;5;6},BQ99,BR99,L99,AE99,BO99,BP99)),3) + INDEX(_xlfn._xlws.SORT(CHOOSE({1;2;3;4;5;6},BQ99,BR99,L99,AE99,BO99,BP99)),4))/2</f>
        <v>96.12</v>
      </c>
      <c r="BK99">
        <v>8.0265851640145094</v>
      </c>
      <c r="BL99" t="s">
        <v>6117</v>
      </c>
      <c r="BM99" s="1">
        <f>BK99*3*D99</f>
        <v>86.687119771356706</v>
      </c>
      <c r="BN99" s="1">
        <f>BM99-C99</f>
        <v>0.28711977135669997</v>
      </c>
      <c r="BO99" s="1">
        <f>GK99*3*D99</f>
        <v>95.04</v>
      </c>
      <c r="BP99" s="1">
        <f>DO99*3*D99</f>
        <v>97.2</v>
      </c>
      <c r="BQ99" s="1">
        <f>FJ99*3*D99</f>
        <v>86.4</v>
      </c>
      <c r="BR99" s="1">
        <f>GL99*3*D99</f>
        <v>108</v>
      </c>
      <c r="BT99">
        <v>38.479999999999997</v>
      </c>
      <c r="BU99">
        <v>8</v>
      </c>
      <c r="BV99" t="s">
        <v>5341</v>
      </c>
      <c r="BW99" t="s">
        <v>5342</v>
      </c>
      <c r="BX99" t="s">
        <v>5343</v>
      </c>
      <c r="BY99" t="s">
        <v>5344</v>
      </c>
      <c r="CA99" t="s">
        <v>2452</v>
      </c>
      <c r="CC99" t="s">
        <v>2438</v>
      </c>
      <c r="CD99" t="s">
        <v>2453</v>
      </c>
      <c r="CE99" t="s">
        <v>3020</v>
      </c>
      <c r="CG99" t="s">
        <v>2791</v>
      </c>
      <c r="CH99" t="s">
        <v>2587</v>
      </c>
      <c r="CI99" t="s">
        <v>2567</v>
      </c>
      <c r="CK99" t="s">
        <v>2792</v>
      </c>
      <c r="CL99" t="s">
        <v>2588</v>
      </c>
      <c r="CM99" t="s">
        <v>3029</v>
      </c>
      <c r="CO99" t="s">
        <v>2793</v>
      </c>
      <c r="CP99" t="s">
        <v>2590</v>
      </c>
      <c r="CQ99" t="s">
        <v>3030</v>
      </c>
      <c r="CS99" t="s">
        <v>2794</v>
      </c>
      <c r="CT99" t="s">
        <v>2592</v>
      </c>
      <c r="CV99">
        <v>9</v>
      </c>
      <c r="CW99">
        <v>9</v>
      </c>
      <c r="CX99">
        <v>9</v>
      </c>
      <c r="CY99">
        <v>9</v>
      </c>
      <c r="CZ99">
        <v>9</v>
      </c>
      <c r="DA99">
        <v>0.1</v>
      </c>
      <c r="DB99">
        <v>0.1</v>
      </c>
      <c r="DC99">
        <v>0.2</v>
      </c>
      <c r="DD99">
        <v>0.3</v>
      </c>
      <c r="DE99">
        <v>0.3</v>
      </c>
      <c r="DF99">
        <v>0.9</v>
      </c>
      <c r="DG99">
        <v>0.9</v>
      </c>
      <c r="DH99">
        <v>1.8</v>
      </c>
      <c r="DI99">
        <v>2.7</v>
      </c>
      <c r="DJ99">
        <v>2.7</v>
      </c>
      <c r="DK99">
        <v>8</v>
      </c>
      <c r="DL99">
        <v>0</v>
      </c>
      <c r="DM99">
        <v>8</v>
      </c>
      <c r="DN99">
        <v>9</v>
      </c>
      <c r="DO99">
        <f>AVERAGE(CV99:CZ99)</f>
        <v>9</v>
      </c>
      <c r="DQ99" t="s">
        <v>27</v>
      </c>
      <c r="DR99" t="s">
        <v>52</v>
      </c>
      <c r="DS99" t="s">
        <v>61</v>
      </c>
      <c r="DT99" t="s">
        <v>255</v>
      </c>
      <c r="DU99" t="s">
        <v>256</v>
      </c>
      <c r="DV99" t="s">
        <v>257</v>
      </c>
      <c r="DW99" t="s">
        <v>3836</v>
      </c>
      <c r="DX99" t="s">
        <v>3858</v>
      </c>
      <c r="DY99" t="s">
        <v>4119</v>
      </c>
      <c r="DZ99" t="s">
        <v>4349</v>
      </c>
      <c r="EA99" t="s">
        <v>3860</v>
      </c>
      <c r="EB99" t="s">
        <v>4350</v>
      </c>
      <c r="EC99" t="s">
        <v>4351</v>
      </c>
      <c r="ED99" t="s">
        <v>4352</v>
      </c>
      <c r="EE99" t="s">
        <v>3966</v>
      </c>
      <c r="EF99" t="s">
        <v>4353</v>
      </c>
      <c r="EG99" t="s">
        <v>4354</v>
      </c>
      <c r="EH99" t="s">
        <v>4355</v>
      </c>
      <c r="EI99" t="s">
        <v>3246</v>
      </c>
      <c r="EJ99" t="s">
        <v>4356</v>
      </c>
      <c r="EK99" t="s">
        <v>4357</v>
      </c>
      <c r="EL99" t="s">
        <v>4358</v>
      </c>
      <c r="EM99" t="s">
        <v>3971</v>
      </c>
      <c r="EN99" t="s">
        <v>4047</v>
      </c>
      <c r="EO99" t="s">
        <v>4359</v>
      </c>
      <c r="EP99" t="s">
        <v>4360</v>
      </c>
      <c r="EQ99">
        <v>8</v>
      </c>
      <c r="ER99">
        <v>8</v>
      </c>
      <c r="ES99">
        <v>8</v>
      </c>
      <c r="ET99">
        <v>8</v>
      </c>
      <c r="EU99">
        <v>8</v>
      </c>
      <c r="EV99">
        <v>0.1</v>
      </c>
      <c r="EW99">
        <v>0.1</v>
      </c>
      <c r="EX99">
        <v>0.2</v>
      </c>
      <c r="EY99">
        <v>0.3</v>
      </c>
      <c r="EZ99">
        <v>0.3</v>
      </c>
      <c r="FA99">
        <f>EV99*EQ99</f>
        <v>0.8</v>
      </c>
      <c r="FB99">
        <f>EW99*ER99</f>
        <v>0.8</v>
      </c>
      <c r="FC99">
        <f>EX99*ES99</f>
        <v>1.6</v>
      </c>
      <c r="FD99">
        <f>EY99*ET99</f>
        <v>2.4</v>
      </c>
      <c r="FE99">
        <f>EZ99*EU99</f>
        <v>2.4</v>
      </c>
      <c r="FF99">
        <v>16</v>
      </c>
      <c r="FG99">
        <v>0</v>
      </c>
      <c r="FH99">
        <v>9</v>
      </c>
      <c r="FI99">
        <f>FA99+FB99+FC99+FD99+FE99</f>
        <v>8</v>
      </c>
      <c r="FJ99">
        <f>MEDIAN(EQ99:EU99)</f>
        <v>8</v>
      </c>
      <c r="FL99">
        <v>41.34</v>
      </c>
      <c r="FM99">
        <v>10</v>
      </c>
      <c r="FN99" t="s">
        <v>1070</v>
      </c>
      <c r="FO99" t="s">
        <v>1071</v>
      </c>
      <c r="FP99" t="s">
        <v>1072</v>
      </c>
      <c r="FQ99" t="s">
        <v>1073</v>
      </c>
      <c r="FR99" t="s">
        <v>1074</v>
      </c>
      <c r="FS99">
        <v>10</v>
      </c>
      <c r="FT99">
        <v>10</v>
      </c>
      <c r="FU99">
        <v>10</v>
      </c>
      <c r="FV99">
        <v>8.5</v>
      </c>
      <c r="FW99">
        <v>7.5</v>
      </c>
      <c r="FX99">
        <v>0.1</v>
      </c>
      <c r="FY99">
        <v>0.1</v>
      </c>
      <c r="FZ99">
        <v>0.2</v>
      </c>
      <c r="GA99">
        <v>0.3</v>
      </c>
      <c r="GB99">
        <v>0.3</v>
      </c>
      <c r="GC99">
        <f>FS99*FX99</f>
        <v>1</v>
      </c>
      <c r="GD99">
        <f>FT99*FY99</f>
        <v>1</v>
      </c>
      <c r="GE99">
        <f>FU99*FZ99</f>
        <v>2</v>
      </c>
      <c r="GF99">
        <f>FV99*GA99</f>
        <v>2.5499999999999998</v>
      </c>
      <c r="GG99">
        <f>FW99*GB99</f>
        <v>2.25</v>
      </c>
      <c r="GH99">
        <v>9.8000000000000007</v>
      </c>
      <c r="GI99">
        <v>0.2</v>
      </c>
      <c r="GJ99">
        <v>10</v>
      </c>
      <c r="GK99">
        <f>GC99+GD99+GE99+GF99+GG99</f>
        <v>8.8000000000000007</v>
      </c>
      <c r="GL99">
        <f>MEDIAN(FS99:FW99)</f>
        <v>10</v>
      </c>
    </row>
    <row r="100" spans="1:194" hidden="1" x14ac:dyDescent="0.25">
      <c r="A100">
        <v>99</v>
      </c>
      <c r="B100" t="s">
        <v>2</v>
      </c>
      <c r="C100" s="4">
        <v>75.2</v>
      </c>
      <c r="D100">
        <v>3.2</v>
      </c>
      <c r="E100" s="1">
        <f>C100/3/D100</f>
        <v>7.833333333333333</v>
      </c>
      <c r="G100">
        <v>35.93</v>
      </c>
      <c r="H100">
        <v>8</v>
      </c>
      <c r="I100">
        <f>H100*D100*3</f>
        <v>76.800000000000011</v>
      </c>
      <c r="J100">
        <v>17.66</v>
      </c>
      <c r="K100">
        <v>8.4</v>
      </c>
      <c r="L100" s="3">
        <f>K100*3*D100</f>
        <v>80.640000000000015</v>
      </c>
      <c r="M100">
        <v>4.9000000000000004</v>
      </c>
      <c r="N100">
        <v>3</v>
      </c>
      <c r="O100">
        <f>N100*D100*3</f>
        <v>28.800000000000004</v>
      </c>
      <c r="P100" s="5">
        <v>7</v>
      </c>
      <c r="Q100" s="5">
        <f>P100*D100*3</f>
        <v>67.2</v>
      </c>
      <c r="S100" t="s">
        <v>6236</v>
      </c>
      <c r="T100">
        <v>7</v>
      </c>
      <c r="U100" s="8">
        <f>T100*D100*3</f>
        <v>67.2</v>
      </c>
      <c r="V100">
        <v>30.31</v>
      </c>
      <c r="W100">
        <v>8.4</v>
      </c>
      <c r="X100" s="5">
        <f>W100*D100*3</f>
        <v>80.640000000000015</v>
      </c>
      <c r="Y100">
        <v>11.94</v>
      </c>
      <c r="Z100">
        <v>7.8</v>
      </c>
      <c r="AA100">
        <f>Z100*D100*3</f>
        <v>74.88</v>
      </c>
      <c r="AC100">
        <v>48.16</v>
      </c>
      <c r="AD100">
        <v>8</v>
      </c>
      <c r="AE100" s="1">
        <f>AD100*3*D100</f>
        <v>76.800000000000011</v>
      </c>
      <c r="AF100">
        <v>11.97</v>
      </c>
      <c r="AG100" s="5">
        <v>7</v>
      </c>
      <c r="AH100" s="5">
        <f>AG100*D100*3</f>
        <v>67.2</v>
      </c>
      <c r="AI100" s="13"/>
      <c r="AJ100">
        <v>8.4</v>
      </c>
      <c r="AK100" s="8">
        <f>AJ100*D100*3</f>
        <v>80.640000000000015</v>
      </c>
      <c r="AL100" s="13"/>
      <c r="AM100">
        <v>30.81</v>
      </c>
      <c r="AN100">
        <v>7.6</v>
      </c>
      <c r="AO100" s="8">
        <f>AN100*D100*3</f>
        <v>72.960000000000008</v>
      </c>
      <c r="AP100">
        <v>15.1</v>
      </c>
      <c r="AQ100">
        <v>10</v>
      </c>
      <c r="AR100">
        <f>AQ100*D100*3</f>
        <v>96</v>
      </c>
      <c r="AT100">
        <v>8.6999999999999993</v>
      </c>
      <c r="AU100">
        <f>AT100*D100*3</f>
        <v>83.52</v>
      </c>
      <c r="AW100">
        <v>24.81</v>
      </c>
      <c r="AX100">
        <v>9.1999999999999993</v>
      </c>
      <c r="AY100">
        <f>AX100*D100*3</f>
        <v>88.32</v>
      </c>
      <c r="AZ100">
        <v>24.81</v>
      </c>
      <c r="BA100">
        <v>9</v>
      </c>
      <c r="BB100">
        <f>BA100*D100*3</f>
        <v>86.4</v>
      </c>
      <c r="BD100">
        <v>9</v>
      </c>
      <c r="BE100">
        <f>BD100*D100*3</f>
        <v>86.4</v>
      </c>
      <c r="BG100" s="10"/>
      <c r="BH100" s="1">
        <f>CHOOSE(MATCH(MIN(ABS(BP100-C100),ABS(BQ100-C100),ABS(BR100-C100)),CHOOSE({1;2;3},ABS(BP100-C100),ABS(BQ100-C100),ABS(BR100-C100)),0),BP100,BQ100,BR100)</f>
        <v>76.800000000000011</v>
      </c>
      <c r="BJ100" s="1" cm="1">
        <f t="array" ref="BJ100">(INDEX(_xlfn._xlws.SORT(CHOOSE({1;2;3;4;5;6},BQ100,BR100,L100,AE100,BO100,BP100)),3) + INDEX(_xlfn._xlws.SORT(CHOOSE({1;2;3;4;5;6},BQ100,BR100,L100,AE100,BO100,BP100)),4))/2</f>
        <v>76.800000000000011</v>
      </c>
      <c r="BK100">
        <v>7.8412458325765702</v>
      </c>
      <c r="BL100" t="s">
        <v>6117</v>
      </c>
      <c r="BM100" s="1">
        <f>BK100*3*D100</f>
        <v>75.275959992735082</v>
      </c>
      <c r="BN100" s="1">
        <f>BM100-C100</f>
        <v>7.595999273507914E-2</v>
      </c>
      <c r="BO100" s="1">
        <f>GK100*3*D100</f>
        <v>47.040000000000006</v>
      </c>
      <c r="BP100" s="1">
        <f>DO100*3*D100</f>
        <v>86.4</v>
      </c>
      <c r="BQ100" s="1">
        <f>FJ100*3*D100</f>
        <v>76.800000000000011</v>
      </c>
      <c r="BR100" s="1">
        <f>GL100*3*D100</f>
        <v>48</v>
      </c>
      <c r="BT100">
        <v>35.93</v>
      </c>
      <c r="BU100">
        <v>8</v>
      </c>
      <c r="BV100" t="s">
        <v>5003</v>
      </c>
      <c r="BW100" t="s">
        <v>5004</v>
      </c>
      <c r="BX100" t="s">
        <v>5005</v>
      </c>
      <c r="BY100" t="s">
        <v>5092</v>
      </c>
      <c r="BZ100" t="s">
        <v>5292</v>
      </c>
      <c r="CA100" t="s">
        <v>2437</v>
      </c>
      <c r="CC100" t="s">
        <v>2438</v>
      </c>
      <c r="CD100" t="s">
        <v>2439</v>
      </c>
      <c r="CE100" t="s">
        <v>2440</v>
      </c>
      <c r="CG100" t="s">
        <v>2441</v>
      </c>
      <c r="CH100" t="s">
        <v>2442</v>
      </c>
      <c r="CI100" t="s">
        <v>2535</v>
      </c>
      <c r="CK100" t="s">
        <v>2444</v>
      </c>
      <c r="CL100" t="s">
        <v>2445</v>
      </c>
      <c r="CM100" t="s">
        <v>2446</v>
      </c>
      <c r="CO100" t="s">
        <v>2447</v>
      </c>
      <c r="CP100" t="s">
        <v>2448</v>
      </c>
      <c r="CQ100" t="s">
        <v>2666</v>
      </c>
      <c r="CS100" t="s">
        <v>2450</v>
      </c>
      <c r="CT100" t="s">
        <v>2451</v>
      </c>
      <c r="CV100">
        <v>9</v>
      </c>
      <c r="CW100">
        <v>9</v>
      </c>
      <c r="CX100">
        <v>9</v>
      </c>
      <c r="CY100">
        <v>9</v>
      </c>
      <c r="CZ100">
        <v>9</v>
      </c>
      <c r="DA100">
        <v>0.1</v>
      </c>
      <c r="DB100">
        <v>0.1</v>
      </c>
      <c r="DC100">
        <v>0.2</v>
      </c>
      <c r="DD100">
        <v>0.3</v>
      </c>
      <c r="DE100">
        <v>0.3</v>
      </c>
      <c r="DF100">
        <v>0.9</v>
      </c>
      <c r="DG100">
        <v>0.9</v>
      </c>
      <c r="DH100">
        <v>1.8</v>
      </c>
      <c r="DI100">
        <v>2.7</v>
      </c>
      <c r="DJ100">
        <v>2.7</v>
      </c>
      <c r="DK100">
        <v>8</v>
      </c>
      <c r="DL100">
        <v>0</v>
      </c>
      <c r="DM100">
        <v>8</v>
      </c>
      <c r="DN100">
        <v>8.4</v>
      </c>
      <c r="DO100">
        <f>AVERAGE(CV100:CZ100)</f>
        <v>9</v>
      </c>
      <c r="DQ100">
        <v>8</v>
      </c>
      <c r="DR100" t="s">
        <v>33</v>
      </c>
      <c r="DS100" t="s">
        <v>223</v>
      </c>
      <c r="DT100" t="s">
        <v>35</v>
      </c>
      <c r="DU100" t="s">
        <v>36</v>
      </c>
      <c r="DV100" t="s">
        <v>200</v>
      </c>
      <c r="DW100" t="s">
        <v>3788</v>
      </c>
      <c r="DX100" t="s">
        <v>3789</v>
      </c>
      <c r="DY100" t="s">
        <v>3790</v>
      </c>
      <c r="DZ100" t="s">
        <v>3791</v>
      </c>
      <c r="EA100" t="s">
        <v>3792</v>
      </c>
      <c r="EB100" t="s">
        <v>3793</v>
      </c>
      <c r="EC100" t="s">
        <v>4261</v>
      </c>
      <c r="ED100" t="s">
        <v>3795</v>
      </c>
      <c r="EE100" t="s">
        <v>3796</v>
      </c>
      <c r="EF100" t="s">
        <v>3797</v>
      </c>
      <c r="EG100" t="s">
        <v>3798</v>
      </c>
      <c r="EH100" t="s">
        <v>3798</v>
      </c>
      <c r="EI100" t="s">
        <v>3799</v>
      </c>
      <c r="EJ100" t="s">
        <v>3800</v>
      </c>
      <c r="EK100" t="s">
        <v>3801</v>
      </c>
      <c r="EL100" t="s">
        <v>3801</v>
      </c>
      <c r="EM100" t="s">
        <v>4227</v>
      </c>
      <c r="EN100" t="s">
        <v>3803</v>
      </c>
      <c r="EO100" t="s">
        <v>4228</v>
      </c>
      <c r="EP100" t="s">
        <v>4229</v>
      </c>
      <c r="EQ100">
        <v>8</v>
      </c>
      <c r="ER100">
        <v>8</v>
      </c>
      <c r="ES100">
        <v>8</v>
      </c>
      <c r="ET100">
        <v>8</v>
      </c>
      <c r="EU100">
        <v>8</v>
      </c>
      <c r="EV100">
        <v>0.1</v>
      </c>
      <c r="EW100">
        <v>0.1</v>
      </c>
      <c r="EX100">
        <v>0.2</v>
      </c>
      <c r="EY100">
        <v>0.3</v>
      </c>
      <c r="EZ100">
        <v>0.3</v>
      </c>
      <c r="FA100">
        <f>EV100*EQ100</f>
        <v>0.8</v>
      </c>
      <c r="FB100">
        <f>EW100*ER100</f>
        <v>0.8</v>
      </c>
      <c r="FC100">
        <f>EX100*ES100</f>
        <v>1.6</v>
      </c>
      <c r="FD100">
        <f>EY100*ET100</f>
        <v>2.4</v>
      </c>
      <c r="FE100">
        <f>EZ100*EU100</f>
        <v>2.4</v>
      </c>
      <c r="FF100">
        <v>16</v>
      </c>
      <c r="FG100">
        <v>0</v>
      </c>
      <c r="FH100">
        <v>8</v>
      </c>
      <c r="FI100">
        <f>FA100+FB100+FC100+FD100+FE100</f>
        <v>8</v>
      </c>
      <c r="FJ100">
        <f>MEDIAN(EQ100:EU100)</f>
        <v>8</v>
      </c>
      <c r="FL100">
        <v>39.950000000000003</v>
      </c>
      <c r="FM100">
        <v>8.5</v>
      </c>
      <c r="FN100" t="s">
        <v>1075</v>
      </c>
      <c r="FO100" t="s">
        <v>1076</v>
      </c>
      <c r="FP100" t="s">
        <v>1077</v>
      </c>
      <c r="FQ100" t="s">
        <v>1078</v>
      </c>
      <c r="FR100" t="s">
        <v>1079</v>
      </c>
      <c r="FS100">
        <v>5</v>
      </c>
      <c r="FT100">
        <v>6</v>
      </c>
      <c r="FU100">
        <v>4</v>
      </c>
      <c r="FV100">
        <v>7</v>
      </c>
      <c r="FW100">
        <v>3</v>
      </c>
      <c r="FX100">
        <v>0.1</v>
      </c>
      <c r="FY100">
        <v>0.1</v>
      </c>
      <c r="FZ100">
        <v>0.2</v>
      </c>
      <c r="GA100">
        <v>0.3</v>
      </c>
      <c r="GB100">
        <v>0.3</v>
      </c>
      <c r="GC100">
        <f>FS100*FX100</f>
        <v>0.5</v>
      </c>
      <c r="GD100">
        <f>FT100*FY100</f>
        <v>0.60000000000000009</v>
      </c>
      <c r="GE100">
        <f>FU100*FZ100</f>
        <v>0.8</v>
      </c>
      <c r="GF100">
        <f>FV100*GA100</f>
        <v>2.1</v>
      </c>
      <c r="GG100">
        <f>FW100*GB100</f>
        <v>0.89999999999999991</v>
      </c>
      <c r="GH100">
        <v>9</v>
      </c>
      <c r="GI100">
        <v>-0.5</v>
      </c>
      <c r="GJ100">
        <v>8.5</v>
      </c>
      <c r="GK100">
        <f>GC100+GD100+GE100+GF100+GG100</f>
        <v>4.9000000000000004</v>
      </c>
      <c r="GL100">
        <f>MEDIAN(FS100:FW100)</f>
        <v>5</v>
      </c>
    </row>
    <row r="101" spans="1:194" hidden="1" x14ac:dyDescent="0.25">
      <c r="A101">
        <v>100</v>
      </c>
      <c r="B101" t="s">
        <v>2</v>
      </c>
      <c r="C101" s="4">
        <v>85.8</v>
      </c>
      <c r="D101">
        <v>3.3</v>
      </c>
      <c r="E101" s="1">
        <f>C101/3/D101</f>
        <v>8.6666666666666661</v>
      </c>
      <c r="G101">
        <v>34.76</v>
      </c>
      <c r="H101">
        <v>7.4</v>
      </c>
      <c r="I101">
        <f>H101*D101*3</f>
        <v>73.259999999999991</v>
      </c>
      <c r="J101">
        <v>18.149999999999999</v>
      </c>
      <c r="K101">
        <v>9</v>
      </c>
      <c r="L101" s="3">
        <f>K101*3*D101</f>
        <v>89.1</v>
      </c>
      <c r="M101">
        <v>5.12</v>
      </c>
      <c r="N101">
        <v>5</v>
      </c>
      <c r="O101">
        <f>N101*D101*3</f>
        <v>49.5</v>
      </c>
      <c r="P101" s="5">
        <v>7</v>
      </c>
      <c r="Q101" s="5">
        <f>P101*D101*3</f>
        <v>69.3</v>
      </c>
      <c r="S101" t="s">
        <v>6237</v>
      </c>
      <c r="T101">
        <v>5.6</v>
      </c>
      <c r="U101" s="8">
        <f>T101*D101*3</f>
        <v>55.439999999999991</v>
      </c>
      <c r="V101">
        <v>39.729999999999997</v>
      </c>
      <c r="W101">
        <v>6</v>
      </c>
      <c r="X101" s="5">
        <f>W101*D101*3</f>
        <v>59.399999999999991</v>
      </c>
      <c r="Y101">
        <v>8.82</v>
      </c>
      <c r="Z101">
        <v>6</v>
      </c>
      <c r="AA101">
        <f>Z101*D101*3</f>
        <v>59.399999999999991</v>
      </c>
      <c r="AC101">
        <v>48.31</v>
      </c>
      <c r="AD101">
        <v>8</v>
      </c>
      <c r="AE101" s="1">
        <f>AD101*3*D101</f>
        <v>79.199999999999989</v>
      </c>
      <c r="AF101">
        <v>13.54</v>
      </c>
      <c r="AH101" s="5">
        <f>AG101*D101*3</f>
        <v>0</v>
      </c>
      <c r="AI101" s="13"/>
      <c r="AJ101">
        <v>8.1</v>
      </c>
      <c r="AK101" s="8">
        <f>AJ101*D101*3</f>
        <v>80.19</v>
      </c>
      <c r="AL101" s="13"/>
      <c r="AM101">
        <v>30</v>
      </c>
      <c r="AN101">
        <v>7.2</v>
      </c>
      <c r="AO101" s="8">
        <f>AN101*D101*3</f>
        <v>71.28</v>
      </c>
      <c r="AP101">
        <v>15.1</v>
      </c>
      <c r="AQ101">
        <v>10</v>
      </c>
      <c r="AR101">
        <f>AQ101*D101*3</f>
        <v>99</v>
      </c>
      <c r="AT101">
        <v>9</v>
      </c>
      <c r="AU101">
        <f>AT101*D101*3</f>
        <v>89.1</v>
      </c>
      <c r="AW101">
        <v>24.77</v>
      </c>
      <c r="AX101">
        <v>9.1</v>
      </c>
      <c r="AY101">
        <f>AX101*D101*3</f>
        <v>90.089999999999989</v>
      </c>
      <c r="AZ101">
        <v>24.77</v>
      </c>
      <c r="BA101">
        <v>8.4</v>
      </c>
      <c r="BB101">
        <f>BA101*D101*3</f>
        <v>83.16</v>
      </c>
      <c r="BD101">
        <v>9</v>
      </c>
      <c r="BE101">
        <f>BD101*D101*3</f>
        <v>89.1</v>
      </c>
      <c r="BG101" s="10"/>
      <c r="BH101" s="1">
        <f>CHOOSE(MATCH(MIN(ABS(BP101-C101),ABS(BQ101-C101),ABS(BR101-C101)),CHOOSE({1;2;3},ABS(BP101-C101),ABS(BQ101-C101),ABS(BR101-C101)),0),BP101,BQ101,BR101)</f>
        <v>85.139999999999986</v>
      </c>
      <c r="BJ101" s="1" cm="1">
        <f t="array" ref="BJ101">(INDEX(_xlfn._xlws.SORT(CHOOSE({1;2;3;4;5;6},BQ101,BR101,L101,AE101,BO101,BP101)),3) + INDEX(_xlfn._xlws.SORT(CHOOSE({1;2;3;4;5;6},BQ101,BR101,L101,AE101,BO101,BP101)),4))/2</f>
        <v>79.199999999999989</v>
      </c>
      <c r="BK101">
        <v>8.6603173136719995</v>
      </c>
      <c r="BL101" t="s">
        <v>6117</v>
      </c>
      <c r="BM101" s="1">
        <f>BK101*3*D101</f>
        <v>85.737141405352787</v>
      </c>
      <c r="BN101" s="1">
        <f>BM101-C101</f>
        <v>-6.2858594647209998E-2</v>
      </c>
      <c r="BO101" s="1">
        <f>GK101*3*D101</f>
        <v>52.469999999999992</v>
      </c>
      <c r="BP101" s="1">
        <f>DO101*3*D101</f>
        <v>85.139999999999986</v>
      </c>
      <c r="BQ101" s="1">
        <f>FJ101*3*D101</f>
        <v>79.199999999999989</v>
      </c>
      <c r="BR101" s="1">
        <f>GL101*3*D101</f>
        <v>59.4</v>
      </c>
      <c r="BT101">
        <v>34.76</v>
      </c>
      <c r="BU101">
        <v>7.4</v>
      </c>
      <c r="BV101" t="s">
        <v>5345</v>
      </c>
      <c r="BW101" t="s">
        <v>5346</v>
      </c>
      <c r="BX101" t="s">
        <v>5347</v>
      </c>
      <c r="BY101" t="s">
        <v>5348</v>
      </c>
      <c r="BZ101" t="s">
        <v>5349</v>
      </c>
      <c r="CA101" t="s">
        <v>2550</v>
      </c>
      <c r="CC101" t="s">
        <v>2634</v>
      </c>
      <c r="CD101" t="s">
        <v>3031</v>
      </c>
      <c r="CE101" t="s">
        <v>2553</v>
      </c>
      <c r="CG101" t="s">
        <v>2634</v>
      </c>
      <c r="CH101" t="s">
        <v>2773</v>
      </c>
      <c r="CI101" t="s">
        <v>2774</v>
      </c>
      <c r="CK101" t="s">
        <v>2634</v>
      </c>
      <c r="CL101" t="s">
        <v>2775</v>
      </c>
      <c r="CM101" t="s">
        <v>2595</v>
      </c>
      <c r="CO101" t="s">
        <v>2634</v>
      </c>
      <c r="CP101" t="s">
        <v>2776</v>
      </c>
      <c r="CQ101" t="s">
        <v>2777</v>
      </c>
      <c r="CR101" t="s">
        <v>2778</v>
      </c>
      <c r="CS101" t="s">
        <v>3032</v>
      </c>
      <c r="CT101" t="s">
        <v>3033</v>
      </c>
      <c r="CV101">
        <v>9</v>
      </c>
      <c r="CW101">
        <v>9</v>
      </c>
      <c r="CX101">
        <v>9</v>
      </c>
      <c r="CY101">
        <v>9</v>
      </c>
      <c r="CZ101">
        <v>7</v>
      </c>
      <c r="DA101">
        <v>0.1</v>
      </c>
      <c r="DB101">
        <v>0.1</v>
      </c>
      <c r="DC101">
        <v>0.2</v>
      </c>
      <c r="DD101">
        <v>0.3</v>
      </c>
      <c r="DE101">
        <v>0.3</v>
      </c>
      <c r="DF101">
        <v>0.9</v>
      </c>
      <c r="DG101">
        <v>0.9</v>
      </c>
      <c r="DH101">
        <v>1.8</v>
      </c>
      <c r="DI101">
        <v>2.7</v>
      </c>
      <c r="DJ101">
        <v>2.1</v>
      </c>
      <c r="DK101">
        <v>7.4</v>
      </c>
      <c r="DL101">
        <v>0</v>
      </c>
      <c r="DM101">
        <v>7.4</v>
      </c>
      <c r="DN101">
        <v>9</v>
      </c>
      <c r="DO101">
        <f>AVERAGE(CV101:CZ101)</f>
        <v>8.6</v>
      </c>
      <c r="DQ101">
        <v>8</v>
      </c>
      <c r="DR101" t="s">
        <v>33</v>
      </c>
      <c r="DS101" t="s">
        <v>34</v>
      </c>
      <c r="DT101" t="s">
        <v>35</v>
      </c>
      <c r="DU101" t="s">
        <v>36</v>
      </c>
      <c r="DV101" t="s">
        <v>200</v>
      </c>
      <c r="DW101" t="s">
        <v>3788</v>
      </c>
      <c r="DX101" t="s">
        <v>3789</v>
      </c>
      <c r="DY101" t="s">
        <v>3790</v>
      </c>
      <c r="DZ101" t="s">
        <v>3791</v>
      </c>
      <c r="EA101" t="s">
        <v>3792</v>
      </c>
      <c r="EB101" t="s">
        <v>3793</v>
      </c>
      <c r="EC101" t="s">
        <v>3794</v>
      </c>
      <c r="ED101" t="s">
        <v>3795</v>
      </c>
      <c r="EE101" t="s">
        <v>3796</v>
      </c>
      <c r="EF101" t="s">
        <v>3797</v>
      </c>
      <c r="EG101" t="s">
        <v>3798</v>
      </c>
      <c r="EH101" t="s">
        <v>3798</v>
      </c>
      <c r="EI101" t="s">
        <v>3799</v>
      </c>
      <c r="EJ101" t="s">
        <v>3800</v>
      </c>
      <c r="EK101" t="s">
        <v>3801</v>
      </c>
      <c r="EL101" t="s">
        <v>3801</v>
      </c>
      <c r="EM101" t="s">
        <v>4227</v>
      </c>
      <c r="EN101" t="s">
        <v>3803</v>
      </c>
      <c r="EO101" t="s">
        <v>4228</v>
      </c>
      <c r="EP101" t="s">
        <v>4229</v>
      </c>
      <c r="EQ101">
        <v>8</v>
      </c>
      <c r="ER101">
        <v>8</v>
      </c>
      <c r="ES101">
        <v>8</v>
      </c>
      <c r="ET101">
        <v>8</v>
      </c>
      <c r="EU101">
        <v>8</v>
      </c>
      <c r="EV101">
        <v>0.1</v>
      </c>
      <c r="EW101">
        <v>0.1</v>
      </c>
      <c r="EX101">
        <v>0.2</v>
      </c>
      <c r="EY101">
        <v>0.3</v>
      </c>
      <c r="EZ101">
        <v>0.3</v>
      </c>
      <c r="FA101">
        <f>EV101*EQ101</f>
        <v>0.8</v>
      </c>
      <c r="FB101">
        <f>EW101*ER101</f>
        <v>0.8</v>
      </c>
      <c r="FC101">
        <f>EX101*ES101</f>
        <v>1.6</v>
      </c>
      <c r="FD101">
        <f>EY101*ET101</f>
        <v>2.4</v>
      </c>
      <c r="FE101">
        <f>EZ101*EU101</f>
        <v>2.4</v>
      </c>
      <c r="FF101">
        <v>17</v>
      </c>
      <c r="FG101">
        <v>0</v>
      </c>
      <c r="FH101">
        <v>8</v>
      </c>
      <c r="FI101">
        <f>FA101+FB101+FC101+FD101+FE101</f>
        <v>8</v>
      </c>
      <c r="FJ101">
        <f>MEDIAN(EQ101:EU101)</f>
        <v>8</v>
      </c>
      <c r="FL101">
        <v>44.09</v>
      </c>
      <c r="FM101">
        <v>5.9</v>
      </c>
      <c r="FN101" t="s">
        <v>1080</v>
      </c>
      <c r="FO101" t="s">
        <v>1081</v>
      </c>
      <c r="FP101" t="s">
        <v>1082</v>
      </c>
      <c r="FQ101" t="s">
        <v>1083</v>
      </c>
      <c r="FR101" t="s">
        <v>1084</v>
      </c>
      <c r="FS101">
        <v>6</v>
      </c>
      <c r="FT101">
        <v>7</v>
      </c>
      <c r="FU101">
        <v>5</v>
      </c>
      <c r="FV101">
        <v>6</v>
      </c>
      <c r="FW101">
        <v>4</v>
      </c>
      <c r="FX101">
        <v>0.1</v>
      </c>
      <c r="FY101">
        <v>0.1</v>
      </c>
      <c r="FZ101">
        <v>0.2</v>
      </c>
      <c r="GA101">
        <v>0.3</v>
      </c>
      <c r="GB101">
        <v>0.3</v>
      </c>
      <c r="GC101">
        <f>FS101*FX101</f>
        <v>0.60000000000000009</v>
      </c>
      <c r="GD101">
        <f>FT101*FY101</f>
        <v>0.70000000000000007</v>
      </c>
      <c r="GE101">
        <f>FU101*FZ101</f>
        <v>1</v>
      </c>
      <c r="GF101">
        <f>FV101*GA101</f>
        <v>1.7999999999999998</v>
      </c>
      <c r="GG101">
        <f>FW101*GB101</f>
        <v>1.2</v>
      </c>
      <c r="GH101">
        <v>5.9</v>
      </c>
      <c r="GJ101">
        <v>5.9</v>
      </c>
      <c r="GK101">
        <f>GC101+GD101+GE101+GF101+GG101</f>
        <v>5.3</v>
      </c>
      <c r="GL101">
        <f>MEDIAN(FS101:FW101)</f>
        <v>6</v>
      </c>
    </row>
    <row r="102" spans="1:194" hidden="1" x14ac:dyDescent="0.25">
      <c r="A102">
        <v>101</v>
      </c>
      <c r="B102" t="s">
        <v>2</v>
      </c>
      <c r="C102" s="4">
        <v>83.2</v>
      </c>
      <c r="D102">
        <v>3.2</v>
      </c>
      <c r="E102" s="1">
        <f>C102/3/D102</f>
        <v>8.6666666666666661</v>
      </c>
      <c r="G102">
        <v>39.43</v>
      </c>
      <c r="H102">
        <v>8.1999999999999993</v>
      </c>
      <c r="I102">
        <f>H102*D102*3</f>
        <v>78.72</v>
      </c>
      <c r="J102">
        <v>17.38</v>
      </c>
      <c r="K102">
        <v>8.4</v>
      </c>
      <c r="L102" s="3">
        <f>K102*3*D102</f>
        <v>80.640000000000015</v>
      </c>
      <c r="M102">
        <v>4.2</v>
      </c>
      <c r="N102">
        <v>9</v>
      </c>
      <c r="O102">
        <f>N102*D102*3</f>
        <v>86.4</v>
      </c>
      <c r="P102" s="5">
        <v>8.6999999999999993</v>
      </c>
      <c r="Q102" s="5">
        <f>P102*D102*3</f>
        <v>83.52</v>
      </c>
      <c r="S102" t="s">
        <v>6238</v>
      </c>
      <c r="T102">
        <v>5</v>
      </c>
      <c r="U102" s="8">
        <f>T102*D102*3</f>
        <v>48</v>
      </c>
      <c r="V102">
        <v>50</v>
      </c>
      <c r="W102">
        <v>8.6999999999999993</v>
      </c>
      <c r="X102" s="5">
        <f>W102*D102*3</f>
        <v>83.52</v>
      </c>
      <c r="Y102">
        <v>9.43</v>
      </c>
      <c r="Z102">
        <v>8</v>
      </c>
      <c r="AA102">
        <f>Z102*D102*3</f>
        <v>76.800000000000011</v>
      </c>
      <c r="AC102">
        <v>49.1</v>
      </c>
      <c r="AD102">
        <v>8</v>
      </c>
      <c r="AE102" s="1">
        <f>AD102*3*D102</f>
        <v>76.800000000000011</v>
      </c>
      <c r="AF102">
        <v>12.22</v>
      </c>
      <c r="AG102" s="5">
        <v>7</v>
      </c>
      <c r="AH102" s="5">
        <f>AG102*D102*3</f>
        <v>67.2</v>
      </c>
      <c r="AI102" s="13"/>
      <c r="AJ102">
        <v>2.7</v>
      </c>
      <c r="AK102" s="8">
        <f>AJ102*D102*3</f>
        <v>25.92</v>
      </c>
      <c r="AL102" s="13"/>
      <c r="AM102">
        <v>33.659999999999997</v>
      </c>
      <c r="AN102">
        <v>7.2</v>
      </c>
      <c r="AO102" s="8">
        <f>AN102*D102*3</f>
        <v>69.12</v>
      </c>
      <c r="AP102">
        <v>12.25</v>
      </c>
      <c r="AQ102">
        <v>9</v>
      </c>
      <c r="AR102">
        <f>AQ102*D102*3</f>
        <v>86.4</v>
      </c>
      <c r="AT102">
        <v>8.3000000000000007</v>
      </c>
      <c r="AU102">
        <f>AT102*D102*3</f>
        <v>79.680000000000007</v>
      </c>
      <c r="AW102">
        <v>25.72</v>
      </c>
      <c r="AX102">
        <v>9.4</v>
      </c>
      <c r="AY102">
        <f>AX102*D102*3</f>
        <v>90.240000000000009</v>
      </c>
      <c r="AZ102">
        <v>25.72</v>
      </c>
      <c r="BA102">
        <v>9</v>
      </c>
      <c r="BB102">
        <f>BA102*D102*3</f>
        <v>86.4</v>
      </c>
      <c r="BD102">
        <v>8.6</v>
      </c>
      <c r="BE102">
        <f>BD102*D102*3</f>
        <v>82.56</v>
      </c>
      <c r="BG102" s="10"/>
      <c r="BH102" s="1">
        <f>CHOOSE(MATCH(MIN(ABS(BP102-C102),ABS(BQ102-C102),ABS(BR102-C102)),CHOOSE({1;2;3},ABS(BP102-C102),ABS(BQ102-C102),ABS(BR102-C102)),0),BP102,BQ102,BR102)</f>
        <v>86.4</v>
      </c>
      <c r="BJ102" s="1" cm="1">
        <f t="array" ref="BJ102">(INDEX(_xlfn._xlws.SORT(CHOOSE({1;2;3;4;5;6},BQ102,BR102,L102,AE102,BO102,BP102)),3) + INDEX(_xlfn._xlws.SORT(CHOOSE({1;2;3;4;5;6},BQ102,BR102,L102,AE102,BO102,BP102)),4))/2</f>
        <v>76.800000000000011</v>
      </c>
      <c r="BK102">
        <v>8.6312799991593998</v>
      </c>
      <c r="BL102" t="s">
        <v>6117</v>
      </c>
      <c r="BM102" s="1">
        <f>BK102*3*D102</f>
        <v>82.86028799193025</v>
      </c>
      <c r="BN102" s="1">
        <f>BM102-C102</f>
        <v>-0.33971200806975332</v>
      </c>
      <c r="BO102" s="1">
        <f>GK102*3*D102</f>
        <v>60.959999999999994</v>
      </c>
      <c r="BP102" s="1">
        <f>DO102*3*D102</f>
        <v>86.4</v>
      </c>
      <c r="BQ102" s="1">
        <f>FJ102*3*D102</f>
        <v>76.800000000000011</v>
      </c>
      <c r="BR102" s="1">
        <f>GL102*3*D102</f>
        <v>62.400000000000006</v>
      </c>
      <c r="BT102">
        <v>39.43</v>
      </c>
      <c r="BU102">
        <v>8.1999999999999993</v>
      </c>
      <c r="BV102" t="s">
        <v>5003</v>
      </c>
      <c r="BW102" t="s">
        <v>5004</v>
      </c>
      <c r="BX102" t="s">
        <v>5005</v>
      </c>
      <c r="BY102" t="s">
        <v>5006</v>
      </c>
      <c r="BZ102" t="s">
        <v>5007</v>
      </c>
      <c r="CA102" t="s">
        <v>2437</v>
      </c>
      <c r="CC102" t="s">
        <v>2438</v>
      </c>
      <c r="CD102" t="s">
        <v>2439</v>
      </c>
      <c r="CE102" t="s">
        <v>2440</v>
      </c>
      <c r="CG102" t="s">
        <v>2647</v>
      </c>
      <c r="CH102" t="s">
        <v>2648</v>
      </c>
      <c r="CI102" t="s">
        <v>2535</v>
      </c>
      <c r="CK102" t="s">
        <v>2649</v>
      </c>
      <c r="CL102" t="s">
        <v>2650</v>
      </c>
      <c r="CM102" t="s">
        <v>2446</v>
      </c>
      <c r="CO102" t="s">
        <v>2651</v>
      </c>
      <c r="CP102" t="s">
        <v>2652</v>
      </c>
      <c r="CQ102" t="s">
        <v>2538</v>
      </c>
      <c r="CS102" t="s">
        <v>2653</v>
      </c>
      <c r="CT102" t="s">
        <v>2654</v>
      </c>
      <c r="CV102">
        <v>9</v>
      </c>
      <c r="CW102">
        <v>9</v>
      </c>
      <c r="CX102">
        <v>9</v>
      </c>
      <c r="CY102">
        <v>9</v>
      </c>
      <c r="CZ102">
        <v>9</v>
      </c>
      <c r="DA102">
        <v>0.1</v>
      </c>
      <c r="DB102">
        <v>0.1</v>
      </c>
      <c r="DC102">
        <v>0.2</v>
      </c>
      <c r="DD102">
        <v>0.3</v>
      </c>
      <c r="DE102">
        <v>0.3</v>
      </c>
      <c r="DF102">
        <v>0.9</v>
      </c>
      <c r="DG102">
        <v>0.9</v>
      </c>
      <c r="DH102">
        <v>1.8</v>
      </c>
      <c r="DI102">
        <v>2.7</v>
      </c>
      <c r="DJ102">
        <v>2.7</v>
      </c>
      <c r="DK102">
        <v>8.1999999999999993</v>
      </c>
      <c r="DL102">
        <v>0</v>
      </c>
      <c r="DM102">
        <v>8.1999999999999993</v>
      </c>
      <c r="DN102">
        <v>8.4</v>
      </c>
      <c r="DO102">
        <f>AVERAGE(CV102:CZ102)</f>
        <v>9</v>
      </c>
      <c r="DQ102" t="s">
        <v>27</v>
      </c>
      <c r="DR102" t="s">
        <v>52</v>
      </c>
      <c r="DS102" t="s">
        <v>61</v>
      </c>
      <c r="DT102" t="s">
        <v>159</v>
      </c>
      <c r="DU102" t="s">
        <v>71</v>
      </c>
      <c r="DV102" t="s">
        <v>160</v>
      </c>
      <c r="DW102" t="s">
        <v>3836</v>
      </c>
      <c r="DX102" t="s">
        <v>3858</v>
      </c>
      <c r="DY102" t="s">
        <v>4119</v>
      </c>
      <c r="DZ102" t="s">
        <v>4120</v>
      </c>
      <c r="EA102" t="s">
        <v>3860</v>
      </c>
      <c r="EB102" t="s">
        <v>4121</v>
      </c>
      <c r="EC102" t="s">
        <v>4122</v>
      </c>
      <c r="ED102" t="s">
        <v>4123</v>
      </c>
      <c r="EE102" t="s">
        <v>3863</v>
      </c>
      <c r="EF102" t="s">
        <v>4124</v>
      </c>
      <c r="EG102" t="s">
        <v>4125</v>
      </c>
      <c r="EH102" t="s">
        <v>4126</v>
      </c>
      <c r="EI102" t="s">
        <v>3879</v>
      </c>
      <c r="EJ102" t="s">
        <v>4127</v>
      </c>
      <c r="EK102" t="s">
        <v>4128</v>
      </c>
      <c r="EL102" t="s">
        <v>4129</v>
      </c>
      <c r="EM102" t="s">
        <v>3907</v>
      </c>
      <c r="EN102" t="s">
        <v>4130</v>
      </c>
      <c r="EO102" t="s">
        <v>4131</v>
      </c>
      <c r="EP102" t="s">
        <v>4132</v>
      </c>
      <c r="EQ102">
        <v>8</v>
      </c>
      <c r="ER102">
        <v>8</v>
      </c>
      <c r="ES102">
        <v>8</v>
      </c>
      <c r="ET102">
        <v>8</v>
      </c>
      <c r="EU102">
        <v>8</v>
      </c>
      <c r="EV102">
        <v>0.1</v>
      </c>
      <c r="EW102">
        <v>0.1</v>
      </c>
      <c r="EX102">
        <v>0.2</v>
      </c>
      <c r="EY102">
        <v>0.3</v>
      </c>
      <c r="EZ102">
        <v>0.3</v>
      </c>
      <c r="FA102">
        <f>EV102*EQ102</f>
        <v>0.8</v>
      </c>
      <c r="FB102">
        <f>EW102*ER102</f>
        <v>0.8</v>
      </c>
      <c r="FC102">
        <f>EX102*ES102</f>
        <v>1.6</v>
      </c>
      <c r="FD102">
        <f>EY102*ET102</f>
        <v>2.4</v>
      </c>
      <c r="FE102">
        <f>EZ102*EU102</f>
        <v>2.4</v>
      </c>
      <c r="FF102">
        <v>16</v>
      </c>
      <c r="FG102">
        <v>0</v>
      </c>
      <c r="FH102">
        <v>9</v>
      </c>
      <c r="FI102">
        <f>FA102+FB102+FC102+FD102+FE102</f>
        <v>8</v>
      </c>
      <c r="FJ102">
        <f>MEDIAN(EQ102:EU102)</f>
        <v>8</v>
      </c>
      <c r="FL102">
        <v>42.35</v>
      </c>
      <c r="FM102">
        <v>4.9000000000000004</v>
      </c>
      <c r="FN102" t="s">
        <v>1021</v>
      </c>
      <c r="FO102" t="s">
        <v>1085</v>
      </c>
      <c r="FP102" t="s">
        <v>1023</v>
      </c>
      <c r="FQ102" t="s">
        <v>1024</v>
      </c>
      <c r="FR102" t="s">
        <v>1086</v>
      </c>
      <c r="FS102">
        <v>6.5</v>
      </c>
      <c r="FT102">
        <v>7.5</v>
      </c>
      <c r="FU102">
        <v>6</v>
      </c>
      <c r="FV102">
        <v>6.5</v>
      </c>
      <c r="FW102">
        <v>6</v>
      </c>
      <c r="FX102">
        <v>0.1</v>
      </c>
      <c r="FY102">
        <v>0.1</v>
      </c>
      <c r="FZ102">
        <v>0.2</v>
      </c>
      <c r="GA102">
        <v>0.3</v>
      </c>
      <c r="GB102">
        <v>0.3</v>
      </c>
      <c r="GC102">
        <f>FS102*FX102</f>
        <v>0.65</v>
      </c>
      <c r="GD102">
        <f>FT102*FY102</f>
        <v>0.75</v>
      </c>
      <c r="GE102">
        <f>FU102*FZ102</f>
        <v>1.2000000000000002</v>
      </c>
      <c r="GF102">
        <f>FV102*GA102</f>
        <v>1.95</v>
      </c>
      <c r="GG102">
        <f>FW102*GB102</f>
        <v>1.7999999999999998</v>
      </c>
      <c r="GH102">
        <v>4.95</v>
      </c>
      <c r="GJ102">
        <v>4.9000000000000004</v>
      </c>
      <c r="GK102">
        <f>GC102+GD102+GE102+GF102+GG102</f>
        <v>6.35</v>
      </c>
      <c r="GL102">
        <f>MEDIAN(FS102:FW102)</f>
        <v>6.5</v>
      </c>
    </row>
    <row r="103" spans="1:194" x14ac:dyDescent="0.25">
      <c r="A103">
        <v>221</v>
      </c>
      <c r="B103" t="s">
        <v>2</v>
      </c>
      <c r="C103" s="4">
        <v>86.4</v>
      </c>
      <c r="D103">
        <v>3.2</v>
      </c>
      <c r="E103" s="1">
        <f>C103/3/D103</f>
        <v>9</v>
      </c>
      <c r="G103">
        <v>82.71</v>
      </c>
      <c r="H103">
        <v>8.1999999999999993</v>
      </c>
      <c r="I103">
        <f>H103*D103*3</f>
        <v>78.72</v>
      </c>
      <c r="J103">
        <v>17.59</v>
      </c>
      <c r="K103">
        <v>9</v>
      </c>
      <c r="L103" s="3">
        <f>K103*3*D103</f>
        <v>86.4</v>
      </c>
      <c r="M103">
        <v>4.8499999999999996</v>
      </c>
      <c r="N103">
        <v>5</v>
      </c>
      <c r="O103">
        <f>N103*D103*3</f>
        <v>48</v>
      </c>
      <c r="P103" s="5">
        <v>8.6999999999999993</v>
      </c>
      <c r="Q103" s="5">
        <f>P103*D103*3</f>
        <v>83.52</v>
      </c>
      <c r="S103" t="s">
        <v>6353</v>
      </c>
      <c r="T103">
        <v>6.2</v>
      </c>
      <c r="U103" s="8">
        <f>T103*D103*3</f>
        <v>59.52000000000001</v>
      </c>
      <c r="V103">
        <v>31.05</v>
      </c>
      <c r="W103">
        <v>8.4</v>
      </c>
      <c r="X103" s="5">
        <f>W103*D103*3</f>
        <v>80.640000000000015</v>
      </c>
      <c r="Y103">
        <v>11.73</v>
      </c>
      <c r="Z103">
        <v>7.5</v>
      </c>
      <c r="AA103">
        <f>Z103*D103*3</f>
        <v>72</v>
      </c>
      <c r="AC103">
        <v>48.01</v>
      </c>
      <c r="AD103">
        <v>7.1</v>
      </c>
      <c r="AE103" s="1">
        <f>AD103*3*D103</f>
        <v>68.16</v>
      </c>
      <c r="AF103">
        <v>12.28</v>
      </c>
      <c r="AG103" s="5">
        <v>7</v>
      </c>
      <c r="AH103" s="5">
        <f>AG103*D103*3</f>
        <v>67.2</v>
      </c>
      <c r="AI103" s="13"/>
      <c r="AJ103">
        <v>2.7</v>
      </c>
      <c r="AK103" s="8">
        <f>AJ103*D103*3</f>
        <v>25.92</v>
      </c>
      <c r="AL103" s="13"/>
      <c r="AM103">
        <v>30.38</v>
      </c>
      <c r="AN103">
        <v>7.5</v>
      </c>
      <c r="AO103" s="8">
        <f>AN103*D103*3</f>
        <v>72</v>
      </c>
      <c r="AP103">
        <v>13.61</v>
      </c>
      <c r="AQ103">
        <v>9.3000000000000007</v>
      </c>
      <c r="AR103">
        <f>AQ103*D103*3</f>
        <v>89.280000000000015</v>
      </c>
      <c r="AU103">
        <f>AT103*D103*3</f>
        <v>0</v>
      </c>
      <c r="AW103">
        <v>24.73</v>
      </c>
      <c r="AX103">
        <v>9.3000000000000007</v>
      </c>
      <c r="AY103">
        <f>AX103*D103*3</f>
        <v>89.280000000000015</v>
      </c>
      <c r="AZ103">
        <v>24.73</v>
      </c>
      <c r="BA103">
        <v>8.4</v>
      </c>
      <c r="BB103">
        <f>BA103*D103*3</f>
        <v>80.640000000000015</v>
      </c>
      <c r="BD103">
        <v>7.9</v>
      </c>
      <c r="BE103">
        <f>BD103*D103*3</f>
        <v>75.84</v>
      </c>
      <c r="BG103" s="10"/>
      <c r="BH103" s="1">
        <f>CHOOSE(MATCH(MIN(ABS(BP103-C103),ABS(BQ103-C103),ABS(BR103-C103)),CHOOSE({1;2;3},ABS(BP103-C103),ABS(BQ103-C103),ABS(BR103-C103)),0),BP103,BQ103,BR103)</f>
        <v>86.4</v>
      </c>
      <c r="BJ103" s="1" cm="1">
        <f t="array" ref="BJ103">(INDEX(_xlfn._xlws.SORT(CHOOSE({1;2;3;4;5;6},BQ103,BR103,L103,AE103,BO103,BP103)),3) + INDEX(_xlfn._xlws.SORT(CHOOSE({1;2;3;4;5;6},BQ103,BR103,L103,AE103,BO103,BP103)),4))/2</f>
        <v>84.720000000000013</v>
      </c>
      <c r="BK103">
        <v>8.2702458740175295</v>
      </c>
      <c r="BL103" s="11" t="s">
        <v>6116</v>
      </c>
      <c r="BM103" s="1">
        <f>BK103*3*D103</f>
        <v>79.394360390568295</v>
      </c>
      <c r="BN103" s="1">
        <f>BM103-C103</f>
        <v>-7.0056396094317108</v>
      </c>
      <c r="BO103" s="1">
        <f>GK103*3*D103</f>
        <v>83.04000000000002</v>
      </c>
      <c r="BP103" s="1">
        <f>DO103*3*D103</f>
        <v>86.4</v>
      </c>
      <c r="BQ103" s="1">
        <f>FJ103*3*D103</f>
        <v>67.2</v>
      </c>
      <c r="BR103" s="1">
        <f>GL103*3*D103</f>
        <v>96</v>
      </c>
      <c r="BT103">
        <v>82.71</v>
      </c>
      <c r="BU103">
        <v>8.1999999999999993</v>
      </c>
      <c r="BV103" t="s">
        <v>5332</v>
      </c>
      <c r="BW103" t="s">
        <v>5717</v>
      </c>
      <c r="BX103" t="s">
        <v>5334</v>
      </c>
      <c r="BY103" t="s">
        <v>5718</v>
      </c>
      <c r="BZ103" t="s">
        <v>5719</v>
      </c>
      <c r="CA103" t="s">
        <v>2437</v>
      </c>
      <c r="CC103" t="s">
        <v>2758</v>
      </c>
      <c r="CD103" t="s">
        <v>2873</v>
      </c>
      <c r="CE103" t="s">
        <v>2440</v>
      </c>
      <c r="CG103" t="s">
        <v>2761</v>
      </c>
      <c r="CH103" t="s">
        <v>2874</v>
      </c>
      <c r="CI103" t="s">
        <v>2443</v>
      </c>
      <c r="CK103" t="s">
        <v>2795</v>
      </c>
      <c r="CL103" t="s">
        <v>2875</v>
      </c>
      <c r="CM103" t="s">
        <v>2446</v>
      </c>
      <c r="CO103" t="s">
        <v>2796</v>
      </c>
      <c r="CP103" t="s">
        <v>2876</v>
      </c>
      <c r="CQ103" t="s">
        <v>2449</v>
      </c>
      <c r="CS103" t="s">
        <v>2679</v>
      </c>
      <c r="CT103" t="s">
        <v>2877</v>
      </c>
      <c r="CV103">
        <v>9</v>
      </c>
      <c r="CW103">
        <v>9</v>
      </c>
      <c r="CX103">
        <v>9</v>
      </c>
      <c r="CY103">
        <v>9</v>
      </c>
      <c r="CZ103">
        <v>9</v>
      </c>
      <c r="DA103">
        <v>0.1</v>
      </c>
      <c r="DB103">
        <v>0.1</v>
      </c>
      <c r="DC103">
        <v>0.2</v>
      </c>
      <c r="DD103">
        <v>0.3</v>
      </c>
      <c r="DE103">
        <v>0.3</v>
      </c>
      <c r="DF103">
        <v>0.9</v>
      </c>
      <c r="DG103">
        <v>0.9</v>
      </c>
      <c r="DH103">
        <v>1.8</v>
      </c>
      <c r="DI103">
        <v>2.7</v>
      </c>
      <c r="DJ103">
        <v>2.7</v>
      </c>
      <c r="DK103">
        <v>8.1999999999999993</v>
      </c>
      <c r="DL103">
        <v>0</v>
      </c>
      <c r="DM103">
        <v>8.1999999999999993</v>
      </c>
      <c r="DN103">
        <v>9</v>
      </c>
      <c r="DO103">
        <f>AVERAGE(CV103:CZ103)</f>
        <v>9</v>
      </c>
      <c r="DQ103">
        <v>14</v>
      </c>
      <c r="DR103" t="s">
        <v>28</v>
      </c>
      <c r="DS103" t="s">
        <v>29</v>
      </c>
      <c r="DT103" t="s">
        <v>180</v>
      </c>
      <c r="DU103" t="s">
        <v>415</v>
      </c>
      <c r="DV103" t="s">
        <v>220</v>
      </c>
      <c r="DW103" t="s">
        <v>3836</v>
      </c>
      <c r="DX103" t="s">
        <v>3770</v>
      </c>
      <c r="DY103" t="s">
        <v>3771</v>
      </c>
      <c r="DZ103" t="s">
        <v>3772</v>
      </c>
      <c r="EA103" t="s">
        <v>3860</v>
      </c>
      <c r="EB103" t="s">
        <v>3807</v>
      </c>
      <c r="EC103" t="s">
        <v>3775</v>
      </c>
      <c r="ED103" t="s">
        <v>3776</v>
      </c>
      <c r="EE103" t="s">
        <v>3819</v>
      </c>
      <c r="EF103" t="s">
        <v>4104</v>
      </c>
      <c r="EG103" t="s">
        <v>4048</v>
      </c>
      <c r="EH103" t="s">
        <v>4015</v>
      </c>
      <c r="EI103" t="s">
        <v>4105</v>
      </c>
      <c r="EJ103" t="s">
        <v>3813</v>
      </c>
      <c r="EK103" t="s">
        <v>4049</v>
      </c>
      <c r="EL103" t="s">
        <v>3815</v>
      </c>
      <c r="EM103" t="s">
        <v>3816</v>
      </c>
      <c r="EN103" t="s">
        <v>3931</v>
      </c>
      <c r="EO103" t="s">
        <v>4164</v>
      </c>
      <c r="EP103" t="s">
        <v>3818</v>
      </c>
      <c r="EQ103">
        <v>7</v>
      </c>
      <c r="ER103">
        <v>8</v>
      </c>
      <c r="ES103">
        <v>7</v>
      </c>
      <c r="ET103">
        <v>7</v>
      </c>
      <c r="EU103">
        <v>7</v>
      </c>
      <c r="EV103">
        <v>0.1</v>
      </c>
      <c r="EW103">
        <v>0.1</v>
      </c>
      <c r="EX103">
        <v>0.2</v>
      </c>
      <c r="EY103">
        <v>0.3</v>
      </c>
      <c r="EZ103">
        <v>0.3</v>
      </c>
      <c r="FA103">
        <f>EV103*EQ103</f>
        <v>0.70000000000000007</v>
      </c>
      <c r="FB103">
        <f>EW103*ER103</f>
        <v>0.8</v>
      </c>
      <c r="FC103">
        <f>EX103*ES103</f>
        <v>1.4000000000000001</v>
      </c>
      <c r="FD103">
        <f>EY103*ET103</f>
        <v>2.1</v>
      </c>
      <c r="FE103">
        <f>EZ103*EU103</f>
        <v>2.1</v>
      </c>
      <c r="FF103">
        <v>14</v>
      </c>
      <c r="FG103">
        <v>0</v>
      </c>
      <c r="FH103">
        <v>14</v>
      </c>
      <c r="FI103">
        <f>FA103+FB103+FC103+FD103+FE103</f>
        <v>7.1</v>
      </c>
      <c r="FJ103">
        <f>MEDIAN(EQ103:EU103)</f>
        <v>7</v>
      </c>
      <c r="FL103">
        <v>93.63</v>
      </c>
      <c r="FM103">
        <v>12.4</v>
      </c>
      <c r="FN103" t="s">
        <v>1651</v>
      </c>
      <c r="FO103" t="s">
        <v>1652</v>
      </c>
      <c r="FP103" t="s">
        <v>1653</v>
      </c>
      <c r="FQ103" t="s">
        <v>1654</v>
      </c>
      <c r="FR103" t="s">
        <v>1655</v>
      </c>
      <c r="FS103">
        <v>10</v>
      </c>
      <c r="FT103">
        <v>10</v>
      </c>
      <c r="FU103">
        <v>10</v>
      </c>
      <c r="FV103">
        <v>8.5</v>
      </c>
      <c r="FW103">
        <v>7</v>
      </c>
      <c r="FX103">
        <v>0.1</v>
      </c>
      <c r="FY103">
        <v>0.1</v>
      </c>
      <c r="FZ103">
        <v>0.2</v>
      </c>
      <c r="GA103">
        <v>0.3</v>
      </c>
      <c r="GB103">
        <v>0.3</v>
      </c>
      <c r="GC103">
        <f>FS103*FX103</f>
        <v>1</v>
      </c>
      <c r="GD103">
        <f>FT103*FY103</f>
        <v>1</v>
      </c>
      <c r="GE103">
        <f>FU103*FZ103</f>
        <v>2</v>
      </c>
      <c r="GF103">
        <f>FV103*GA103</f>
        <v>2.5499999999999998</v>
      </c>
      <c r="GG103">
        <f>FW103*GB103</f>
        <v>2.1</v>
      </c>
      <c r="GH103">
        <v>12.4</v>
      </c>
      <c r="GI103">
        <v>0</v>
      </c>
      <c r="GJ103">
        <v>12.4</v>
      </c>
      <c r="GK103">
        <f>GC103+GD103+GE103+GF103+GG103</f>
        <v>8.65</v>
      </c>
      <c r="GL103">
        <f>MEDIAN(FS103:FW103)</f>
        <v>10</v>
      </c>
    </row>
    <row r="104" spans="1:194" x14ac:dyDescent="0.25">
      <c r="A104" s="11">
        <v>21</v>
      </c>
      <c r="B104" t="s">
        <v>2</v>
      </c>
      <c r="C104" s="4">
        <v>86.4</v>
      </c>
      <c r="D104">
        <v>3.2</v>
      </c>
      <c r="E104" s="1">
        <f>C104/3/D104</f>
        <v>9</v>
      </c>
      <c r="G104">
        <v>40.79</v>
      </c>
      <c r="H104">
        <v>8.1999999999999993</v>
      </c>
      <c r="I104">
        <f>H104*D104*3</f>
        <v>78.72</v>
      </c>
      <c r="J104">
        <v>17.190000000000001</v>
      </c>
      <c r="K104">
        <v>9</v>
      </c>
      <c r="L104" s="3">
        <f>K104*3*D104</f>
        <v>86.4</v>
      </c>
      <c r="M104">
        <v>5.0999999999999996</v>
      </c>
      <c r="N104">
        <v>5.5</v>
      </c>
      <c r="O104">
        <f>N104*D104*3</f>
        <v>52.800000000000004</v>
      </c>
      <c r="P104" s="5">
        <v>7.1</v>
      </c>
      <c r="Q104" s="5">
        <f>P104*D104*3</f>
        <v>68.16</v>
      </c>
      <c r="S104" t="s">
        <v>6159</v>
      </c>
      <c r="T104">
        <v>5.5</v>
      </c>
      <c r="U104" s="8">
        <f>T104*D104*3</f>
        <v>52.800000000000004</v>
      </c>
      <c r="V104">
        <v>32.54</v>
      </c>
      <c r="W104">
        <v>8</v>
      </c>
      <c r="X104" s="5">
        <f>W104*D104*3</f>
        <v>76.800000000000011</v>
      </c>
      <c r="Y104">
        <v>9.69</v>
      </c>
      <c r="Z104">
        <v>7.5</v>
      </c>
      <c r="AA104">
        <f>Z104*D104*3</f>
        <v>72</v>
      </c>
      <c r="AC104">
        <v>47.5</v>
      </c>
      <c r="AD104">
        <v>8</v>
      </c>
      <c r="AE104" s="1">
        <f>AD104*3*D104</f>
        <v>76.800000000000011</v>
      </c>
      <c r="AF104">
        <v>12.19</v>
      </c>
      <c r="AG104" s="5">
        <v>7</v>
      </c>
      <c r="AH104" s="5">
        <f>AG104*D104*3</f>
        <v>67.2</v>
      </c>
      <c r="AI104" s="13"/>
      <c r="AK104" s="8">
        <f>AJ104*D104*3</f>
        <v>0</v>
      </c>
      <c r="AL104" s="13"/>
      <c r="AM104">
        <v>32.200000000000003</v>
      </c>
      <c r="AN104">
        <v>7.2</v>
      </c>
      <c r="AO104" s="8">
        <f>AN104*D104*3</f>
        <v>69.12</v>
      </c>
      <c r="AP104">
        <v>15.04</v>
      </c>
      <c r="AQ104">
        <v>9.5</v>
      </c>
      <c r="AR104">
        <f>AQ104*D104*3</f>
        <v>91.2</v>
      </c>
      <c r="AS104">
        <v>11.09</v>
      </c>
      <c r="AT104">
        <v>9</v>
      </c>
      <c r="AU104">
        <f>AT104*D104*3</f>
        <v>86.4</v>
      </c>
      <c r="AW104">
        <v>24.05</v>
      </c>
      <c r="AX104">
        <v>9.3000000000000007</v>
      </c>
      <c r="AY104">
        <f>AX104*D104*3</f>
        <v>89.280000000000015</v>
      </c>
      <c r="AZ104">
        <v>24.05</v>
      </c>
      <c r="BA104">
        <v>9</v>
      </c>
      <c r="BB104">
        <f>BA104*D104*3</f>
        <v>86.4</v>
      </c>
      <c r="BD104">
        <v>8.9</v>
      </c>
      <c r="BE104">
        <f>BD104*D104*3</f>
        <v>85.440000000000012</v>
      </c>
      <c r="BG104" s="10"/>
      <c r="BH104" s="1">
        <f>CHOOSE(MATCH(MIN(ABS(BP104-C104),ABS(BQ104-C104),ABS(BR104-C104)),CHOOSE({1;2;3},ABS(BP104-C104),ABS(BQ104-C104),ABS(BR104-C104)),0),BP104,BQ104,BR104)</f>
        <v>88.32</v>
      </c>
      <c r="BJ104" s="1" cm="1">
        <f t="array" ref="BJ104">(INDEX(_xlfn._xlws.SORT(CHOOSE({1;2;3;4;5;6},BQ104,BR104,L104,AE104,BO104,BP104)),3) + INDEX(_xlfn._xlws.SORT(CHOOSE({1;2;3;4;5;6},BQ104,BR104,L104,AE104,BO104,BP104)),4))/2</f>
        <v>76.800000000000011</v>
      </c>
      <c r="BK104">
        <v>8.3381877239130997</v>
      </c>
      <c r="BL104" s="11" t="s">
        <v>6116</v>
      </c>
      <c r="BM104" s="1">
        <f>BK104*3*D104</f>
        <v>80.046602149565757</v>
      </c>
      <c r="BN104" s="1">
        <f>BM104-C104</f>
        <v>-6.3533978504342485</v>
      </c>
      <c r="BO104" s="1">
        <f>GK104*3*D104</f>
        <v>51.840000000000011</v>
      </c>
      <c r="BP104" s="1">
        <f>DO104*3*D104</f>
        <v>88.32</v>
      </c>
      <c r="BQ104" s="1">
        <f>FJ104*3*D104</f>
        <v>76.800000000000011</v>
      </c>
      <c r="BR104" s="1">
        <f>GL104*3*D104</f>
        <v>48</v>
      </c>
      <c r="BT104">
        <v>40.79</v>
      </c>
      <c r="BU104">
        <v>8.1999999999999993</v>
      </c>
      <c r="BV104" t="s">
        <v>5063</v>
      </c>
      <c r="BW104" t="s">
        <v>5064</v>
      </c>
      <c r="BX104" t="s">
        <v>5065</v>
      </c>
      <c r="BY104" t="s">
        <v>5066</v>
      </c>
      <c r="BZ104" t="s">
        <v>5067</v>
      </c>
      <c r="CA104" t="s">
        <v>2617</v>
      </c>
      <c r="CC104" t="s">
        <v>2618</v>
      </c>
      <c r="CD104" t="s">
        <v>2618</v>
      </c>
      <c r="CE104" t="s">
        <v>2619</v>
      </c>
      <c r="CG104" t="s">
        <v>2620</v>
      </c>
      <c r="CH104" t="s">
        <v>2620</v>
      </c>
      <c r="CI104" t="s">
        <v>2621</v>
      </c>
      <c r="CK104" t="s">
        <v>2622</v>
      </c>
      <c r="CL104" t="s">
        <v>2622</v>
      </c>
      <c r="CM104" t="s">
        <v>2595</v>
      </c>
      <c r="CO104" t="s">
        <v>2623</v>
      </c>
      <c r="CP104" t="s">
        <v>2623</v>
      </c>
      <c r="CQ104" t="s">
        <v>2624</v>
      </c>
      <c r="CR104" t="s">
        <v>2466</v>
      </c>
      <c r="CS104" t="s">
        <v>2625</v>
      </c>
      <c r="CT104" t="s">
        <v>2626</v>
      </c>
      <c r="CV104">
        <v>9.5</v>
      </c>
      <c r="CW104">
        <v>9</v>
      </c>
      <c r="CX104">
        <v>9.5</v>
      </c>
      <c r="CY104">
        <v>9.5</v>
      </c>
      <c r="CZ104">
        <v>8.5</v>
      </c>
      <c r="DA104">
        <v>0.1</v>
      </c>
      <c r="DB104">
        <v>0.1</v>
      </c>
      <c r="DC104">
        <v>0.2</v>
      </c>
      <c r="DD104">
        <v>0.3</v>
      </c>
      <c r="DE104">
        <v>0.3</v>
      </c>
      <c r="DF104">
        <v>0.95</v>
      </c>
      <c r="DG104">
        <v>0.9</v>
      </c>
      <c r="DH104">
        <v>1.9</v>
      </c>
      <c r="DI104">
        <v>2.85</v>
      </c>
      <c r="DJ104">
        <v>2.5499999999999998</v>
      </c>
      <c r="DK104">
        <v>8.1999999999999993</v>
      </c>
      <c r="DL104">
        <v>0</v>
      </c>
      <c r="DM104">
        <v>8.1999999999999993</v>
      </c>
      <c r="DN104">
        <v>9</v>
      </c>
      <c r="DO104">
        <f>AVERAGE(CV104:CZ104)</f>
        <v>9.1999999999999993</v>
      </c>
      <c r="DQ104" t="s">
        <v>27</v>
      </c>
      <c r="DR104" t="s">
        <v>33</v>
      </c>
      <c r="DS104" t="s">
        <v>93</v>
      </c>
      <c r="DT104" t="s">
        <v>94</v>
      </c>
      <c r="DU104" t="s">
        <v>95</v>
      </c>
      <c r="DV104" t="s">
        <v>96</v>
      </c>
      <c r="DW104" t="s">
        <v>3788</v>
      </c>
      <c r="DX104" t="s">
        <v>3789</v>
      </c>
      <c r="DY104" t="s">
        <v>3974</v>
      </c>
      <c r="DZ104" t="s">
        <v>3975</v>
      </c>
      <c r="EA104" t="s">
        <v>3934</v>
      </c>
      <c r="EB104" t="s">
        <v>3793</v>
      </c>
      <c r="EC104" t="s">
        <v>3976</v>
      </c>
      <c r="ED104" t="s">
        <v>3977</v>
      </c>
      <c r="EE104" t="s">
        <v>3978</v>
      </c>
      <c r="EF104" t="s">
        <v>3797</v>
      </c>
      <c r="EG104" t="s">
        <v>3979</v>
      </c>
      <c r="EH104" t="s">
        <v>3980</v>
      </c>
      <c r="EI104" t="s">
        <v>3981</v>
      </c>
      <c r="EJ104" t="s">
        <v>3800</v>
      </c>
      <c r="EK104" t="s">
        <v>3982</v>
      </c>
      <c r="EL104" t="s">
        <v>3983</v>
      </c>
      <c r="EM104" t="s">
        <v>3984</v>
      </c>
      <c r="EN104" t="s">
        <v>3803</v>
      </c>
      <c r="EO104" t="s">
        <v>3985</v>
      </c>
      <c r="EP104" t="s">
        <v>3986</v>
      </c>
      <c r="EQ104">
        <v>8</v>
      </c>
      <c r="ER104">
        <v>8</v>
      </c>
      <c r="ES104">
        <v>8</v>
      </c>
      <c r="ET104">
        <v>8</v>
      </c>
      <c r="EU104">
        <v>8</v>
      </c>
      <c r="EV104">
        <v>0.1</v>
      </c>
      <c r="EW104">
        <v>0.1</v>
      </c>
      <c r="EX104">
        <v>0.2</v>
      </c>
      <c r="EY104">
        <v>0.3</v>
      </c>
      <c r="EZ104">
        <v>0.3</v>
      </c>
      <c r="FA104">
        <f>EV104*EQ104</f>
        <v>0.8</v>
      </c>
      <c r="FB104">
        <f>EW104*ER104</f>
        <v>0.8</v>
      </c>
      <c r="FC104">
        <f>EX104*ES104</f>
        <v>1.6</v>
      </c>
      <c r="FD104">
        <f>EY104*ET104</f>
        <v>2.4</v>
      </c>
      <c r="FE104">
        <f>EZ104*EU104</f>
        <v>2.4</v>
      </c>
      <c r="FF104">
        <v>16</v>
      </c>
      <c r="FG104">
        <v>0</v>
      </c>
      <c r="FH104">
        <v>8</v>
      </c>
      <c r="FI104">
        <f>FA104+FB104+FC104+FD104+FE104</f>
        <v>8</v>
      </c>
      <c r="FJ104">
        <f>MEDIAN(EQ104:EU104)</f>
        <v>8</v>
      </c>
      <c r="FL104">
        <v>36.93</v>
      </c>
      <c r="FM104">
        <v>9</v>
      </c>
      <c r="FN104" t="s">
        <v>700</v>
      </c>
      <c r="FO104" t="s">
        <v>701</v>
      </c>
      <c r="FP104" t="s">
        <v>702</v>
      </c>
      <c r="FQ104" t="s">
        <v>703</v>
      </c>
      <c r="FR104" t="s">
        <v>704</v>
      </c>
      <c r="FS104">
        <v>5</v>
      </c>
      <c r="FT104">
        <v>4</v>
      </c>
      <c r="FU104">
        <v>3</v>
      </c>
      <c r="FV104">
        <v>6</v>
      </c>
      <c r="FW104">
        <v>7</v>
      </c>
      <c r="FX104">
        <v>0.1</v>
      </c>
      <c r="FY104">
        <v>0.1</v>
      </c>
      <c r="FZ104">
        <v>0.2</v>
      </c>
      <c r="GA104">
        <v>0.3</v>
      </c>
      <c r="GB104">
        <v>0.3</v>
      </c>
      <c r="GC104">
        <f>FS104*FX104</f>
        <v>0.5</v>
      </c>
      <c r="GD104">
        <f>FT104*FY104</f>
        <v>0.4</v>
      </c>
      <c r="GE104">
        <f>FU104*FZ104</f>
        <v>0.60000000000000009</v>
      </c>
      <c r="GF104">
        <f>FV104*GA104</f>
        <v>1.7999999999999998</v>
      </c>
      <c r="GG104">
        <f>FW104*GB104</f>
        <v>2.1</v>
      </c>
      <c r="GH104">
        <v>9</v>
      </c>
      <c r="GI104">
        <v>0</v>
      </c>
      <c r="GJ104">
        <v>9</v>
      </c>
      <c r="GK104">
        <f>GC104+GD104+GE104+GF104+GG104</f>
        <v>5.4</v>
      </c>
      <c r="GL104">
        <f>MEDIAN(FS104:FW104)</f>
        <v>5</v>
      </c>
    </row>
    <row r="105" spans="1:194" hidden="1" x14ac:dyDescent="0.25">
      <c r="A105">
        <v>104</v>
      </c>
      <c r="B105" t="s">
        <v>2</v>
      </c>
      <c r="C105" s="4">
        <v>91.2</v>
      </c>
      <c r="D105">
        <v>3.8</v>
      </c>
      <c r="E105" s="1">
        <f>C105/3/D105</f>
        <v>8.0000000000000018</v>
      </c>
      <c r="G105">
        <v>80.2</v>
      </c>
      <c r="H105">
        <v>8</v>
      </c>
      <c r="I105">
        <f>H105*D105*3</f>
        <v>91.199999999999989</v>
      </c>
      <c r="J105">
        <v>18</v>
      </c>
      <c r="K105">
        <v>8.6999999999999993</v>
      </c>
      <c r="L105" s="3">
        <f>K105*3*D105</f>
        <v>99.179999999999993</v>
      </c>
      <c r="M105">
        <v>4.12</v>
      </c>
      <c r="N105">
        <v>8.9</v>
      </c>
      <c r="O105">
        <f>N105*D105*3</f>
        <v>101.46000000000001</v>
      </c>
      <c r="P105" s="5">
        <v>8.6999999999999993</v>
      </c>
      <c r="Q105" s="5">
        <f>P105*D105*3</f>
        <v>99.179999999999978</v>
      </c>
      <c r="S105" t="s">
        <v>6240</v>
      </c>
      <c r="T105">
        <v>5.3</v>
      </c>
      <c r="U105" s="8">
        <f>T105*D105*3</f>
        <v>60.419999999999987</v>
      </c>
      <c r="V105">
        <v>29.93</v>
      </c>
      <c r="W105">
        <v>8</v>
      </c>
      <c r="X105" s="5">
        <f>W105*D105*3</f>
        <v>91.199999999999989</v>
      </c>
      <c r="Y105">
        <v>9.1199999999999992</v>
      </c>
      <c r="Z105">
        <v>6</v>
      </c>
      <c r="AA105">
        <f>Z105*D105*3</f>
        <v>68.399999999999991</v>
      </c>
      <c r="AC105">
        <v>50.97</v>
      </c>
      <c r="AD105">
        <v>7.1</v>
      </c>
      <c r="AE105" s="1">
        <f>AD105*3*D105</f>
        <v>80.939999999999984</v>
      </c>
      <c r="AF105">
        <v>11.91</v>
      </c>
      <c r="AG105" s="5">
        <v>7</v>
      </c>
      <c r="AH105" s="5">
        <f>AG105*D105*3</f>
        <v>79.8</v>
      </c>
      <c r="AI105" s="13"/>
      <c r="AJ105">
        <v>27</v>
      </c>
      <c r="AK105" s="8">
        <f>AJ105*D105*3</f>
        <v>307.79999999999995</v>
      </c>
      <c r="AL105" s="13"/>
      <c r="AM105">
        <v>31.95</v>
      </c>
      <c r="AN105">
        <v>7.5</v>
      </c>
      <c r="AO105" s="8">
        <f>AN105*D105*3</f>
        <v>85.5</v>
      </c>
      <c r="AP105">
        <v>13.77</v>
      </c>
      <c r="AQ105">
        <v>9.3000000000000007</v>
      </c>
      <c r="AR105">
        <f>AQ105*D105*3</f>
        <v>106.02000000000001</v>
      </c>
      <c r="AT105">
        <v>9</v>
      </c>
      <c r="AU105">
        <f>AT105*D105*3</f>
        <v>102.6</v>
      </c>
      <c r="AW105">
        <v>25.36</v>
      </c>
      <c r="AX105">
        <v>9.1999999999999993</v>
      </c>
      <c r="AY105">
        <f>AX105*D105*3</f>
        <v>104.87999999999998</v>
      </c>
      <c r="AZ105">
        <v>25.36</v>
      </c>
      <c r="BA105">
        <v>9</v>
      </c>
      <c r="BB105">
        <f>BA105*D105*3</f>
        <v>102.6</v>
      </c>
      <c r="BD105">
        <v>8.9</v>
      </c>
      <c r="BE105">
        <f>BD105*D105*3</f>
        <v>101.46000000000001</v>
      </c>
      <c r="BG105" s="10"/>
      <c r="BH105" s="1">
        <f>CHOOSE(MATCH(MIN(ABS(BP105-C105),ABS(BQ105-C105),ABS(BR105-C105)),CHOOSE({1;2;3},ABS(BP105-C105),ABS(BQ105-C105),ABS(BR105-C105)),0),BP105,BQ105,BR105)</f>
        <v>85.5</v>
      </c>
      <c r="BJ105" s="1" cm="1">
        <f t="array" ref="BJ105">(INDEX(_xlfn._xlws.SORT(CHOOSE({1;2;3;4;5;6},BQ105,BR105,L105,AE105,BO105,BP105)),3) + INDEX(_xlfn._xlws.SORT(CHOOSE({1;2;3;4;5;6},BQ105,BR105,L105,AE105,BO105,BP105)),4))/2</f>
        <v>84.074999999999989</v>
      </c>
      <c r="BK105">
        <v>7.9229214668836798</v>
      </c>
      <c r="BL105" t="s">
        <v>6117</v>
      </c>
      <c r="BM105" s="1">
        <f>BK105*3*D105</f>
        <v>90.321304722473954</v>
      </c>
      <c r="BN105" s="1">
        <f>BM105-C105</f>
        <v>-0.87869527752604881</v>
      </c>
      <c r="BO105" s="1">
        <f>GK105*3*D105</f>
        <v>82.649999999999991</v>
      </c>
      <c r="BP105" s="1">
        <f>DO105*3*D105</f>
        <v>102.6</v>
      </c>
      <c r="BQ105" s="1">
        <f>FJ105*3*D105</f>
        <v>79.8</v>
      </c>
      <c r="BR105" s="1">
        <f>GL105*3*D105</f>
        <v>85.5</v>
      </c>
      <c r="BT105">
        <v>80.2</v>
      </c>
      <c r="BU105">
        <v>8</v>
      </c>
      <c r="BV105" t="s">
        <v>5350</v>
      </c>
      <c r="BW105" t="s">
        <v>5351</v>
      </c>
      <c r="BX105" t="s">
        <v>5352</v>
      </c>
      <c r="BY105" t="s">
        <v>5353</v>
      </c>
      <c r="BZ105" t="s">
        <v>5354</v>
      </c>
      <c r="CA105" t="s">
        <v>2978</v>
      </c>
      <c r="CC105" t="s">
        <v>2438</v>
      </c>
      <c r="CD105" t="s">
        <v>2744</v>
      </c>
      <c r="CE105" t="s">
        <v>3037</v>
      </c>
      <c r="CG105" t="s">
        <v>2881</v>
      </c>
      <c r="CH105" t="s">
        <v>2527</v>
      </c>
      <c r="CI105" t="s">
        <v>2882</v>
      </c>
      <c r="CK105" t="s">
        <v>2883</v>
      </c>
      <c r="CL105" t="s">
        <v>2884</v>
      </c>
      <c r="CM105" t="s">
        <v>3038</v>
      </c>
      <c r="CO105" t="s">
        <v>3039</v>
      </c>
      <c r="CP105" t="s">
        <v>3040</v>
      </c>
      <c r="CQ105" t="s">
        <v>2985</v>
      </c>
      <c r="CS105" t="s">
        <v>3041</v>
      </c>
      <c r="CT105" t="s">
        <v>3042</v>
      </c>
      <c r="CV105">
        <v>9</v>
      </c>
      <c r="CW105">
        <v>9</v>
      </c>
      <c r="CX105">
        <v>9</v>
      </c>
      <c r="CY105">
        <v>9</v>
      </c>
      <c r="CZ105">
        <v>9</v>
      </c>
      <c r="DA105">
        <v>0.1</v>
      </c>
      <c r="DB105">
        <v>0.1</v>
      </c>
      <c r="DC105">
        <v>0.2</v>
      </c>
      <c r="DD105">
        <v>0.3</v>
      </c>
      <c r="DE105">
        <v>0.3</v>
      </c>
      <c r="DF105">
        <v>0.9</v>
      </c>
      <c r="DG105">
        <v>0.9</v>
      </c>
      <c r="DH105">
        <v>1.8</v>
      </c>
      <c r="DI105">
        <v>2.7</v>
      </c>
      <c r="DJ105">
        <v>2.7</v>
      </c>
      <c r="DK105">
        <v>8</v>
      </c>
      <c r="DL105">
        <v>0</v>
      </c>
      <c r="DM105">
        <v>8</v>
      </c>
      <c r="DN105">
        <v>8.6999999999999993</v>
      </c>
      <c r="DO105">
        <f>AVERAGE(CV105:CZ105)</f>
        <v>9</v>
      </c>
      <c r="DQ105">
        <v>14</v>
      </c>
      <c r="DR105" t="s">
        <v>28</v>
      </c>
      <c r="DS105" t="s">
        <v>61</v>
      </c>
      <c r="DT105" t="s">
        <v>90</v>
      </c>
      <c r="DU105" t="s">
        <v>112</v>
      </c>
      <c r="DV105" t="s">
        <v>113</v>
      </c>
      <c r="DW105" t="s">
        <v>3769</v>
      </c>
      <c r="DX105" t="s">
        <v>3770</v>
      </c>
      <c r="DY105" t="s">
        <v>3963</v>
      </c>
      <c r="DZ105" t="s">
        <v>3963</v>
      </c>
      <c r="EA105" t="s">
        <v>3860</v>
      </c>
      <c r="EB105" t="s">
        <v>3964</v>
      </c>
      <c r="EC105" t="s">
        <v>3965</v>
      </c>
      <c r="ED105" t="s">
        <v>3965</v>
      </c>
      <c r="EE105" t="s">
        <v>3966</v>
      </c>
      <c r="EF105" t="s">
        <v>4020</v>
      </c>
      <c r="EG105" t="s">
        <v>3968</v>
      </c>
      <c r="EH105" t="s">
        <v>3968</v>
      </c>
      <c r="EI105" t="s">
        <v>4021</v>
      </c>
      <c r="EJ105" t="s">
        <v>4022</v>
      </c>
      <c r="EK105" t="s">
        <v>4023</v>
      </c>
      <c r="EL105" t="s">
        <v>4023</v>
      </c>
      <c r="EM105" t="s">
        <v>4024</v>
      </c>
      <c r="EN105" t="s">
        <v>4025</v>
      </c>
      <c r="EO105" t="s">
        <v>4026</v>
      </c>
      <c r="EP105" t="s">
        <v>4026</v>
      </c>
      <c r="EQ105">
        <v>7</v>
      </c>
      <c r="ER105">
        <v>8</v>
      </c>
      <c r="ES105">
        <v>7</v>
      </c>
      <c r="ET105">
        <v>7</v>
      </c>
      <c r="EU105">
        <v>7</v>
      </c>
      <c r="EV105">
        <v>0.1</v>
      </c>
      <c r="EW105">
        <v>0.1</v>
      </c>
      <c r="EX105">
        <v>0.2</v>
      </c>
      <c r="EY105">
        <v>0.3</v>
      </c>
      <c r="EZ105">
        <v>0.3</v>
      </c>
      <c r="FA105">
        <f>EV105*EQ105</f>
        <v>0.70000000000000007</v>
      </c>
      <c r="FB105">
        <f>EW105*ER105</f>
        <v>0.8</v>
      </c>
      <c r="FC105">
        <f>EX105*ES105</f>
        <v>1.4000000000000001</v>
      </c>
      <c r="FD105">
        <f>EY105*ET105</f>
        <v>2.1</v>
      </c>
      <c r="FE105">
        <f>EZ105*EU105</f>
        <v>2.1</v>
      </c>
      <c r="FF105">
        <v>14</v>
      </c>
      <c r="FG105">
        <v>0</v>
      </c>
      <c r="FH105">
        <v>14</v>
      </c>
      <c r="FI105">
        <f>FA105+FB105+FC105+FD105+FE105</f>
        <v>7.1</v>
      </c>
      <c r="FJ105">
        <f>MEDIAN(EQ105:EU105)</f>
        <v>7</v>
      </c>
      <c r="FL105">
        <v>73.569999999999993</v>
      </c>
      <c r="FM105">
        <v>8</v>
      </c>
      <c r="FN105" t="s">
        <v>1097</v>
      </c>
      <c r="FO105" t="s">
        <v>1098</v>
      </c>
      <c r="FP105" t="s">
        <v>1099</v>
      </c>
      <c r="FQ105" t="s">
        <v>1100</v>
      </c>
      <c r="FR105" t="s">
        <v>1101</v>
      </c>
      <c r="FS105">
        <v>8</v>
      </c>
      <c r="FT105">
        <v>9</v>
      </c>
      <c r="FU105">
        <v>7.5</v>
      </c>
      <c r="FV105">
        <v>6.5</v>
      </c>
      <c r="FW105">
        <v>7</v>
      </c>
      <c r="FX105">
        <v>0.1</v>
      </c>
      <c r="FY105">
        <v>0.1</v>
      </c>
      <c r="FZ105">
        <v>0.2</v>
      </c>
      <c r="GA105">
        <v>0.3</v>
      </c>
      <c r="GB105">
        <v>0.3</v>
      </c>
      <c r="GC105">
        <f>FS105*FX105</f>
        <v>0.8</v>
      </c>
      <c r="GD105">
        <f>FT105*FY105</f>
        <v>0.9</v>
      </c>
      <c r="GE105">
        <f>FU105*FZ105</f>
        <v>1.5</v>
      </c>
      <c r="GF105">
        <f>FV105*GA105</f>
        <v>1.95</v>
      </c>
      <c r="GG105">
        <f>FW105*GB105</f>
        <v>2.1</v>
      </c>
      <c r="GH105">
        <v>7.45</v>
      </c>
      <c r="GI105">
        <v>0.6</v>
      </c>
      <c r="GJ105">
        <v>8</v>
      </c>
      <c r="GK105">
        <f>GC105+GD105+GE105+GF105+GG105</f>
        <v>7.25</v>
      </c>
      <c r="GL105">
        <f>MEDIAN(FS105:FW105)</f>
        <v>7.5</v>
      </c>
    </row>
    <row r="106" spans="1:194" hidden="1" x14ac:dyDescent="0.25">
      <c r="A106">
        <v>105</v>
      </c>
      <c r="B106" t="s">
        <v>2</v>
      </c>
      <c r="C106" s="4">
        <v>86.4</v>
      </c>
      <c r="D106">
        <v>3.2</v>
      </c>
      <c r="E106" s="1">
        <f>C106/3/D106</f>
        <v>9</v>
      </c>
      <c r="G106">
        <v>36.409999999999997</v>
      </c>
      <c r="H106">
        <v>8</v>
      </c>
      <c r="I106">
        <f>H106*D106*3</f>
        <v>76.800000000000011</v>
      </c>
      <c r="J106">
        <v>18.91</v>
      </c>
      <c r="K106">
        <v>8.4</v>
      </c>
      <c r="L106" s="3">
        <f>K106*3*D106</f>
        <v>80.640000000000015</v>
      </c>
      <c r="M106">
        <v>5.18</v>
      </c>
      <c r="N106">
        <v>3</v>
      </c>
      <c r="O106">
        <f>N106*D106*3</f>
        <v>28.800000000000004</v>
      </c>
      <c r="P106" s="5">
        <v>7</v>
      </c>
      <c r="Q106" s="5">
        <f>P106*D106*3</f>
        <v>67.2</v>
      </c>
      <c r="S106" t="s">
        <v>6241</v>
      </c>
      <c r="T106">
        <v>6</v>
      </c>
      <c r="U106" s="8">
        <f>T106*D106*3</f>
        <v>57.600000000000009</v>
      </c>
      <c r="V106">
        <v>33.97</v>
      </c>
      <c r="W106">
        <v>8.6999999999999993</v>
      </c>
      <c r="X106" s="5">
        <f>W106*D106*3</f>
        <v>83.52</v>
      </c>
      <c r="Y106">
        <v>12.2</v>
      </c>
      <c r="Z106">
        <v>7.6</v>
      </c>
      <c r="AA106">
        <f>Z106*D106*3</f>
        <v>72.960000000000008</v>
      </c>
      <c r="AC106">
        <v>46.27</v>
      </c>
      <c r="AD106">
        <v>8</v>
      </c>
      <c r="AE106" s="1">
        <f>AD106*3*D106</f>
        <v>76.800000000000011</v>
      </c>
      <c r="AF106">
        <v>11.86</v>
      </c>
      <c r="AG106" s="5">
        <v>7</v>
      </c>
      <c r="AH106" s="5">
        <f>AG106*D106*3</f>
        <v>67.2</v>
      </c>
      <c r="AI106" s="13"/>
      <c r="AK106" s="8">
        <f>AJ106*D106*3</f>
        <v>0</v>
      </c>
      <c r="AL106" s="13"/>
      <c r="AM106">
        <v>31.38</v>
      </c>
      <c r="AN106">
        <v>7</v>
      </c>
      <c r="AO106" s="8">
        <f>AN106*D106*3</f>
        <v>67.2</v>
      </c>
      <c r="AP106">
        <v>14.73</v>
      </c>
      <c r="AQ106">
        <v>9.5</v>
      </c>
      <c r="AR106">
        <f>AQ106*D106*3</f>
        <v>91.2</v>
      </c>
      <c r="AT106">
        <v>8.8000000000000007</v>
      </c>
      <c r="AU106">
        <f>AT106*D106*3</f>
        <v>84.480000000000018</v>
      </c>
      <c r="AW106">
        <v>25.26</v>
      </c>
      <c r="AX106">
        <v>9.4</v>
      </c>
      <c r="AY106">
        <f>AX106*D106*3</f>
        <v>90.240000000000009</v>
      </c>
      <c r="AZ106">
        <v>25.26</v>
      </c>
      <c r="BA106">
        <v>9.6</v>
      </c>
      <c r="BB106">
        <f>BA106*D106*3</f>
        <v>92.16</v>
      </c>
      <c r="BD106">
        <v>9</v>
      </c>
      <c r="BE106">
        <f>BD106*D106*3</f>
        <v>86.4</v>
      </c>
      <c r="BG106" s="10"/>
      <c r="BH106" s="1">
        <f>CHOOSE(MATCH(MIN(ABS(BP106-C106),ABS(BQ106-C106),ABS(BR106-C106)),CHOOSE({1;2;3},ABS(BP106-C106),ABS(BQ106-C106),ABS(BR106-C106)),0),BP106,BQ106,BR106)</f>
        <v>86.4</v>
      </c>
      <c r="BJ106" s="1" cm="1">
        <f t="array" ref="BJ106">(INDEX(_xlfn._xlws.SORT(CHOOSE({1;2;3;4;5;6},BQ106,BR106,L106,AE106,BO106,BP106)),3) + INDEX(_xlfn._xlws.SORT(CHOOSE({1;2;3;4;5;6},BQ106,BR106,L106,AE106,BO106,BP106)),4))/2</f>
        <v>76.800000000000011</v>
      </c>
      <c r="BK106">
        <v>8.97728679814408</v>
      </c>
      <c r="BL106" t="s">
        <v>6117</v>
      </c>
      <c r="BM106" s="1">
        <f>BK106*3*D106</f>
        <v>86.181953262183185</v>
      </c>
      <c r="BN106" s="1">
        <f>BM106-C106</f>
        <v>-0.21804673781682027</v>
      </c>
      <c r="BO106" s="1">
        <f>GK106*3*D106</f>
        <v>53.28</v>
      </c>
      <c r="BP106" s="1">
        <f>DO106*3*D106</f>
        <v>86.4</v>
      </c>
      <c r="BQ106" s="1">
        <f>FJ106*3*D106</f>
        <v>76.800000000000011</v>
      </c>
      <c r="BR106" s="1">
        <f>GL106*3*D106</f>
        <v>48</v>
      </c>
      <c r="BT106">
        <v>36.409999999999997</v>
      </c>
      <c r="BU106">
        <v>8</v>
      </c>
      <c r="BV106" t="s">
        <v>5355</v>
      </c>
      <c r="BW106" t="s">
        <v>5356</v>
      </c>
      <c r="BX106" t="s">
        <v>5357</v>
      </c>
      <c r="BY106" t="s">
        <v>5358</v>
      </c>
      <c r="BZ106" t="s">
        <v>5359</v>
      </c>
      <c r="CA106" t="s">
        <v>2437</v>
      </c>
      <c r="CC106" t="s">
        <v>2438</v>
      </c>
      <c r="CD106" t="s">
        <v>2439</v>
      </c>
      <c r="CE106" t="s">
        <v>2440</v>
      </c>
      <c r="CG106" t="s">
        <v>2441</v>
      </c>
      <c r="CH106" t="s">
        <v>2442</v>
      </c>
      <c r="CI106" t="s">
        <v>2535</v>
      </c>
      <c r="CK106" t="s">
        <v>2444</v>
      </c>
      <c r="CL106" t="s">
        <v>2445</v>
      </c>
      <c r="CM106" t="s">
        <v>2446</v>
      </c>
      <c r="CO106" t="s">
        <v>2447</v>
      </c>
      <c r="CP106" t="s">
        <v>2448</v>
      </c>
      <c r="CQ106" t="s">
        <v>2666</v>
      </c>
      <c r="CS106" t="s">
        <v>2450</v>
      </c>
      <c r="CT106" t="s">
        <v>2451</v>
      </c>
      <c r="CV106">
        <v>9</v>
      </c>
      <c r="CW106">
        <v>9</v>
      </c>
      <c r="CX106">
        <v>9</v>
      </c>
      <c r="CY106">
        <v>9</v>
      </c>
      <c r="CZ106">
        <v>9</v>
      </c>
      <c r="DA106">
        <v>0.1</v>
      </c>
      <c r="DB106">
        <v>0.1</v>
      </c>
      <c r="DC106">
        <v>0.2</v>
      </c>
      <c r="DD106">
        <v>0.3</v>
      </c>
      <c r="DE106">
        <v>0.3</v>
      </c>
      <c r="DF106">
        <v>0.9</v>
      </c>
      <c r="DG106">
        <v>0.9</v>
      </c>
      <c r="DH106">
        <v>1.8</v>
      </c>
      <c r="DI106">
        <v>2.7</v>
      </c>
      <c r="DJ106">
        <v>2.7</v>
      </c>
      <c r="DK106">
        <v>8</v>
      </c>
      <c r="DL106">
        <v>0</v>
      </c>
      <c r="DM106">
        <v>8</v>
      </c>
      <c r="DN106">
        <v>8.4</v>
      </c>
      <c r="DO106">
        <f>AVERAGE(CV106:CZ106)</f>
        <v>9</v>
      </c>
      <c r="DQ106">
        <v>8</v>
      </c>
      <c r="DR106" t="s">
        <v>33</v>
      </c>
      <c r="DS106" t="s">
        <v>104</v>
      </c>
      <c r="DT106" t="s">
        <v>105</v>
      </c>
      <c r="DU106" t="s">
        <v>263</v>
      </c>
      <c r="DV106" t="s">
        <v>264</v>
      </c>
      <c r="DW106" t="s">
        <v>3788</v>
      </c>
      <c r="DX106" t="s">
        <v>3789</v>
      </c>
      <c r="DY106" t="s">
        <v>4004</v>
      </c>
      <c r="DZ106" t="s">
        <v>4005</v>
      </c>
      <c r="EA106" t="s">
        <v>4006</v>
      </c>
      <c r="EB106" t="s">
        <v>3793</v>
      </c>
      <c r="EC106" t="s">
        <v>4007</v>
      </c>
      <c r="ED106" t="s">
        <v>4005</v>
      </c>
      <c r="EE106" t="s">
        <v>4008</v>
      </c>
      <c r="EF106" t="s">
        <v>3797</v>
      </c>
      <c r="EG106" t="s">
        <v>4009</v>
      </c>
      <c r="EH106" t="s">
        <v>4005</v>
      </c>
      <c r="EI106" t="s">
        <v>4379</v>
      </c>
      <c r="EJ106" t="s">
        <v>3800</v>
      </c>
      <c r="EK106" t="s">
        <v>4380</v>
      </c>
      <c r="EL106" t="s">
        <v>4005</v>
      </c>
      <c r="EM106" t="s">
        <v>4012</v>
      </c>
      <c r="EN106" t="s">
        <v>3803</v>
      </c>
      <c r="EO106" t="s">
        <v>4013</v>
      </c>
      <c r="EP106" t="s">
        <v>4005</v>
      </c>
      <c r="EQ106">
        <v>8</v>
      </c>
      <c r="ER106">
        <v>8</v>
      </c>
      <c r="ES106">
        <v>8</v>
      </c>
      <c r="ET106">
        <v>8</v>
      </c>
      <c r="EU106">
        <v>8</v>
      </c>
      <c r="EV106">
        <v>0.1</v>
      </c>
      <c r="EW106">
        <v>0.1</v>
      </c>
      <c r="EX106">
        <v>0.2</v>
      </c>
      <c r="EY106">
        <v>0.3</v>
      </c>
      <c r="EZ106">
        <v>0.3</v>
      </c>
      <c r="FA106">
        <f>EV106*EQ106</f>
        <v>0.8</v>
      </c>
      <c r="FB106">
        <f>EW106*ER106</f>
        <v>0.8</v>
      </c>
      <c r="FC106">
        <f>EX106*ES106</f>
        <v>1.6</v>
      </c>
      <c r="FD106">
        <f>EY106*ET106</f>
        <v>2.4</v>
      </c>
      <c r="FE106">
        <f>EZ106*EU106</f>
        <v>2.4</v>
      </c>
      <c r="FF106">
        <v>16</v>
      </c>
      <c r="FG106">
        <v>0</v>
      </c>
      <c r="FH106">
        <v>8</v>
      </c>
      <c r="FI106">
        <f>FA106+FB106+FC106+FD106+FE106</f>
        <v>8</v>
      </c>
      <c r="FJ106">
        <f>MEDIAN(EQ106:EU106)</f>
        <v>8</v>
      </c>
      <c r="FL106">
        <v>43.24</v>
      </c>
      <c r="FM106">
        <v>7</v>
      </c>
      <c r="FN106" t="s">
        <v>1102</v>
      </c>
      <c r="FO106" t="s">
        <v>1103</v>
      </c>
      <c r="FP106" t="s">
        <v>1104</v>
      </c>
      <c r="FQ106" t="s">
        <v>1105</v>
      </c>
      <c r="FR106" t="s">
        <v>1106</v>
      </c>
      <c r="FS106">
        <v>5</v>
      </c>
      <c r="FT106">
        <v>4.5</v>
      </c>
      <c r="FU106">
        <v>3.5</v>
      </c>
      <c r="FV106">
        <v>6</v>
      </c>
      <c r="FW106">
        <v>7</v>
      </c>
      <c r="FX106">
        <v>0.1</v>
      </c>
      <c r="FY106">
        <v>0.1</v>
      </c>
      <c r="FZ106">
        <v>0.2</v>
      </c>
      <c r="GA106">
        <v>0.3</v>
      </c>
      <c r="GB106">
        <v>0.3</v>
      </c>
      <c r="GC106">
        <f>FS106*FX106</f>
        <v>0.5</v>
      </c>
      <c r="GD106">
        <f>FT106*FY106</f>
        <v>0.45</v>
      </c>
      <c r="GE106">
        <f>FU106*FZ106</f>
        <v>0.70000000000000007</v>
      </c>
      <c r="GF106">
        <f>FV106*GA106</f>
        <v>1.7999999999999998</v>
      </c>
      <c r="GG106">
        <f>FW106*GB106</f>
        <v>2.1</v>
      </c>
      <c r="GH106">
        <v>6.9</v>
      </c>
      <c r="GJ106">
        <v>7</v>
      </c>
      <c r="GK106">
        <f>GC106+GD106+GE106+GF106+GG106</f>
        <v>5.55</v>
      </c>
      <c r="GL106">
        <f>MEDIAN(FS106:FW106)</f>
        <v>5</v>
      </c>
    </row>
    <row r="107" spans="1:194" hidden="1" x14ac:dyDescent="0.25">
      <c r="A107">
        <v>106</v>
      </c>
      <c r="B107" t="s">
        <v>2</v>
      </c>
      <c r="C107" s="4">
        <v>90.65</v>
      </c>
      <c r="D107">
        <v>3.7</v>
      </c>
      <c r="E107" s="1">
        <f>C107/3/D107</f>
        <v>8.1666666666666661</v>
      </c>
      <c r="G107">
        <v>33.89</v>
      </c>
      <c r="H107">
        <v>8.1999999999999993</v>
      </c>
      <c r="I107">
        <f>H107*D107*3</f>
        <v>91.02</v>
      </c>
      <c r="J107">
        <v>16.25</v>
      </c>
      <c r="K107">
        <v>8.4</v>
      </c>
      <c r="L107" s="3">
        <f>K107*3*D107</f>
        <v>93.240000000000009</v>
      </c>
      <c r="M107">
        <v>4.3899999999999997</v>
      </c>
      <c r="N107">
        <v>8</v>
      </c>
      <c r="O107">
        <f>N107*D107*3</f>
        <v>88.800000000000011</v>
      </c>
      <c r="P107" s="5">
        <v>8.9</v>
      </c>
      <c r="Q107" s="5">
        <f>P107*D107*3</f>
        <v>98.789999999999992</v>
      </c>
      <c r="S107" t="s">
        <v>6242</v>
      </c>
      <c r="T107">
        <v>3.4</v>
      </c>
      <c r="U107" s="8">
        <f>T107*D107*3</f>
        <v>37.74</v>
      </c>
      <c r="V107">
        <v>29.77</v>
      </c>
      <c r="W107">
        <v>8</v>
      </c>
      <c r="X107" s="5">
        <f>W107*D107*3</f>
        <v>88.800000000000011</v>
      </c>
      <c r="Y107">
        <v>11.31</v>
      </c>
      <c r="Z107">
        <v>7.5</v>
      </c>
      <c r="AA107">
        <f>Z107*D107*3</f>
        <v>83.25</v>
      </c>
      <c r="AC107">
        <v>45.6</v>
      </c>
      <c r="AD107">
        <v>7.9</v>
      </c>
      <c r="AE107" s="1">
        <f>AD107*3*D107</f>
        <v>87.690000000000012</v>
      </c>
      <c r="AF107">
        <v>11.92</v>
      </c>
      <c r="AG107" s="5">
        <v>7</v>
      </c>
      <c r="AH107" s="5">
        <f>AG107*D107*3</f>
        <v>77.7</v>
      </c>
      <c r="AI107" s="13"/>
      <c r="AJ107">
        <v>2.7</v>
      </c>
      <c r="AK107" s="8">
        <f>AJ107*D107*3</f>
        <v>29.970000000000006</v>
      </c>
      <c r="AL107" s="13"/>
      <c r="AM107">
        <v>31.38</v>
      </c>
      <c r="AN107">
        <v>7.6</v>
      </c>
      <c r="AO107" s="8">
        <f>AN107*D107*3</f>
        <v>84.36</v>
      </c>
      <c r="AP107">
        <v>13.6</v>
      </c>
      <c r="AQ107">
        <v>9.5</v>
      </c>
      <c r="AR107">
        <f>AQ107*D107*3</f>
        <v>105.44999999999999</v>
      </c>
      <c r="AT107">
        <v>9</v>
      </c>
      <c r="AU107">
        <f>AT107*D107*3</f>
        <v>99.9</v>
      </c>
      <c r="AW107">
        <v>26.63</v>
      </c>
      <c r="AX107">
        <v>8.4</v>
      </c>
      <c r="AY107">
        <f>AX107*D107*3</f>
        <v>93.240000000000009</v>
      </c>
      <c r="AZ107">
        <v>26.63</v>
      </c>
      <c r="BA107">
        <v>9</v>
      </c>
      <c r="BB107">
        <f>BA107*D107*3</f>
        <v>99.9</v>
      </c>
      <c r="BD107">
        <v>8.6</v>
      </c>
      <c r="BE107">
        <f>BD107*D107*3</f>
        <v>95.460000000000008</v>
      </c>
      <c r="BG107" s="10"/>
      <c r="BH107" s="1">
        <f>CHOOSE(MATCH(MIN(ABS(BP107-C107),ABS(BQ107-C107),ABS(BR107-C107)),CHOOSE({1;2;3},ABS(BP107-C107),ABS(BQ107-C107),ABS(BR107-C107)),0),BP107,BQ107,BR107)</f>
        <v>88.800000000000011</v>
      </c>
      <c r="BJ107" s="1" cm="1">
        <f t="array" ref="BJ107">(INDEX(_xlfn._xlws.SORT(CHOOSE({1;2;3;4;5;6},BQ107,BR107,L107,AE107,BO107,BP107)),3) + INDEX(_xlfn._xlws.SORT(CHOOSE({1;2;3;4;5;6},BQ107,BR107,L107,AE107,BO107,BP107)),4))/2</f>
        <v>88.245000000000005</v>
      </c>
      <c r="BK107">
        <v>8.2040423917413303</v>
      </c>
      <c r="BL107" t="s">
        <v>6117</v>
      </c>
      <c r="BM107" s="1">
        <f>BK107*3*D107</f>
        <v>91.06487054832877</v>
      </c>
      <c r="BN107" s="1">
        <f>BM107-C107</f>
        <v>0.41487054832876424</v>
      </c>
      <c r="BO107" s="1">
        <f>GK107*3*D107</f>
        <v>73.260000000000005</v>
      </c>
      <c r="BP107" s="1">
        <f>DO107*3*D107</f>
        <v>99.9</v>
      </c>
      <c r="BQ107" s="1">
        <f>FJ107*3*D107</f>
        <v>88.800000000000011</v>
      </c>
      <c r="BR107" s="1">
        <f>GL107*3*D107</f>
        <v>77.7</v>
      </c>
      <c r="BT107">
        <v>33.89</v>
      </c>
      <c r="BU107">
        <v>8.1999999999999993</v>
      </c>
      <c r="BV107" t="s">
        <v>5055</v>
      </c>
      <c r="BW107" t="s">
        <v>5082</v>
      </c>
      <c r="BX107" t="s">
        <v>5360</v>
      </c>
      <c r="BY107" t="s">
        <v>5361</v>
      </c>
      <c r="BZ107" t="s">
        <v>4985</v>
      </c>
      <c r="CA107" t="s">
        <v>2550</v>
      </c>
      <c r="CC107" t="s">
        <v>2634</v>
      </c>
      <c r="CD107" t="s">
        <v>2635</v>
      </c>
      <c r="CE107" t="s">
        <v>2667</v>
      </c>
      <c r="CG107" t="s">
        <v>2634</v>
      </c>
      <c r="CH107" t="s">
        <v>2637</v>
      </c>
      <c r="CI107" t="s">
        <v>3043</v>
      </c>
      <c r="CK107" t="s">
        <v>2634</v>
      </c>
      <c r="CL107" t="s">
        <v>2669</v>
      </c>
      <c r="CM107" t="s">
        <v>2670</v>
      </c>
      <c r="CO107" t="s">
        <v>2634</v>
      </c>
      <c r="CP107" t="s">
        <v>2671</v>
      </c>
      <c r="CQ107" t="s">
        <v>2570</v>
      </c>
      <c r="CS107" t="s">
        <v>2634</v>
      </c>
      <c r="CT107" t="s">
        <v>3044</v>
      </c>
      <c r="CV107">
        <v>9</v>
      </c>
      <c r="CW107">
        <v>9</v>
      </c>
      <c r="CX107">
        <v>9</v>
      </c>
      <c r="CY107">
        <v>9</v>
      </c>
      <c r="CZ107">
        <v>9</v>
      </c>
      <c r="DA107">
        <v>0.1</v>
      </c>
      <c r="DB107">
        <v>0.1</v>
      </c>
      <c r="DC107">
        <v>0.2</v>
      </c>
      <c r="DD107">
        <v>0.3</v>
      </c>
      <c r="DE107">
        <v>0.3</v>
      </c>
      <c r="DF107">
        <v>0.9</v>
      </c>
      <c r="DG107">
        <v>0.9</v>
      </c>
      <c r="DH107">
        <v>1.8</v>
      </c>
      <c r="DI107">
        <v>2.7</v>
      </c>
      <c r="DJ107">
        <v>2.7</v>
      </c>
      <c r="DK107">
        <v>8.1999999999999993</v>
      </c>
      <c r="DL107">
        <v>0</v>
      </c>
      <c r="DM107">
        <v>8.1999999999999993</v>
      </c>
      <c r="DN107">
        <v>8.4</v>
      </c>
      <c r="DO107">
        <f>AVERAGE(CV107:CZ107)</f>
        <v>9</v>
      </c>
      <c r="DQ107">
        <v>8</v>
      </c>
      <c r="DR107" t="s">
        <v>47</v>
      </c>
      <c r="DS107" t="s">
        <v>61</v>
      </c>
      <c r="DT107" t="s">
        <v>120</v>
      </c>
      <c r="DU107" t="s">
        <v>265</v>
      </c>
      <c r="DV107" t="s">
        <v>266</v>
      </c>
      <c r="DW107" t="s">
        <v>3769</v>
      </c>
      <c r="DX107" t="s">
        <v>3770</v>
      </c>
      <c r="DY107" t="s">
        <v>4042</v>
      </c>
      <c r="DZ107" t="s">
        <v>4043</v>
      </c>
      <c r="EA107" t="s">
        <v>3860</v>
      </c>
      <c r="EB107" t="s">
        <v>3964</v>
      </c>
      <c r="EE107" t="s">
        <v>3886</v>
      </c>
      <c r="EF107" t="s">
        <v>4381</v>
      </c>
      <c r="EI107" t="s">
        <v>4382</v>
      </c>
      <c r="EJ107" t="s">
        <v>4383</v>
      </c>
      <c r="EM107" t="s">
        <v>3989</v>
      </c>
      <c r="EN107" t="s">
        <v>4384</v>
      </c>
      <c r="EQ107">
        <v>7</v>
      </c>
      <c r="ER107">
        <v>8</v>
      </c>
      <c r="ES107">
        <v>8</v>
      </c>
      <c r="ET107">
        <v>8</v>
      </c>
      <c r="EU107">
        <v>8</v>
      </c>
      <c r="EV107">
        <v>0.1</v>
      </c>
      <c r="EW107">
        <v>0.1</v>
      </c>
      <c r="EX107">
        <v>0.2</v>
      </c>
      <c r="EY107">
        <v>0.3</v>
      </c>
      <c r="EZ107">
        <v>0.3</v>
      </c>
      <c r="FA107">
        <f>EV107*EQ107</f>
        <v>0.70000000000000007</v>
      </c>
      <c r="FB107">
        <f>EW107*ER107</f>
        <v>0.8</v>
      </c>
      <c r="FC107">
        <f>EX107*ES107</f>
        <v>1.6</v>
      </c>
      <c r="FD107">
        <f>EY107*ET107</f>
        <v>2.4</v>
      </c>
      <c r="FE107">
        <f>EZ107*EU107</f>
        <v>2.4</v>
      </c>
      <c r="FF107">
        <v>17</v>
      </c>
      <c r="FG107">
        <v>0</v>
      </c>
      <c r="FH107">
        <v>8</v>
      </c>
      <c r="FI107">
        <f>FA107+FB107+FC107+FD107+FE107</f>
        <v>7.9</v>
      </c>
      <c r="FJ107">
        <f>MEDIAN(EQ107:EU107)</f>
        <v>8</v>
      </c>
      <c r="FL107">
        <v>41.83</v>
      </c>
      <c r="FM107">
        <v>10</v>
      </c>
      <c r="FN107" t="s">
        <v>1107</v>
      </c>
      <c r="FO107" t="s">
        <v>1108</v>
      </c>
      <c r="FP107" t="s">
        <v>1109</v>
      </c>
      <c r="FQ107" t="s">
        <v>1110</v>
      </c>
      <c r="FR107" t="s">
        <v>1111</v>
      </c>
      <c r="FS107">
        <v>8</v>
      </c>
      <c r="FT107">
        <v>7</v>
      </c>
      <c r="FU107">
        <v>6</v>
      </c>
      <c r="FV107">
        <v>7</v>
      </c>
      <c r="FW107">
        <v>6</v>
      </c>
      <c r="FX107">
        <v>0.1</v>
      </c>
      <c r="FY107">
        <v>0.1</v>
      </c>
      <c r="FZ107">
        <v>0.2</v>
      </c>
      <c r="GA107">
        <v>0.3</v>
      </c>
      <c r="GB107">
        <v>0.3</v>
      </c>
      <c r="GC107">
        <f>FS107*FX107</f>
        <v>0.8</v>
      </c>
      <c r="GD107">
        <f>FT107*FY107</f>
        <v>0.70000000000000007</v>
      </c>
      <c r="GE107">
        <f>FU107*FZ107</f>
        <v>1.2000000000000002</v>
      </c>
      <c r="GF107">
        <f>FV107*GA107</f>
        <v>2.1</v>
      </c>
      <c r="GG107">
        <f>FW107*GB107</f>
        <v>1.7999999999999998</v>
      </c>
      <c r="GH107">
        <v>9.4</v>
      </c>
      <c r="GI107">
        <v>0.6</v>
      </c>
      <c r="GJ107">
        <v>10</v>
      </c>
      <c r="GK107">
        <f>GC107+GD107+GE107+GF107+GG107</f>
        <v>6.6000000000000005</v>
      </c>
      <c r="GL107">
        <f>MEDIAN(FS107:FW107)</f>
        <v>7</v>
      </c>
    </row>
    <row r="108" spans="1:194" x14ac:dyDescent="0.25">
      <c r="A108" s="11">
        <v>17</v>
      </c>
      <c r="B108" t="s">
        <v>2</v>
      </c>
      <c r="C108" s="4">
        <v>83.25</v>
      </c>
      <c r="D108">
        <v>3.7</v>
      </c>
      <c r="E108" s="1">
        <f>C108/3/D108</f>
        <v>7.5</v>
      </c>
      <c r="G108">
        <v>74.64</v>
      </c>
      <c r="H108">
        <v>8.1999999999999993</v>
      </c>
      <c r="I108">
        <f>H108*D108*3</f>
        <v>91.02</v>
      </c>
      <c r="J108">
        <v>18.37</v>
      </c>
      <c r="K108">
        <v>8.4</v>
      </c>
      <c r="L108" s="3">
        <f>K108*3*D108</f>
        <v>93.240000000000009</v>
      </c>
      <c r="M108">
        <v>3.84</v>
      </c>
      <c r="N108">
        <v>8</v>
      </c>
      <c r="O108">
        <f>N108*D108*3</f>
        <v>88.800000000000011</v>
      </c>
      <c r="P108" s="5">
        <v>9</v>
      </c>
      <c r="Q108" s="5">
        <f>P108*D108*3</f>
        <v>99.9</v>
      </c>
      <c r="S108" t="s">
        <v>6155</v>
      </c>
      <c r="T108">
        <v>6.5</v>
      </c>
      <c r="U108" s="8">
        <f>T108*D108*3</f>
        <v>72.150000000000006</v>
      </c>
      <c r="V108">
        <v>32.19</v>
      </c>
      <c r="W108">
        <v>8.4</v>
      </c>
      <c r="X108" s="5">
        <f>W108*D108*3</f>
        <v>93.240000000000009</v>
      </c>
      <c r="Y108">
        <v>9.58</v>
      </c>
      <c r="Z108">
        <v>7.5</v>
      </c>
      <c r="AA108">
        <f>Z108*D108*3</f>
        <v>83.25</v>
      </c>
      <c r="AC108">
        <v>48.59</v>
      </c>
      <c r="AD108">
        <v>7.9</v>
      </c>
      <c r="AE108" s="1">
        <f>AD108*3*D108</f>
        <v>87.690000000000012</v>
      </c>
      <c r="AF108">
        <v>12.01</v>
      </c>
      <c r="AG108" s="5">
        <v>7</v>
      </c>
      <c r="AH108" s="5">
        <f>AG108*D108*3</f>
        <v>77.7</v>
      </c>
      <c r="AI108" s="13"/>
      <c r="AJ108">
        <v>4.2</v>
      </c>
      <c r="AK108" s="8">
        <f>AJ108*D108*3</f>
        <v>46.620000000000005</v>
      </c>
      <c r="AL108" s="13"/>
      <c r="AM108">
        <v>31.1</v>
      </c>
      <c r="AN108">
        <v>7.2</v>
      </c>
      <c r="AO108" s="8">
        <f>AN108*D108*3</f>
        <v>79.92</v>
      </c>
      <c r="AP108">
        <v>13.33</v>
      </c>
      <c r="AQ108">
        <v>10</v>
      </c>
      <c r="AR108">
        <f>AQ108*D108*3</f>
        <v>111</v>
      </c>
      <c r="AS108">
        <v>10.23</v>
      </c>
      <c r="AT108">
        <v>9</v>
      </c>
      <c r="AU108">
        <f>AT108*D108*3</f>
        <v>99.9</v>
      </c>
      <c r="AW108">
        <v>23.61</v>
      </c>
      <c r="AX108">
        <v>9.9</v>
      </c>
      <c r="AY108">
        <f>AX108*D108*3</f>
        <v>109.89000000000001</v>
      </c>
      <c r="AZ108">
        <v>23.61</v>
      </c>
      <c r="BA108">
        <v>7.9</v>
      </c>
      <c r="BB108">
        <f>BA108*D108*3</f>
        <v>87.690000000000012</v>
      </c>
      <c r="BD108">
        <v>8.9</v>
      </c>
      <c r="BE108">
        <f>BD108*D108*3</f>
        <v>98.789999999999992</v>
      </c>
      <c r="BG108" s="10"/>
      <c r="BH108" s="1">
        <f>CHOOSE(MATCH(MIN(ABS(BP108-C108),ABS(BQ108-C108),ABS(BR108-C108)),CHOOSE({1;2;3},ABS(BP108-C108),ABS(BQ108-C108),ABS(BR108-C108)),0),BP108,BQ108,BR108)</f>
        <v>83.25</v>
      </c>
      <c r="BJ108" s="1" cm="1">
        <f t="array" ref="BJ108">(INDEX(_xlfn._xlws.SORT(CHOOSE({1;2;3;4;5;6},BQ108,BR108,L108,AE108,BO108,BP108)),3) + INDEX(_xlfn._xlws.SORT(CHOOSE({1;2;3;4;5;6},BQ108,BR108,L108,AE108,BO108,BP108)),4))/2</f>
        <v>88.245000000000005</v>
      </c>
      <c r="BK108">
        <v>6.9398363235802902</v>
      </c>
      <c r="BL108" s="11" t="s">
        <v>6116</v>
      </c>
      <c r="BM108" s="1">
        <f>BK108*3*D108</f>
        <v>77.032183191741225</v>
      </c>
      <c r="BN108" s="1">
        <f>BM108-C108</f>
        <v>-6.2178168082587746</v>
      </c>
      <c r="BO108" s="1">
        <f>GK108*3*D108</f>
        <v>80.475000000000009</v>
      </c>
      <c r="BP108" s="1">
        <f>DO108*3*D108</f>
        <v>99.9</v>
      </c>
      <c r="BQ108" s="1">
        <f>FJ108*3*D108</f>
        <v>88.800000000000011</v>
      </c>
      <c r="BR108" s="1">
        <f>GL108*3*D108</f>
        <v>83.25</v>
      </c>
      <c r="BT108">
        <v>74.64</v>
      </c>
      <c r="BU108">
        <v>8.1999999999999993</v>
      </c>
      <c r="BV108" t="s">
        <v>5051</v>
      </c>
      <c r="BW108" t="s">
        <v>5047</v>
      </c>
      <c r="BX108" t="s">
        <v>5052</v>
      </c>
      <c r="BY108" t="s">
        <v>5053</v>
      </c>
      <c r="BZ108" t="s">
        <v>5054</v>
      </c>
      <c r="CA108" t="s">
        <v>2563</v>
      </c>
      <c r="CC108" t="s">
        <v>2470</v>
      </c>
      <c r="CD108" t="s">
        <v>2470</v>
      </c>
      <c r="CE108" t="s">
        <v>2565</v>
      </c>
      <c r="CG108" t="s">
        <v>2593</v>
      </c>
      <c r="CH108" t="s">
        <v>2593</v>
      </c>
      <c r="CI108" t="s">
        <v>2567</v>
      </c>
      <c r="CK108" t="s">
        <v>2594</v>
      </c>
      <c r="CL108" t="s">
        <v>2594</v>
      </c>
      <c r="CM108" t="s">
        <v>2595</v>
      </c>
      <c r="CO108" t="s">
        <v>2596</v>
      </c>
      <c r="CP108" t="s">
        <v>2596</v>
      </c>
      <c r="CQ108" t="s">
        <v>2597</v>
      </c>
      <c r="CS108" t="s">
        <v>2598</v>
      </c>
      <c r="CT108" t="s">
        <v>2598</v>
      </c>
      <c r="CV108">
        <v>9</v>
      </c>
      <c r="CW108">
        <v>9</v>
      </c>
      <c r="CX108">
        <v>9</v>
      </c>
      <c r="CY108">
        <v>9</v>
      </c>
      <c r="CZ108">
        <v>9</v>
      </c>
      <c r="DA108">
        <v>0.1</v>
      </c>
      <c r="DB108">
        <v>0.1</v>
      </c>
      <c r="DC108">
        <v>0.2</v>
      </c>
      <c r="DD108">
        <v>0.3</v>
      </c>
      <c r="DE108">
        <v>0.3</v>
      </c>
      <c r="DF108">
        <v>0.9</v>
      </c>
      <c r="DG108">
        <v>0.9</v>
      </c>
      <c r="DH108">
        <v>1.8</v>
      </c>
      <c r="DI108">
        <v>2.7</v>
      </c>
      <c r="DJ108">
        <v>2.7</v>
      </c>
      <c r="DK108">
        <v>8.1999999999999993</v>
      </c>
      <c r="DL108">
        <v>0</v>
      </c>
      <c r="DM108">
        <v>8.1999999999999993</v>
      </c>
      <c r="DN108">
        <v>8.4</v>
      </c>
      <c r="DO108">
        <f>AVERAGE(CV108:CZ108)</f>
        <v>9</v>
      </c>
      <c r="DQ108">
        <v>15</v>
      </c>
      <c r="DR108" t="s">
        <v>38</v>
      </c>
      <c r="DS108" t="s">
        <v>39</v>
      </c>
      <c r="DT108" t="s">
        <v>40</v>
      </c>
      <c r="DU108" t="s">
        <v>41</v>
      </c>
      <c r="DV108" t="s">
        <v>42</v>
      </c>
      <c r="DW108" t="s">
        <v>3805</v>
      </c>
      <c r="DX108" t="s">
        <v>3770</v>
      </c>
      <c r="DY108" t="s">
        <v>3771</v>
      </c>
      <c r="DZ108" t="s">
        <v>3772</v>
      </c>
      <c r="EA108" t="s">
        <v>3806</v>
      </c>
      <c r="EB108" t="s">
        <v>3807</v>
      </c>
      <c r="EC108" t="s">
        <v>3775</v>
      </c>
      <c r="ED108" t="s">
        <v>3776</v>
      </c>
      <c r="EE108" t="s">
        <v>3946</v>
      </c>
      <c r="EF108" t="s">
        <v>3809</v>
      </c>
      <c r="EG108" t="s">
        <v>3810</v>
      </c>
      <c r="EH108" t="s">
        <v>3811</v>
      </c>
      <c r="EI108" t="s">
        <v>3947</v>
      </c>
      <c r="EJ108" t="s">
        <v>3813</v>
      </c>
      <c r="EK108" t="s">
        <v>3948</v>
      </c>
      <c r="EL108" t="s">
        <v>3815</v>
      </c>
      <c r="EM108" t="s">
        <v>3949</v>
      </c>
      <c r="EN108" t="s">
        <v>3809</v>
      </c>
      <c r="EO108" t="s">
        <v>3950</v>
      </c>
      <c r="EP108" t="s">
        <v>3818</v>
      </c>
      <c r="EQ108">
        <v>7</v>
      </c>
      <c r="ER108">
        <v>8</v>
      </c>
      <c r="ES108">
        <v>8</v>
      </c>
      <c r="ET108">
        <v>8</v>
      </c>
      <c r="EU108">
        <v>8</v>
      </c>
      <c r="EV108">
        <v>0.1</v>
      </c>
      <c r="EW108">
        <v>0.1</v>
      </c>
      <c r="EX108">
        <v>0.2</v>
      </c>
      <c r="EY108">
        <v>0.3</v>
      </c>
      <c r="EZ108">
        <v>0.3</v>
      </c>
      <c r="FA108">
        <f>EV108*EQ108</f>
        <v>0.70000000000000007</v>
      </c>
      <c r="FB108">
        <f>EW108*ER108</f>
        <v>0.8</v>
      </c>
      <c r="FC108">
        <f>EX108*ES108</f>
        <v>1.6</v>
      </c>
      <c r="FD108">
        <f>EY108*ET108</f>
        <v>2.4</v>
      </c>
      <c r="FE108">
        <f>EZ108*EU108</f>
        <v>2.4</v>
      </c>
      <c r="FF108">
        <v>15</v>
      </c>
      <c r="FG108">
        <v>0</v>
      </c>
      <c r="FH108">
        <v>15</v>
      </c>
      <c r="FI108">
        <f>FA108+FB108+FC108+FD108+FE108</f>
        <v>7.9</v>
      </c>
      <c r="FJ108">
        <f>MEDIAN(EQ108:EU108)</f>
        <v>8</v>
      </c>
      <c r="FL108">
        <v>72.53</v>
      </c>
      <c r="FM108">
        <v>8</v>
      </c>
      <c r="FN108" t="s">
        <v>681</v>
      </c>
      <c r="FO108" t="s">
        <v>682</v>
      </c>
      <c r="FP108" t="s">
        <v>683</v>
      </c>
      <c r="FQ108" t="s">
        <v>684</v>
      </c>
      <c r="FR108" t="s">
        <v>685</v>
      </c>
      <c r="FS108">
        <v>8</v>
      </c>
      <c r="FT108">
        <v>9</v>
      </c>
      <c r="FU108">
        <v>7.5</v>
      </c>
      <c r="FV108">
        <v>6.5</v>
      </c>
      <c r="FW108">
        <v>7</v>
      </c>
      <c r="FX108">
        <v>0.1</v>
      </c>
      <c r="FY108">
        <v>0.1</v>
      </c>
      <c r="FZ108">
        <v>0.2</v>
      </c>
      <c r="GA108">
        <v>0.3</v>
      </c>
      <c r="GB108">
        <v>0.3</v>
      </c>
      <c r="GC108">
        <f>FS108*FX108</f>
        <v>0.8</v>
      </c>
      <c r="GD108">
        <f>FT108*FY108</f>
        <v>0.9</v>
      </c>
      <c r="GE108">
        <f>FU108*FZ108</f>
        <v>1.5</v>
      </c>
      <c r="GF108">
        <f>FV108*GA108</f>
        <v>1.95</v>
      </c>
      <c r="GG108">
        <f>FW108*GB108</f>
        <v>2.1</v>
      </c>
      <c r="GH108">
        <v>7.45</v>
      </c>
      <c r="GI108">
        <v>0.6</v>
      </c>
      <c r="GJ108">
        <v>8</v>
      </c>
      <c r="GK108">
        <f>GC108+GD108+GE108+GF108+GG108</f>
        <v>7.25</v>
      </c>
      <c r="GL108">
        <f>MEDIAN(FS108:FW108)</f>
        <v>7.5</v>
      </c>
    </row>
    <row r="109" spans="1:194" hidden="1" x14ac:dyDescent="0.25">
      <c r="A109">
        <v>108</v>
      </c>
      <c r="B109" t="s">
        <v>2</v>
      </c>
      <c r="C109" s="4">
        <v>85.75</v>
      </c>
      <c r="D109">
        <v>3.5</v>
      </c>
      <c r="E109" s="1">
        <f>C109/3/D109</f>
        <v>8.1666666666666661</v>
      </c>
      <c r="G109">
        <v>35.81</v>
      </c>
      <c r="H109">
        <v>8.1999999999999993</v>
      </c>
      <c r="I109">
        <f>H109*D109*3</f>
        <v>86.1</v>
      </c>
      <c r="J109">
        <v>16.18</v>
      </c>
      <c r="K109">
        <v>8.4</v>
      </c>
      <c r="L109" s="3">
        <f>K109*3*D109</f>
        <v>88.200000000000017</v>
      </c>
      <c r="M109">
        <v>4.3499999999999996</v>
      </c>
      <c r="N109">
        <v>5.7</v>
      </c>
      <c r="O109">
        <f>N109*D109*3</f>
        <v>59.849999999999994</v>
      </c>
      <c r="P109" s="5">
        <v>6.5</v>
      </c>
      <c r="Q109" s="5">
        <f>P109*D109*3</f>
        <v>68.25</v>
      </c>
      <c r="S109" t="s">
        <v>6243</v>
      </c>
      <c r="T109">
        <v>5.2</v>
      </c>
      <c r="U109" s="8">
        <f>T109*D109*3</f>
        <v>54.599999999999994</v>
      </c>
      <c r="V109">
        <v>34.44</v>
      </c>
      <c r="W109">
        <v>8</v>
      </c>
      <c r="X109" s="5">
        <f>W109*D109*3</f>
        <v>84</v>
      </c>
      <c r="Y109">
        <v>11.29</v>
      </c>
      <c r="Z109">
        <v>8.6</v>
      </c>
      <c r="AA109">
        <f>Z109*D109*3</f>
        <v>90.3</v>
      </c>
      <c r="AC109">
        <v>50.32</v>
      </c>
      <c r="AD109">
        <v>6.5500000000000007</v>
      </c>
      <c r="AE109" s="1">
        <f>AD109*3*D109</f>
        <v>68.775000000000006</v>
      </c>
      <c r="AF109">
        <v>9.5299999999999994</v>
      </c>
      <c r="AH109" s="5">
        <f>AG109*D109*3</f>
        <v>0</v>
      </c>
      <c r="AI109" s="13"/>
      <c r="AJ109">
        <v>2.7</v>
      </c>
      <c r="AK109" s="8">
        <f>AJ109*D109*3</f>
        <v>28.35</v>
      </c>
      <c r="AL109" s="13"/>
      <c r="AM109">
        <v>30.55</v>
      </c>
      <c r="AN109">
        <v>7</v>
      </c>
      <c r="AO109" s="8">
        <f>AN109*D109*3</f>
        <v>73.5</v>
      </c>
      <c r="AP109">
        <v>14.56</v>
      </c>
      <c r="AQ109">
        <v>9.1</v>
      </c>
      <c r="AR109">
        <f>AQ109*D109*3</f>
        <v>95.55</v>
      </c>
      <c r="AT109">
        <v>9.3000000000000007</v>
      </c>
      <c r="AU109">
        <f>AT109*D109*3</f>
        <v>97.65</v>
      </c>
      <c r="AW109">
        <v>25.09</v>
      </c>
      <c r="AX109">
        <v>9.6</v>
      </c>
      <c r="AY109">
        <f>AX109*D109*3</f>
        <v>100.80000000000001</v>
      </c>
      <c r="AZ109">
        <v>25.09</v>
      </c>
      <c r="BA109">
        <v>9.6</v>
      </c>
      <c r="BB109">
        <f>BA109*D109*3</f>
        <v>100.80000000000001</v>
      </c>
      <c r="BD109">
        <v>8.9</v>
      </c>
      <c r="BE109">
        <f>BD109*D109*3</f>
        <v>93.45</v>
      </c>
      <c r="BG109" s="10"/>
      <c r="BH109" s="1">
        <f>CHOOSE(MATCH(MIN(ABS(BP109-C109),ABS(BQ109-C109),ABS(BR109-C109)),CHOOSE({1;2;3},ABS(BP109-C109),ABS(BQ109-C109),ABS(BR109-C109)),0),BP109,BQ109,BR109)</f>
        <v>89.25</v>
      </c>
      <c r="BJ109" s="1" cm="1">
        <f t="array" ref="BJ109">(INDEX(_xlfn._xlws.SORT(CHOOSE({1;2;3;4;5;6},BQ109,BR109,L109,AE109,BO109,BP109)),3) + INDEX(_xlfn._xlws.SORT(CHOOSE({1;2;3;4;5;6},BQ109,BR109,L109,AE109,BO109,BP109)),4))/2</f>
        <v>85.3125</v>
      </c>
      <c r="BK109">
        <v>8.0998329883838895</v>
      </c>
      <c r="BL109" t="s">
        <v>6117</v>
      </c>
      <c r="BM109" s="1">
        <f>BK109*3*D109</f>
        <v>85.048246378030854</v>
      </c>
      <c r="BN109" s="1">
        <f>BM109-C109</f>
        <v>-0.70175362196914648</v>
      </c>
      <c r="BO109" s="1">
        <f>GK109*3*D109</f>
        <v>82.424999999999997</v>
      </c>
      <c r="BP109" s="1">
        <f>DO109*3*D109</f>
        <v>94.5</v>
      </c>
      <c r="BQ109" s="1">
        <f>FJ109*3*D109</f>
        <v>68.25</v>
      </c>
      <c r="BR109" s="1">
        <f>GL109*3*D109</f>
        <v>89.25</v>
      </c>
      <c r="BT109">
        <v>35.81</v>
      </c>
      <c r="BU109">
        <v>8.1999999999999993</v>
      </c>
      <c r="BV109" t="s">
        <v>5367</v>
      </c>
      <c r="BW109" t="s">
        <v>5056</v>
      </c>
      <c r="BX109" t="s">
        <v>5057</v>
      </c>
      <c r="BY109" t="s">
        <v>5368</v>
      </c>
      <c r="BZ109" t="s">
        <v>5084</v>
      </c>
      <c r="CA109" t="s">
        <v>2506</v>
      </c>
      <c r="CC109" t="s">
        <v>2507</v>
      </c>
      <c r="CD109" t="s">
        <v>2508</v>
      </c>
      <c r="CE109" t="s">
        <v>2440</v>
      </c>
      <c r="CG109" t="s">
        <v>2509</v>
      </c>
      <c r="CH109" t="s">
        <v>2510</v>
      </c>
      <c r="CI109" t="s">
        <v>2443</v>
      </c>
      <c r="CK109" t="s">
        <v>2511</v>
      </c>
      <c r="CL109" t="s">
        <v>2512</v>
      </c>
      <c r="CM109" t="s">
        <v>2446</v>
      </c>
      <c r="CO109" t="s">
        <v>2513</v>
      </c>
      <c r="CP109" t="s">
        <v>2514</v>
      </c>
      <c r="CQ109" t="s">
        <v>2449</v>
      </c>
      <c r="CS109" t="s">
        <v>2523</v>
      </c>
      <c r="CT109" t="s">
        <v>2524</v>
      </c>
      <c r="CV109">
        <v>9</v>
      </c>
      <c r="CW109">
        <v>9</v>
      </c>
      <c r="CX109">
        <v>9</v>
      </c>
      <c r="CY109">
        <v>9</v>
      </c>
      <c r="CZ109">
        <v>9</v>
      </c>
      <c r="DA109">
        <v>0.1</v>
      </c>
      <c r="DB109">
        <v>0.1</v>
      </c>
      <c r="DC109">
        <v>0.2</v>
      </c>
      <c r="DD109">
        <v>0.3</v>
      </c>
      <c r="DE109">
        <v>0.3</v>
      </c>
      <c r="DF109">
        <v>0.9</v>
      </c>
      <c r="DG109">
        <v>0.9</v>
      </c>
      <c r="DH109">
        <v>1.8</v>
      </c>
      <c r="DI109">
        <v>2.7</v>
      </c>
      <c r="DJ109">
        <v>2.7</v>
      </c>
      <c r="DK109">
        <v>8.1999999999999993</v>
      </c>
      <c r="DL109">
        <v>0</v>
      </c>
      <c r="DM109">
        <v>8.1999999999999993</v>
      </c>
      <c r="DN109">
        <v>8.4</v>
      </c>
      <c r="DO109">
        <f>AVERAGE(CV109:CZ109)</f>
        <v>9</v>
      </c>
      <c r="DQ109" t="s">
        <v>27</v>
      </c>
      <c r="DR109" t="s">
        <v>33</v>
      </c>
      <c r="DS109" t="s">
        <v>267</v>
      </c>
      <c r="DT109" t="s">
        <v>268</v>
      </c>
      <c r="DU109" t="s">
        <v>269</v>
      </c>
      <c r="DV109" t="s">
        <v>270</v>
      </c>
      <c r="DW109" t="s">
        <v>3788</v>
      </c>
      <c r="DX109" t="s">
        <v>4385</v>
      </c>
      <c r="DY109" t="s">
        <v>4386</v>
      </c>
      <c r="DZ109" t="s">
        <v>4387</v>
      </c>
      <c r="EA109" t="s">
        <v>3934</v>
      </c>
      <c r="EB109" t="s">
        <v>4074</v>
      </c>
      <c r="EC109" t="s">
        <v>4388</v>
      </c>
      <c r="ED109" t="s">
        <v>4389</v>
      </c>
      <c r="EE109" t="s">
        <v>3937</v>
      </c>
      <c r="EF109" t="s">
        <v>4390</v>
      </c>
      <c r="EG109" t="s">
        <v>4391</v>
      </c>
      <c r="EH109" t="s">
        <v>4392</v>
      </c>
      <c r="EI109" t="s">
        <v>4096</v>
      </c>
      <c r="EJ109" t="s">
        <v>4393</v>
      </c>
      <c r="EK109" t="s">
        <v>4394</v>
      </c>
      <c r="EL109" t="s">
        <v>4395</v>
      </c>
      <c r="EM109" t="s">
        <v>4396</v>
      </c>
      <c r="EN109" t="s">
        <v>4397</v>
      </c>
      <c r="EO109" t="s">
        <v>4398</v>
      </c>
      <c r="EP109" t="s">
        <v>4399</v>
      </c>
      <c r="EQ109">
        <v>7</v>
      </c>
      <c r="ER109">
        <v>6.5</v>
      </c>
      <c r="ES109">
        <v>6.5</v>
      </c>
      <c r="ET109">
        <v>6.5</v>
      </c>
      <c r="EU109">
        <v>6.5</v>
      </c>
      <c r="EV109">
        <v>0.1</v>
      </c>
      <c r="EW109">
        <v>0.1</v>
      </c>
      <c r="EX109">
        <v>0.2</v>
      </c>
      <c r="EY109">
        <v>0.3</v>
      </c>
      <c r="EZ109">
        <v>0.3</v>
      </c>
      <c r="FA109">
        <f>EV109*EQ109</f>
        <v>0.70000000000000007</v>
      </c>
      <c r="FB109">
        <f>EW109*ER109</f>
        <v>0.65</v>
      </c>
      <c r="FC109">
        <f>EX109*ES109</f>
        <v>1.3</v>
      </c>
      <c r="FD109">
        <f>EY109*ET109</f>
        <v>1.95</v>
      </c>
      <c r="FE109">
        <f>EZ109*EU109</f>
        <v>1.95</v>
      </c>
      <c r="FF109">
        <v>20.5</v>
      </c>
      <c r="FG109">
        <v>0</v>
      </c>
      <c r="FH109">
        <v>8</v>
      </c>
      <c r="FI109">
        <f>FA109+FB109+FC109+FD109+FE109</f>
        <v>6.5500000000000007</v>
      </c>
      <c r="FJ109">
        <f>MEDIAN(EQ109:EU109)</f>
        <v>6.5</v>
      </c>
      <c r="FL109">
        <v>47.57</v>
      </c>
      <c r="FM109">
        <v>8.4</v>
      </c>
      <c r="FN109" t="s">
        <v>1117</v>
      </c>
      <c r="FO109" t="s">
        <v>1118</v>
      </c>
      <c r="FP109" t="s">
        <v>1119</v>
      </c>
      <c r="FQ109" t="s">
        <v>1120</v>
      </c>
      <c r="FR109" t="s">
        <v>1121</v>
      </c>
      <c r="FS109">
        <v>10</v>
      </c>
      <c r="FT109">
        <v>9.5</v>
      </c>
      <c r="FU109">
        <v>8.5</v>
      </c>
      <c r="FV109">
        <v>7.5</v>
      </c>
      <c r="FW109">
        <v>6.5</v>
      </c>
      <c r="FX109">
        <v>0.1</v>
      </c>
      <c r="FY109">
        <v>0.1</v>
      </c>
      <c r="FZ109">
        <v>0.2</v>
      </c>
      <c r="GA109">
        <v>0.3</v>
      </c>
      <c r="GB109">
        <v>0.3</v>
      </c>
      <c r="GC109">
        <f>FS109*FX109</f>
        <v>1</v>
      </c>
      <c r="GD109">
        <f>FT109*FY109</f>
        <v>0.95000000000000007</v>
      </c>
      <c r="GE109">
        <f>FU109*FZ109</f>
        <v>1.7000000000000002</v>
      </c>
      <c r="GF109">
        <f>FV109*GA109</f>
        <v>2.25</v>
      </c>
      <c r="GG109">
        <f>FW109*GB109</f>
        <v>1.95</v>
      </c>
      <c r="GH109">
        <v>8.4</v>
      </c>
      <c r="GJ109">
        <v>8.4</v>
      </c>
      <c r="GK109">
        <f>GC109+GD109+GE109+GF109+GG109</f>
        <v>7.8500000000000005</v>
      </c>
      <c r="GL109">
        <f>MEDIAN(FS109:FW109)</f>
        <v>8.5</v>
      </c>
    </row>
    <row r="110" spans="1:194" hidden="1" x14ac:dyDescent="0.25">
      <c r="A110">
        <v>109</v>
      </c>
      <c r="B110" t="s">
        <v>2</v>
      </c>
      <c r="C110" s="4">
        <v>94.35</v>
      </c>
      <c r="D110">
        <v>3.7</v>
      </c>
      <c r="E110" s="1">
        <f>C110/3/D110</f>
        <v>8.5</v>
      </c>
      <c r="G110">
        <v>76.069999999999993</v>
      </c>
      <c r="H110">
        <v>8.1999999999999993</v>
      </c>
      <c r="I110">
        <f>H110*D110*3</f>
        <v>91.02</v>
      </c>
      <c r="J110">
        <v>18.43</v>
      </c>
      <c r="K110">
        <v>8.4</v>
      </c>
      <c r="L110" s="3">
        <f>K110*3*D110</f>
        <v>93.240000000000009</v>
      </c>
      <c r="M110">
        <v>5.66</v>
      </c>
      <c r="N110">
        <v>4</v>
      </c>
      <c r="O110">
        <f>N110*D110*3</f>
        <v>44.400000000000006</v>
      </c>
      <c r="P110" s="5">
        <v>8.5</v>
      </c>
      <c r="Q110" s="5">
        <f>P110*D110*3</f>
        <v>94.350000000000009</v>
      </c>
      <c r="S110" t="s">
        <v>6244</v>
      </c>
      <c r="T110">
        <v>3.7</v>
      </c>
      <c r="U110" s="8">
        <f>T110*D110*3</f>
        <v>41.070000000000007</v>
      </c>
      <c r="V110">
        <v>30.01</v>
      </c>
      <c r="W110">
        <v>8.4</v>
      </c>
      <c r="X110" s="5">
        <f>W110*D110*3</f>
        <v>93.240000000000009</v>
      </c>
      <c r="Y110">
        <v>8.76</v>
      </c>
      <c r="Z110">
        <v>6</v>
      </c>
      <c r="AA110">
        <f>Z110*D110*3</f>
        <v>66.600000000000009</v>
      </c>
      <c r="AC110">
        <v>51.89</v>
      </c>
      <c r="AD110">
        <v>8</v>
      </c>
      <c r="AE110" s="1">
        <f>AD110*3*D110</f>
        <v>88.800000000000011</v>
      </c>
      <c r="AF110">
        <v>10.32</v>
      </c>
      <c r="AH110" s="5">
        <f>AG110*D110*3</f>
        <v>0</v>
      </c>
      <c r="AI110" s="13"/>
      <c r="AK110" s="8">
        <f>AJ110*D110*3</f>
        <v>0</v>
      </c>
      <c r="AL110" s="13"/>
      <c r="AM110">
        <v>30.86</v>
      </c>
      <c r="AN110">
        <v>7.6</v>
      </c>
      <c r="AO110" s="8">
        <f>AN110*D110*3</f>
        <v>84.36</v>
      </c>
      <c r="AP110">
        <v>14.77</v>
      </c>
      <c r="AQ110">
        <v>10</v>
      </c>
      <c r="AR110">
        <f>AQ110*D110*3</f>
        <v>111</v>
      </c>
      <c r="AT110">
        <v>9</v>
      </c>
      <c r="AU110">
        <f>AT110*D110*3</f>
        <v>99.9</v>
      </c>
      <c r="AW110">
        <v>23.47</v>
      </c>
      <c r="AX110">
        <v>8.1999999999999993</v>
      </c>
      <c r="AY110">
        <f>AX110*D110*3</f>
        <v>91.02</v>
      </c>
      <c r="AZ110">
        <v>23.47</v>
      </c>
      <c r="BA110">
        <v>9</v>
      </c>
      <c r="BB110">
        <f>BA110*D110*3</f>
        <v>99.9</v>
      </c>
      <c r="BD110">
        <v>9</v>
      </c>
      <c r="BE110">
        <f>BD110*D110*3</f>
        <v>99.9</v>
      </c>
      <c r="BG110" s="10"/>
      <c r="BH110" s="1">
        <f>CHOOSE(MATCH(MIN(ABS(BP110-C110),ABS(BQ110-C110),ABS(BR110-C110)),CHOOSE({1;2;3},ABS(BP110-C110),ABS(BQ110-C110),ABS(BR110-C110)),0),BP110,BQ110,BR110)</f>
        <v>88.800000000000011</v>
      </c>
      <c r="BJ110" s="1" cm="1">
        <f t="array" ref="BJ110">(INDEX(_xlfn._xlws.SORT(CHOOSE({1;2;3;4;5;6},BQ110,BR110,L110,AE110,BO110,BP110)),3) + INDEX(_xlfn._xlws.SORT(CHOOSE({1;2;3;4;5;6},BQ110,BR110,L110,AE110,BO110,BP110)),4))/2</f>
        <v>95.460000000000008</v>
      </c>
      <c r="BK110">
        <v>8.4307695414786696</v>
      </c>
      <c r="BL110" t="s">
        <v>6117</v>
      </c>
      <c r="BM110" s="1">
        <f>BK110*3*D110</f>
        <v>93.58154191041325</v>
      </c>
      <c r="BN110" s="1">
        <f>BM110-C110</f>
        <v>-0.76845808958674411</v>
      </c>
      <c r="BO110" s="1">
        <f>GK110*3*D110</f>
        <v>97.68</v>
      </c>
      <c r="BP110" s="1">
        <f>DO110*3*D110</f>
        <v>99.9</v>
      </c>
      <c r="BQ110" s="1">
        <f>FJ110*3*D110</f>
        <v>88.800000000000011</v>
      </c>
      <c r="BR110" s="1">
        <f>GL110*3*D110</f>
        <v>111</v>
      </c>
      <c r="BT110">
        <v>76.069999999999993</v>
      </c>
      <c r="BU110">
        <v>8.1999999999999993</v>
      </c>
      <c r="BV110" t="s">
        <v>4986</v>
      </c>
      <c r="BW110" t="s">
        <v>4987</v>
      </c>
      <c r="BX110" t="s">
        <v>5369</v>
      </c>
      <c r="BY110" t="s">
        <v>5370</v>
      </c>
      <c r="BZ110" t="s">
        <v>5371</v>
      </c>
      <c r="CA110" t="s">
        <v>2550</v>
      </c>
      <c r="CC110" t="s">
        <v>2634</v>
      </c>
      <c r="CD110" t="s">
        <v>2635</v>
      </c>
      <c r="CE110" t="s">
        <v>2565</v>
      </c>
      <c r="CG110" t="s">
        <v>2636</v>
      </c>
      <c r="CH110" t="s">
        <v>2637</v>
      </c>
      <c r="CI110" t="s">
        <v>2496</v>
      </c>
      <c r="CK110" t="s">
        <v>2927</v>
      </c>
      <c r="CL110" t="s">
        <v>2928</v>
      </c>
      <c r="CM110" t="s">
        <v>2670</v>
      </c>
      <c r="CO110" t="s">
        <v>2929</v>
      </c>
      <c r="CP110" t="s">
        <v>2869</v>
      </c>
      <c r="CQ110" t="s">
        <v>2630</v>
      </c>
      <c r="CR110" t="s">
        <v>2561</v>
      </c>
      <c r="CS110" t="s">
        <v>2645</v>
      </c>
      <c r="CT110" t="s">
        <v>2930</v>
      </c>
      <c r="CV110">
        <v>9</v>
      </c>
      <c r="CW110">
        <v>9</v>
      </c>
      <c r="CX110">
        <v>9</v>
      </c>
      <c r="CY110">
        <v>9</v>
      </c>
      <c r="CZ110">
        <v>9</v>
      </c>
      <c r="DA110">
        <v>0.1</v>
      </c>
      <c r="DB110">
        <v>0.1</v>
      </c>
      <c r="DC110">
        <v>0.2</v>
      </c>
      <c r="DD110">
        <v>0.3</v>
      </c>
      <c r="DE110">
        <v>0.3</v>
      </c>
      <c r="DF110">
        <v>0.9</v>
      </c>
      <c r="DG110">
        <v>0.9</v>
      </c>
      <c r="DH110">
        <v>1.8</v>
      </c>
      <c r="DI110">
        <v>2.7</v>
      </c>
      <c r="DJ110">
        <v>2.7</v>
      </c>
      <c r="DK110">
        <v>8.1999999999999993</v>
      </c>
      <c r="DL110">
        <v>0</v>
      </c>
      <c r="DM110">
        <v>8.1999999999999993</v>
      </c>
      <c r="DN110">
        <v>8.4</v>
      </c>
      <c r="DO110">
        <f>AVERAGE(CV110:CZ110)</f>
        <v>9</v>
      </c>
      <c r="DQ110">
        <v>9</v>
      </c>
      <c r="DR110" t="s">
        <v>33</v>
      </c>
      <c r="DS110" t="s">
        <v>271</v>
      </c>
      <c r="DT110" t="s">
        <v>272</v>
      </c>
      <c r="DU110" t="s">
        <v>273</v>
      </c>
      <c r="DV110" t="s">
        <v>274</v>
      </c>
      <c r="DW110" t="s">
        <v>3788</v>
      </c>
      <c r="DX110" t="s">
        <v>4311</v>
      </c>
      <c r="DY110" t="s">
        <v>4400</v>
      </c>
      <c r="DZ110" t="s">
        <v>4401</v>
      </c>
      <c r="EA110" t="s">
        <v>4402</v>
      </c>
      <c r="EB110" t="s">
        <v>4403</v>
      </c>
      <c r="EC110" t="s">
        <v>4403</v>
      </c>
      <c r="ED110" t="s">
        <v>4404</v>
      </c>
      <c r="EE110" t="s">
        <v>4405</v>
      </c>
      <c r="EF110" t="s">
        <v>4406</v>
      </c>
      <c r="EG110" t="s">
        <v>4406</v>
      </c>
      <c r="EH110" t="s">
        <v>4407</v>
      </c>
      <c r="EI110" t="s">
        <v>4408</v>
      </c>
      <c r="EJ110" t="s">
        <v>4409</v>
      </c>
      <c r="EK110" t="s">
        <v>4409</v>
      </c>
      <c r="EL110" t="s">
        <v>4410</v>
      </c>
      <c r="EM110" t="s">
        <v>4411</v>
      </c>
      <c r="EN110" t="s">
        <v>4412</v>
      </c>
      <c r="EO110" t="s">
        <v>4412</v>
      </c>
      <c r="EP110" t="s">
        <v>4413</v>
      </c>
      <c r="EQ110">
        <v>8</v>
      </c>
      <c r="ER110">
        <v>8</v>
      </c>
      <c r="ES110">
        <v>8</v>
      </c>
      <c r="ET110">
        <v>8</v>
      </c>
      <c r="EU110">
        <v>8</v>
      </c>
      <c r="EV110">
        <v>0.1</v>
      </c>
      <c r="EW110">
        <v>0.1</v>
      </c>
      <c r="EX110">
        <v>0.2</v>
      </c>
      <c r="EY110">
        <v>0.3</v>
      </c>
      <c r="EZ110">
        <v>0.3</v>
      </c>
      <c r="FA110">
        <f>EV110*EQ110</f>
        <v>0.8</v>
      </c>
      <c r="FB110">
        <f>EW110*ER110</f>
        <v>0.8</v>
      </c>
      <c r="FC110">
        <f>EX110*ES110</f>
        <v>1.6</v>
      </c>
      <c r="FD110">
        <f>EY110*ET110</f>
        <v>2.4</v>
      </c>
      <c r="FE110">
        <f>EZ110*EU110</f>
        <v>2.4</v>
      </c>
      <c r="FF110">
        <v>16</v>
      </c>
      <c r="FG110">
        <v>0</v>
      </c>
      <c r="FH110">
        <v>9</v>
      </c>
      <c r="FI110">
        <f>FA110+FB110+FC110+FD110+FE110</f>
        <v>8</v>
      </c>
      <c r="FJ110">
        <f>MEDIAN(EQ110:EU110)</f>
        <v>8</v>
      </c>
      <c r="FL110">
        <v>70.489999999999995</v>
      </c>
      <c r="FM110">
        <v>9.8000000000000007</v>
      </c>
      <c r="FN110" t="s">
        <v>667</v>
      </c>
      <c r="FO110" t="s">
        <v>990</v>
      </c>
      <c r="FP110" t="s">
        <v>1122</v>
      </c>
      <c r="FQ110" t="s">
        <v>1123</v>
      </c>
      <c r="FR110" t="s">
        <v>1124</v>
      </c>
      <c r="FS110">
        <v>10</v>
      </c>
      <c r="FT110">
        <v>10</v>
      </c>
      <c r="FU110">
        <v>10</v>
      </c>
      <c r="FV110">
        <v>8.5</v>
      </c>
      <c r="FW110">
        <v>7.5</v>
      </c>
      <c r="FX110">
        <v>0.1</v>
      </c>
      <c r="FY110">
        <v>0.1</v>
      </c>
      <c r="FZ110">
        <v>0.2</v>
      </c>
      <c r="GA110">
        <v>0.3</v>
      </c>
      <c r="GB110">
        <v>0.3</v>
      </c>
      <c r="GC110">
        <f>FS110*FX110</f>
        <v>1</v>
      </c>
      <c r="GD110">
        <f>FT110*FY110</f>
        <v>1</v>
      </c>
      <c r="GE110">
        <f>FU110*FZ110</f>
        <v>2</v>
      </c>
      <c r="GF110">
        <f>FV110*GA110</f>
        <v>2.5499999999999998</v>
      </c>
      <c r="GG110">
        <f>FW110*GB110</f>
        <v>2.25</v>
      </c>
      <c r="GH110">
        <v>9.85</v>
      </c>
      <c r="GI110">
        <v>0.2</v>
      </c>
      <c r="GJ110">
        <v>9.8000000000000007</v>
      </c>
      <c r="GK110">
        <f>GC110+GD110+GE110+GF110+GG110</f>
        <v>8.8000000000000007</v>
      </c>
      <c r="GL110">
        <f>MEDIAN(FS110:FW110)</f>
        <v>10</v>
      </c>
    </row>
    <row r="111" spans="1:194" hidden="1" x14ac:dyDescent="0.25">
      <c r="A111">
        <v>110</v>
      </c>
      <c r="B111" t="s">
        <v>2</v>
      </c>
      <c r="C111" s="4">
        <v>86.4</v>
      </c>
      <c r="D111">
        <v>3.2</v>
      </c>
      <c r="E111" s="1">
        <f>C111/3/D111</f>
        <v>9</v>
      </c>
      <c r="G111">
        <v>36.74</v>
      </c>
      <c r="H111">
        <v>8</v>
      </c>
      <c r="I111">
        <f>H111*D111*3</f>
        <v>76.800000000000011</v>
      </c>
      <c r="J111">
        <v>18.100000000000001</v>
      </c>
      <c r="K111">
        <v>9</v>
      </c>
      <c r="L111" s="3">
        <f>K111*3*D111</f>
        <v>86.4</v>
      </c>
      <c r="M111">
        <v>16.809999999999999</v>
      </c>
      <c r="O111">
        <f>N111*D111*3</f>
        <v>0</v>
      </c>
      <c r="P111" s="5">
        <v>7</v>
      </c>
      <c r="Q111" s="5">
        <f>P111*D111*3</f>
        <v>67.2</v>
      </c>
      <c r="S111" t="s">
        <v>6245</v>
      </c>
      <c r="T111">
        <v>7.5</v>
      </c>
      <c r="U111" s="8">
        <f>T111*D111*3</f>
        <v>72</v>
      </c>
      <c r="V111">
        <v>30.55</v>
      </c>
      <c r="W111">
        <v>8.5</v>
      </c>
      <c r="X111" s="5">
        <f>W111*D111*3</f>
        <v>81.600000000000009</v>
      </c>
      <c r="Y111">
        <v>12.51</v>
      </c>
      <c r="Z111">
        <v>7.8</v>
      </c>
      <c r="AA111">
        <f>Z111*D111*3</f>
        <v>74.88</v>
      </c>
      <c r="AC111">
        <v>47.6</v>
      </c>
      <c r="AD111">
        <v>8</v>
      </c>
      <c r="AE111" s="1">
        <f>AD111*3*D111</f>
        <v>76.800000000000011</v>
      </c>
      <c r="AF111">
        <v>12.28</v>
      </c>
      <c r="AG111" s="5">
        <v>7</v>
      </c>
      <c r="AH111" s="5">
        <f>AG111*D111*3</f>
        <v>67.2</v>
      </c>
      <c r="AI111" s="13"/>
      <c r="AK111" s="8">
        <f>AJ111*D111*3</f>
        <v>0</v>
      </c>
      <c r="AL111" s="13"/>
      <c r="AM111">
        <v>31.21</v>
      </c>
      <c r="AN111">
        <v>7.3</v>
      </c>
      <c r="AO111" s="8">
        <f>AN111*D111*3</f>
        <v>70.08</v>
      </c>
      <c r="AP111">
        <v>14.85</v>
      </c>
      <c r="AQ111">
        <v>9.5</v>
      </c>
      <c r="AR111">
        <f>AQ111*D111*3</f>
        <v>91.2</v>
      </c>
      <c r="AT111">
        <v>9</v>
      </c>
      <c r="AU111">
        <f>AT111*D111*3</f>
        <v>86.4</v>
      </c>
      <c r="AW111">
        <v>25.07</v>
      </c>
      <c r="AX111">
        <v>9.9</v>
      </c>
      <c r="AY111">
        <f>AX111*D111*3</f>
        <v>95.04</v>
      </c>
      <c r="AZ111">
        <v>25.07</v>
      </c>
      <c r="BA111">
        <v>7.4</v>
      </c>
      <c r="BB111">
        <f>BA111*D111*3</f>
        <v>71.040000000000006</v>
      </c>
      <c r="BD111">
        <v>8.4</v>
      </c>
      <c r="BE111">
        <f>BD111*D111*3</f>
        <v>80.640000000000015</v>
      </c>
      <c r="BG111" s="10"/>
      <c r="BH111" s="1">
        <f>CHOOSE(MATCH(MIN(ABS(BP111-C111),ABS(BQ111-C111),ABS(BR111-C111)),CHOOSE({1;2;3},ABS(BP111-C111),ABS(BQ111-C111),ABS(BR111-C111)),0),BP111,BQ111,BR111)</f>
        <v>86.4</v>
      </c>
      <c r="BJ111" s="1" cm="1">
        <f t="array" ref="BJ111">(INDEX(_xlfn._xlws.SORT(CHOOSE({1;2;3;4;5;6},BQ111,BR111,L111,AE111,BO111,BP111)),3) + INDEX(_xlfn._xlws.SORT(CHOOSE({1;2;3;4;5;6},BQ111,BR111,L111,AE111,BO111,BP111)),4))/2</f>
        <v>76.800000000000011</v>
      </c>
      <c r="BK111">
        <v>8.9704518844240901</v>
      </c>
      <c r="BL111" t="s">
        <v>6117</v>
      </c>
      <c r="BM111" s="1">
        <f>BK111*3*D111</f>
        <v>86.116338090471274</v>
      </c>
      <c r="BN111" s="1">
        <f>BM111-C111</f>
        <v>-0.28366190952873183</v>
      </c>
      <c r="BO111" s="1">
        <f>GK111*3*D111</f>
        <v>57.120000000000005</v>
      </c>
      <c r="BP111" s="1">
        <f>DO111*3*D111</f>
        <v>86.4</v>
      </c>
      <c r="BQ111" s="1">
        <f>FJ111*3*D111</f>
        <v>76.800000000000011</v>
      </c>
      <c r="BR111" s="1">
        <f>GL111*3*D111</f>
        <v>57.6</v>
      </c>
      <c r="BT111">
        <v>36.74</v>
      </c>
      <c r="BU111">
        <v>8</v>
      </c>
      <c r="BV111" t="s">
        <v>5114</v>
      </c>
      <c r="BW111" t="s">
        <v>5288</v>
      </c>
      <c r="BX111" t="s">
        <v>5372</v>
      </c>
      <c r="BY111" t="s">
        <v>5112</v>
      </c>
      <c r="BZ111" t="s">
        <v>5373</v>
      </c>
      <c r="CA111" t="s">
        <v>2437</v>
      </c>
      <c r="CC111" t="s">
        <v>2438</v>
      </c>
      <c r="CD111" t="s">
        <v>2439</v>
      </c>
      <c r="CE111" t="s">
        <v>2440</v>
      </c>
      <c r="CG111" t="s">
        <v>2441</v>
      </c>
      <c r="CH111" t="s">
        <v>2442</v>
      </c>
      <c r="CI111" t="s">
        <v>2535</v>
      </c>
      <c r="CK111" t="s">
        <v>2444</v>
      </c>
      <c r="CL111" t="s">
        <v>2445</v>
      </c>
      <c r="CM111" t="s">
        <v>2446</v>
      </c>
      <c r="CO111" t="s">
        <v>2447</v>
      </c>
      <c r="CP111" t="s">
        <v>2448</v>
      </c>
      <c r="CQ111" t="s">
        <v>2666</v>
      </c>
      <c r="CS111" t="s">
        <v>2450</v>
      </c>
      <c r="CT111" t="s">
        <v>2451</v>
      </c>
      <c r="CV111">
        <v>9</v>
      </c>
      <c r="CW111">
        <v>9</v>
      </c>
      <c r="CX111">
        <v>9</v>
      </c>
      <c r="CY111">
        <v>9</v>
      </c>
      <c r="CZ111">
        <v>9</v>
      </c>
      <c r="DA111">
        <v>0.1</v>
      </c>
      <c r="DB111">
        <v>0.1</v>
      </c>
      <c r="DC111">
        <v>0.2</v>
      </c>
      <c r="DD111">
        <v>0.3</v>
      </c>
      <c r="DE111">
        <v>0.3</v>
      </c>
      <c r="DF111">
        <v>0.9</v>
      </c>
      <c r="DG111">
        <v>0.9</v>
      </c>
      <c r="DH111">
        <v>1.8</v>
      </c>
      <c r="DI111">
        <v>2.7</v>
      </c>
      <c r="DJ111">
        <v>2.7</v>
      </c>
      <c r="DK111">
        <v>8</v>
      </c>
      <c r="DL111">
        <v>0</v>
      </c>
      <c r="DM111">
        <v>8</v>
      </c>
      <c r="DN111">
        <v>9</v>
      </c>
      <c r="DO111">
        <f>AVERAGE(CV111:CZ111)</f>
        <v>9</v>
      </c>
      <c r="DQ111">
        <v>8</v>
      </c>
      <c r="DR111" t="s">
        <v>33</v>
      </c>
      <c r="DS111" t="s">
        <v>275</v>
      </c>
      <c r="DT111" t="s">
        <v>276</v>
      </c>
      <c r="DU111" t="s">
        <v>277</v>
      </c>
      <c r="DV111" t="s">
        <v>278</v>
      </c>
      <c r="DW111" t="s">
        <v>3788</v>
      </c>
      <c r="DX111" t="s">
        <v>3789</v>
      </c>
      <c r="DY111" t="s">
        <v>4004</v>
      </c>
      <c r="DZ111" t="s">
        <v>4005</v>
      </c>
      <c r="EA111" t="s">
        <v>4006</v>
      </c>
      <c r="EB111" t="s">
        <v>3793</v>
      </c>
      <c r="EC111" t="s">
        <v>4414</v>
      </c>
      <c r="ED111" t="s">
        <v>4005</v>
      </c>
      <c r="EE111" t="s">
        <v>4008</v>
      </c>
      <c r="EF111" t="s">
        <v>3797</v>
      </c>
      <c r="EG111" t="s">
        <v>4415</v>
      </c>
      <c r="EH111" t="s">
        <v>4005</v>
      </c>
      <c r="EI111" t="s">
        <v>4379</v>
      </c>
      <c r="EJ111" t="s">
        <v>3800</v>
      </c>
      <c r="EK111" t="s">
        <v>4416</v>
      </c>
      <c r="EL111" t="s">
        <v>4005</v>
      </c>
      <c r="EM111" t="s">
        <v>4417</v>
      </c>
      <c r="EN111" t="s">
        <v>3803</v>
      </c>
      <c r="EO111" t="s">
        <v>4418</v>
      </c>
      <c r="EP111" t="s">
        <v>4005</v>
      </c>
      <c r="EQ111">
        <v>8</v>
      </c>
      <c r="ER111">
        <v>8</v>
      </c>
      <c r="ES111">
        <v>8</v>
      </c>
      <c r="ET111">
        <v>8</v>
      </c>
      <c r="EU111">
        <v>8</v>
      </c>
      <c r="EV111">
        <v>0.1</v>
      </c>
      <c r="EW111">
        <v>0.1</v>
      </c>
      <c r="EX111">
        <v>0.2</v>
      </c>
      <c r="EY111">
        <v>0.3</v>
      </c>
      <c r="EZ111">
        <v>0.3</v>
      </c>
      <c r="FA111">
        <f>EV111*EQ111</f>
        <v>0.8</v>
      </c>
      <c r="FB111">
        <f>EW111*ER111</f>
        <v>0.8</v>
      </c>
      <c r="FC111">
        <f>EX111*ES111</f>
        <v>1.6</v>
      </c>
      <c r="FD111">
        <f>EY111*ET111</f>
        <v>2.4</v>
      </c>
      <c r="FE111">
        <f>EZ111*EU111</f>
        <v>2.4</v>
      </c>
      <c r="FF111">
        <v>16</v>
      </c>
      <c r="FG111">
        <v>0</v>
      </c>
      <c r="FH111">
        <v>8</v>
      </c>
      <c r="FI111">
        <f>FA111+FB111+FC111+FD111+FE111</f>
        <v>8</v>
      </c>
      <c r="FJ111">
        <f>MEDIAN(EQ111:EU111)</f>
        <v>8</v>
      </c>
      <c r="FL111">
        <v>40.75</v>
      </c>
      <c r="FM111">
        <v>6.2</v>
      </c>
      <c r="FN111" t="s">
        <v>1125</v>
      </c>
      <c r="FO111" t="s">
        <v>1126</v>
      </c>
      <c r="FP111" t="s">
        <v>1127</v>
      </c>
      <c r="FQ111" t="s">
        <v>1128</v>
      </c>
      <c r="FR111" t="s">
        <v>1129</v>
      </c>
      <c r="FS111">
        <v>6</v>
      </c>
      <c r="FT111">
        <v>5.5</v>
      </c>
      <c r="FU111">
        <v>4.5</v>
      </c>
      <c r="FV111">
        <v>7</v>
      </c>
      <c r="FW111">
        <v>6</v>
      </c>
      <c r="FX111">
        <v>0.1</v>
      </c>
      <c r="FY111">
        <v>0.1</v>
      </c>
      <c r="FZ111">
        <v>0.2</v>
      </c>
      <c r="GA111">
        <v>0.3</v>
      </c>
      <c r="GB111">
        <v>0.3</v>
      </c>
      <c r="GC111">
        <f>FS111*FX111</f>
        <v>0.60000000000000009</v>
      </c>
      <c r="GD111">
        <f>FT111*FY111</f>
        <v>0.55000000000000004</v>
      </c>
      <c r="GE111">
        <f>FU111*FZ111</f>
        <v>0.9</v>
      </c>
      <c r="GF111">
        <f>FV111*GA111</f>
        <v>2.1</v>
      </c>
      <c r="GG111">
        <f>FW111*GB111</f>
        <v>1.7999999999999998</v>
      </c>
      <c r="GH111">
        <v>6.2</v>
      </c>
      <c r="GJ111">
        <v>6.2</v>
      </c>
      <c r="GK111">
        <f>GC111+GD111+GE111+GF111+GG111</f>
        <v>5.95</v>
      </c>
      <c r="GL111">
        <f>MEDIAN(FS111:FW111)</f>
        <v>6</v>
      </c>
    </row>
    <row r="112" spans="1:194" hidden="1" x14ac:dyDescent="0.25">
      <c r="A112">
        <v>111</v>
      </c>
      <c r="B112" t="s">
        <v>2</v>
      </c>
      <c r="C112" s="4">
        <v>72</v>
      </c>
      <c r="D112">
        <v>3</v>
      </c>
      <c r="E112" s="1">
        <f>C112/3/D112</f>
        <v>8</v>
      </c>
      <c r="G112">
        <v>79.17</v>
      </c>
      <c r="H112">
        <v>9.6</v>
      </c>
      <c r="I112">
        <f>H112*D112*3</f>
        <v>86.399999999999991</v>
      </c>
      <c r="J112">
        <v>18.2</v>
      </c>
      <c r="K112">
        <v>9</v>
      </c>
      <c r="L112" s="3">
        <f>K112*3*D112</f>
        <v>81</v>
      </c>
      <c r="M112">
        <v>4.75</v>
      </c>
      <c r="N112">
        <v>3</v>
      </c>
      <c r="O112">
        <f>N112*D112*3</f>
        <v>27</v>
      </c>
      <c r="P112" s="5">
        <v>7.6</v>
      </c>
      <c r="Q112" s="5">
        <f>P112*D112*3</f>
        <v>68.399999999999991</v>
      </c>
      <c r="S112" t="s">
        <v>6246</v>
      </c>
      <c r="T112">
        <v>6.2</v>
      </c>
      <c r="U112" s="8">
        <f>T112*D112*3</f>
        <v>55.800000000000004</v>
      </c>
      <c r="V112">
        <v>31.93</v>
      </c>
      <c r="W112">
        <v>8.4</v>
      </c>
      <c r="X112" s="5">
        <f>W112*D112*3</f>
        <v>75.600000000000009</v>
      </c>
      <c r="Y112">
        <v>12.03</v>
      </c>
      <c r="Z112">
        <v>6.8</v>
      </c>
      <c r="AA112">
        <f>Z112*D112*3</f>
        <v>61.199999999999996</v>
      </c>
      <c r="AC112">
        <v>52.21</v>
      </c>
      <c r="AD112">
        <v>5.8</v>
      </c>
      <c r="AE112" s="1">
        <f>AD112*3*D112</f>
        <v>52.199999999999996</v>
      </c>
      <c r="AF112">
        <v>11.84</v>
      </c>
      <c r="AG112" s="5">
        <v>7</v>
      </c>
      <c r="AH112" s="5">
        <f>AG112*D112*3</f>
        <v>63</v>
      </c>
      <c r="AI112" s="13"/>
      <c r="AJ112">
        <v>27</v>
      </c>
      <c r="AK112" s="8">
        <f>AJ112*D112*3</f>
        <v>243</v>
      </c>
      <c r="AL112" s="13"/>
      <c r="AM112">
        <v>30.32</v>
      </c>
      <c r="AN112">
        <v>7.5</v>
      </c>
      <c r="AO112" s="8">
        <f>AN112*D112*3</f>
        <v>67.5</v>
      </c>
      <c r="AP112">
        <v>11.08</v>
      </c>
      <c r="AQ112">
        <v>10</v>
      </c>
      <c r="AR112">
        <f>AQ112*D112*3</f>
        <v>90</v>
      </c>
      <c r="AT112">
        <v>9</v>
      </c>
      <c r="AU112">
        <f>AT112*D112*3</f>
        <v>81</v>
      </c>
      <c r="AW112">
        <v>25.66</v>
      </c>
      <c r="AX112">
        <v>9.9</v>
      </c>
      <c r="AY112">
        <f>AX112*D112*3</f>
        <v>89.100000000000009</v>
      </c>
      <c r="AZ112">
        <v>25.66</v>
      </c>
      <c r="BA112">
        <v>9.4</v>
      </c>
      <c r="BB112">
        <f>BA112*D112*3</f>
        <v>84.600000000000009</v>
      </c>
      <c r="BD112">
        <v>8.5</v>
      </c>
      <c r="BE112">
        <f>BD112*D112*3</f>
        <v>76.5</v>
      </c>
      <c r="BG112" s="10"/>
      <c r="BH112" s="1">
        <f>CHOOSE(MATCH(MIN(ABS(BP112-C112),ABS(BQ112-C112),ABS(BR112-C112)),CHOOSE({1;2;3},ABS(BP112-C112),ABS(BQ112-C112),ABS(BR112-C112)),0),BP112,BQ112,BR112)</f>
        <v>84.600000000000009</v>
      </c>
      <c r="BJ112" s="1" cm="1">
        <f t="array" ref="BJ112">(INDEX(_xlfn._xlws.SORT(CHOOSE({1;2;3;4;5;6},BQ112,BR112,L112,AE112,BO112,BP112)),3) + INDEX(_xlfn._xlws.SORT(CHOOSE({1;2;3;4;5;6},BQ112,BR112,L112,AE112,BO112,BP112)),4))/2</f>
        <v>53.099999999999994</v>
      </c>
      <c r="BK112">
        <v>8.0231055332747498</v>
      </c>
      <c r="BL112" t="s">
        <v>6117</v>
      </c>
      <c r="BM112" s="1">
        <f>BK112*3*D112</f>
        <v>72.207949799472743</v>
      </c>
      <c r="BN112" s="1">
        <f>BM112-C112</f>
        <v>0.20794979947274328</v>
      </c>
      <c r="BO112" s="1">
        <f>GK112*3*D112</f>
        <v>47.25</v>
      </c>
      <c r="BP112" s="1">
        <f>DO112*3*D112</f>
        <v>84.600000000000009</v>
      </c>
      <c r="BQ112" s="1">
        <f>FJ112*3*D112</f>
        <v>54</v>
      </c>
      <c r="BR112" s="1">
        <f>GL112*3*D112</f>
        <v>36</v>
      </c>
      <c r="BT112">
        <v>79.17</v>
      </c>
      <c r="BU112">
        <v>9.6</v>
      </c>
      <c r="BV112" t="s">
        <v>5374</v>
      </c>
      <c r="BW112" t="s">
        <v>5375</v>
      </c>
      <c r="BX112" t="s">
        <v>5376</v>
      </c>
      <c r="BY112" t="s">
        <v>5377</v>
      </c>
      <c r="BZ112" t="s">
        <v>5378</v>
      </c>
      <c r="CA112" t="s">
        <v>2723</v>
      </c>
      <c r="CC112" t="s">
        <v>3046</v>
      </c>
      <c r="CD112" t="s">
        <v>2894</v>
      </c>
      <c r="CE112" t="s">
        <v>2440</v>
      </c>
      <c r="CG112" t="s">
        <v>3047</v>
      </c>
      <c r="CH112" t="s">
        <v>2896</v>
      </c>
      <c r="CI112" t="s">
        <v>2897</v>
      </c>
      <c r="CK112" t="s">
        <v>3048</v>
      </c>
      <c r="CL112" t="s">
        <v>2899</v>
      </c>
      <c r="CM112" t="s">
        <v>2900</v>
      </c>
      <c r="CO112" t="s">
        <v>3049</v>
      </c>
      <c r="CP112" t="s">
        <v>2902</v>
      </c>
      <c r="CQ112" t="s">
        <v>3050</v>
      </c>
      <c r="CS112" t="s">
        <v>3051</v>
      </c>
      <c r="CT112" t="s">
        <v>2904</v>
      </c>
      <c r="CV112">
        <v>9</v>
      </c>
      <c r="CW112">
        <v>9</v>
      </c>
      <c r="CX112">
        <v>9</v>
      </c>
      <c r="CY112">
        <v>10</v>
      </c>
      <c r="CZ112">
        <v>10</v>
      </c>
      <c r="DA112">
        <v>0.1</v>
      </c>
      <c r="DB112">
        <v>0.1</v>
      </c>
      <c r="DC112">
        <v>0.2</v>
      </c>
      <c r="DD112">
        <v>0.3</v>
      </c>
      <c r="DE112">
        <v>0.3</v>
      </c>
      <c r="DF112">
        <v>0.9</v>
      </c>
      <c r="DG112">
        <v>0.9</v>
      </c>
      <c r="DH112">
        <v>1.8</v>
      </c>
      <c r="DI112">
        <v>3</v>
      </c>
      <c r="DJ112">
        <v>3</v>
      </c>
      <c r="DK112">
        <v>9.6</v>
      </c>
      <c r="DL112">
        <v>0</v>
      </c>
      <c r="DM112">
        <v>9.6</v>
      </c>
      <c r="DN112">
        <v>9</v>
      </c>
      <c r="DO112">
        <f>AVERAGE(CV112:CZ112)</f>
        <v>9.4</v>
      </c>
      <c r="DQ112">
        <v>15</v>
      </c>
      <c r="DR112" t="s">
        <v>173</v>
      </c>
      <c r="DS112" t="s">
        <v>174</v>
      </c>
      <c r="DT112" t="s">
        <v>175</v>
      </c>
      <c r="DU112" t="s">
        <v>176</v>
      </c>
      <c r="DV112" t="s">
        <v>177</v>
      </c>
      <c r="DW112" t="s">
        <v>3911</v>
      </c>
      <c r="DX112" t="s">
        <v>4160</v>
      </c>
      <c r="DY112" t="s">
        <v>4161</v>
      </c>
      <c r="DZ112" t="s">
        <v>4419</v>
      </c>
      <c r="EA112" t="s">
        <v>4163</v>
      </c>
      <c r="EB112" t="s">
        <v>3931</v>
      </c>
      <c r="EC112" t="s">
        <v>4164</v>
      </c>
      <c r="ED112" t="s">
        <v>4420</v>
      </c>
      <c r="EE112" t="s">
        <v>4166</v>
      </c>
      <c r="EF112" t="s">
        <v>3813</v>
      </c>
      <c r="EG112" t="s">
        <v>4049</v>
      </c>
      <c r="EH112" t="s">
        <v>4421</v>
      </c>
      <c r="EI112" t="s">
        <v>4168</v>
      </c>
      <c r="EJ112" t="s">
        <v>4168</v>
      </c>
      <c r="EK112" t="s">
        <v>4169</v>
      </c>
      <c r="EL112" t="s">
        <v>4422</v>
      </c>
      <c r="EM112" t="s">
        <v>4171</v>
      </c>
      <c r="EN112" t="s">
        <v>4171</v>
      </c>
      <c r="EO112" t="s">
        <v>4172</v>
      </c>
      <c r="EP112" t="s">
        <v>4423</v>
      </c>
      <c r="EQ112">
        <v>4</v>
      </c>
      <c r="ER112">
        <v>6</v>
      </c>
      <c r="ES112">
        <v>6</v>
      </c>
      <c r="ET112">
        <v>6</v>
      </c>
      <c r="EU112">
        <v>6</v>
      </c>
      <c r="EV112">
        <v>0.1</v>
      </c>
      <c r="EW112">
        <v>0.1</v>
      </c>
      <c r="EX112">
        <v>0.2</v>
      </c>
      <c r="EY112">
        <v>0.3</v>
      </c>
      <c r="EZ112">
        <v>0.3</v>
      </c>
      <c r="FA112">
        <f>EV112*EQ112</f>
        <v>0.4</v>
      </c>
      <c r="FB112">
        <f>EW112*ER112</f>
        <v>0.60000000000000009</v>
      </c>
      <c r="FC112">
        <f>EX112*ES112</f>
        <v>1.2000000000000002</v>
      </c>
      <c r="FD112">
        <f>EY112*ET112</f>
        <v>1.7999999999999998</v>
      </c>
      <c r="FE112">
        <f>EZ112*EU112</f>
        <v>1.7999999999999998</v>
      </c>
      <c r="FF112">
        <v>15</v>
      </c>
      <c r="FG112">
        <v>0</v>
      </c>
      <c r="FH112">
        <v>15</v>
      </c>
      <c r="FI112">
        <f>FA112+FB112+FC112+FD112+FE112</f>
        <v>5.8</v>
      </c>
      <c r="FJ112">
        <f>MEDIAN(EQ112:EU112)</f>
        <v>6</v>
      </c>
      <c r="FL112">
        <v>72.260000000000005</v>
      </c>
      <c r="FM112">
        <v>9</v>
      </c>
      <c r="FN112" t="s">
        <v>1130</v>
      </c>
      <c r="FO112" t="s">
        <v>1131</v>
      </c>
      <c r="FP112" t="s">
        <v>1132</v>
      </c>
      <c r="FQ112" t="s">
        <v>1133</v>
      </c>
      <c r="FR112" t="s">
        <v>1134</v>
      </c>
      <c r="FS112">
        <v>2.5</v>
      </c>
      <c r="FT112">
        <v>3</v>
      </c>
      <c r="FU112">
        <v>4</v>
      </c>
      <c r="FV112">
        <v>6</v>
      </c>
      <c r="FW112">
        <v>7</v>
      </c>
      <c r="FX112">
        <v>0.1</v>
      </c>
      <c r="FY112">
        <v>0.1</v>
      </c>
      <c r="FZ112">
        <v>0.2</v>
      </c>
      <c r="GA112">
        <v>0.3</v>
      </c>
      <c r="GB112">
        <v>0.3</v>
      </c>
      <c r="GC112">
        <f>FS112*FX112</f>
        <v>0.25</v>
      </c>
      <c r="GD112">
        <f>FT112*FY112</f>
        <v>0.30000000000000004</v>
      </c>
      <c r="GE112">
        <f>FU112*FZ112</f>
        <v>0.8</v>
      </c>
      <c r="GF112">
        <f>FV112*GA112</f>
        <v>1.7999999999999998</v>
      </c>
      <c r="GG112">
        <f>FW112*GB112</f>
        <v>2.1</v>
      </c>
      <c r="GH112">
        <v>9</v>
      </c>
      <c r="GI112">
        <v>0</v>
      </c>
      <c r="GJ112">
        <v>9</v>
      </c>
      <c r="GK112">
        <f>GC112+GD112+GE112+GF112+GG112</f>
        <v>5.25</v>
      </c>
      <c r="GL112">
        <f>MEDIAN(FS112:FW112)</f>
        <v>4</v>
      </c>
    </row>
    <row r="113" spans="1:194" x14ac:dyDescent="0.25">
      <c r="A113">
        <v>173</v>
      </c>
      <c r="B113" t="s">
        <v>2</v>
      </c>
      <c r="C113" s="4">
        <v>90</v>
      </c>
      <c r="D113">
        <v>3.6</v>
      </c>
      <c r="E113" s="1">
        <f>C113/3/D113</f>
        <v>8.3333333333333339</v>
      </c>
      <c r="G113">
        <v>36.61</v>
      </c>
      <c r="H113">
        <v>8</v>
      </c>
      <c r="I113">
        <f>H113*D113*3</f>
        <v>86.4</v>
      </c>
      <c r="J113">
        <v>17.87</v>
      </c>
      <c r="K113">
        <v>9</v>
      </c>
      <c r="L113" s="3">
        <f>K113*3*D113</f>
        <v>97.2</v>
      </c>
      <c r="M113">
        <v>4.63</v>
      </c>
      <c r="N113">
        <v>4</v>
      </c>
      <c r="O113">
        <f>N113*D113*3</f>
        <v>43.2</v>
      </c>
      <c r="P113" s="5">
        <v>8.6999999999999993</v>
      </c>
      <c r="Q113" s="5">
        <f>P113*D113*3</f>
        <v>93.96</v>
      </c>
      <c r="S113" t="s">
        <v>6306</v>
      </c>
      <c r="T113">
        <v>4.7</v>
      </c>
      <c r="U113" s="8">
        <f>T113*D113*3</f>
        <v>50.760000000000005</v>
      </c>
      <c r="V113">
        <v>30.97</v>
      </c>
      <c r="W113">
        <v>8.4</v>
      </c>
      <c r="X113" s="5">
        <f>W113*D113*3</f>
        <v>90.72</v>
      </c>
      <c r="Y113">
        <v>11.98</v>
      </c>
      <c r="Z113">
        <v>8</v>
      </c>
      <c r="AA113">
        <f>Z113*D113*3</f>
        <v>86.4</v>
      </c>
      <c r="AC113">
        <v>44.45</v>
      </c>
      <c r="AD113">
        <v>7.3000000000000007</v>
      </c>
      <c r="AE113" s="1">
        <f>AD113*3*D113</f>
        <v>78.84</v>
      </c>
      <c r="AF113">
        <v>11.83</v>
      </c>
      <c r="AG113" s="5">
        <v>7</v>
      </c>
      <c r="AH113" s="5">
        <f>AG113*D113*3</f>
        <v>75.599999999999994</v>
      </c>
      <c r="AI113" s="13"/>
      <c r="AJ113">
        <v>23</v>
      </c>
      <c r="AK113" s="8">
        <f>AJ113*D113*3</f>
        <v>248.39999999999998</v>
      </c>
      <c r="AL113" s="13"/>
      <c r="AM113">
        <v>30.59</v>
      </c>
      <c r="AN113">
        <v>6</v>
      </c>
      <c r="AO113" s="8">
        <f>AN113*D113*3</f>
        <v>64.800000000000011</v>
      </c>
      <c r="AP113">
        <v>14.97</v>
      </c>
      <c r="AQ113">
        <v>10</v>
      </c>
      <c r="AR113">
        <f>AQ113*D113*3</f>
        <v>108</v>
      </c>
      <c r="AT113">
        <v>8.9</v>
      </c>
      <c r="AU113">
        <f>AT113*D113*3</f>
        <v>96.12</v>
      </c>
      <c r="AW113">
        <v>23.54</v>
      </c>
      <c r="AX113">
        <v>9.9</v>
      </c>
      <c r="AY113">
        <f>AX113*D113*3</f>
        <v>106.92</v>
      </c>
      <c r="AZ113">
        <v>23.54</v>
      </c>
      <c r="BA113">
        <v>9.4</v>
      </c>
      <c r="BB113">
        <f>BA113*D113*3</f>
        <v>101.52000000000001</v>
      </c>
      <c r="BD113">
        <v>8.9</v>
      </c>
      <c r="BE113">
        <f>BD113*D113*3</f>
        <v>96.12</v>
      </c>
      <c r="BG113" s="10"/>
      <c r="BH113" s="1">
        <f>CHOOSE(MATCH(MIN(ABS(BP113-C113),ABS(BQ113-C113),ABS(BR113-C113)),CHOOSE({1;2;3},ABS(BP113-C113),ABS(BQ113-C113),ABS(BR113-C113)),0),BP113,BQ113,BR113)</f>
        <v>97.2</v>
      </c>
      <c r="BJ113" s="1" cm="1">
        <f t="array" ref="BJ113">(INDEX(_xlfn._xlws.SORT(CHOOSE({1;2;3;4;5;6},BQ113,BR113,L113,AE113,BO113,BP113)),3) + INDEX(_xlfn._xlws.SORT(CHOOSE({1;2;3;4;5;6},BQ113,BR113,L113,AE113,BO113,BP113)),4))/2</f>
        <v>77.22</v>
      </c>
      <c r="BK113">
        <v>7.8985992911544001</v>
      </c>
      <c r="BL113" s="11" t="s">
        <v>6116</v>
      </c>
      <c r="BM113" s="1">
        <f>BK113*3*D113</f>
        <v>85.304872344467526</v>
      </c>
      <c r="BN113" s="1">
        <f>BM113-C113</f>
        <v>-4.6951276555324739</v>
      </c>
      <c r="BO113" s="1">
        <f>GK113*3*D113</f>
        <v>64.8</v>
      </c>
      <c r="BP113" s="1">
        <f>DO113*3*D113</f>
        <v>97.2</v>
      </c>
      <c r="BQ113" s="1">
        <f>FJ113*3*D113</f>
        <v>75.600000000000009</v>
      </c>
      <c r="BR113" s="1">
        <f>GL113*3*D113</f>
        <v>64.8</v>
      </c>
      <c r="BT113">
        <v>36.61</v>
      </c>
      <c r="BU113">
        <v>8</v>
      </c>
      <c r="BV113" t="s">
        <v>5228</v>
      </c>
      <c r="BW113" t="s">
        <v>5566</v>
      </c>
      <c r="BX113" t="s">
        <v>5567</v>
      </c>
      <c r="BY113" t="s">
        <v>5568</v>
      </c>
      <c r="BZ113" t="s">
        <v>5569</v>
      </c>
      <c r="CA113" t="s">
        <v>2723</v>
      </c>
      <c r="CC113" t="s">
        <v>2842</v>
      </c>
      <c r="CD113" t="s">
        <v>2533</v>
      </c>
      <c r="CE113" t="s">
        <v>2440</v>
      </c>
      <c r="CG113" t="s">
        <v>2441</v>
      </c>
      <c r="CH113" t="s">
        <v>2534</v>
      </c>
      <c r="CI113" t="s">
        <v>2443</v>
      </c>
      <c r="CK113" t="s">
        <v>2444</v>
      </c>
      <c r="CL113" t="s">
        <v>2536</v>
      </c>
      <c r="CM113" t="s">
        <v>2521</v>
      </c>
      <c r="CO113" t="s">
        <v>2447</v>
      </c>
      <c r="CP113" t="s">
        <v>2537</v>
      </c>
      <c r="CQ113" t="s">
        <v>2449</v>
      </c>
      <c r="CS113" t="s">
        <v>2450</v>
      </c>
      <c r="CT113" t="s">
        <v>2539</v>
      </c>
      <c r="CV113">
        <v>9</v>
      </c>
      <c r="CW113">
        <v>9</v>
      </c>
      <c r="CX113">
        <v>9</v>
      </c>
      <c r="CY113">
        <v>9</v>
      </c>
      <c r="CZ113">
        <v>9</v>
      </c>
      <c r="DA113">
        <v>0.1</v>
      </c>
      <c r="DB113">
        <v>0.1</v>
      </c>
      <c r="DC113">
        <v>0.2</v>
      </c>
      <c r="DD113">
        <v>0.3</v>
      </c>
      <c r="DE113">
        <v>0.3</v>
      </c>
      <c r="DF113">
        <v>0.9</v>
      </c>
      <c r="DG113">
        <v>0.9</v>
      </c>
      <c r="DH113">
        <v>1.8</v>
      </c>
      <c r="DI113">
        <v>2.7</v>
      </c>
      <c r="DJ113">
        <v>2.7</v>
      </c>
      <c r="DK113">
        <v>8</v>
      </c>
      <c r="DL113">
        <v>0</v>
      </c>
      <c r="DM113">
        <v>8</v>
      </c>
      <c r="DN113">
        <v>9</v>
      </c>
      <c r="DO113">
        <f>AVERAGE(CV113:CZ113)</f>
        <v>9</v>
      </c>
      <c r="DQ113" t="s">
        <v>125</v>
      </c>
      <c r="DR113" t="s">
        <v>361</v>
      </c>
      <c r="DS113" t="s">
        <v>362</v>
      </c>
      <c r="DT113" t="s">
        <v>363</v>
      </c>
      <c r="DU113" t="s">
        <v>364</v>
      </c>
      <c r="DV113" t="s">
        <v>365</v>
      </c>
      <c r="DW113" t="s">
        <v>3769</v>
      </c>
      <c r="DX113" t="s">
        <v>3770</v>
      </c>
      <c r="DY113" t="s">
        <v>3771</v>
      </c>
      <c r="DZ113" t="s">
        <v>3772</v>
      </c>
      <c r="EA113" t="s">
        <v>3773</v>
      </c>
      <c r="EB113" t="s">
        <v>3774</v>
      </c>
      <c r="EC113" t="s">
        <v>3775</v>
      </c>
      <c r="ED113" t="s">
        <v>3776</v>
      </c>
      <c r="EE113" t="s">
        <v>3777</v>
      </c>
      <c r="EF113" t="s">
        <v>3778</v>
      </c>
      <c r="EG113" t="s">
        <v>4557</v>
      </c>
      <c r="EH113" t="s">
        <v>3780</v>
      </c>
      <c r="EI113" t="s">
        <v>3781</v>
      </c>
      <c r="EJ113" t="s">
        <v>3782</v>
      </c>
      <c r="EK113" t="s">
        <v>4558</v>
      </c>
      <c r="EL113" t="s">
        <v>3815</v>
      </c>
      <c r="EM113" t="s">
        <v>3930</v>
      </c>
      <c r="EN113" t="s">
        <v>3931</v>
      </c>
      <c r="EO113" t="s">
        <v>4559</v>
      </c>
      <c r="EP113" t="s">
        <v>4560</v>
      </c>
      <c r="EQ113">
        <v>7</v>
      </c>
      <c r="ER113">
        <v>8</v>
      </c>
      <c r="ES113">
        <v>8</v>
      </c>
      <c r="ET113">
        <v>7</v>
      </c>
      <c r="EU113">
        <v>7</v>
      </c>
      <c r="EV113">
        <v>0.1</v>
      </c>
      <c r="EW113">
        <v>0.1</v>
      </c>
      <c r="EX113">
        <v>0.2</v>
      </c>
      <c r="EY113">
        <v>0.3</v>
      </c>
      <c r="EZ113">
        <v>0.3</v>
      </c>
      <c r="FA113">
        <f>EV113*EQ113</f>
        <v>0.70000000000000007</v>
      </c>
      <c r="FB113">
        <f>EW113*ER113</f>
        <v>0.8</v>
      </c>
      <c r="FC113">
        <f>EX113*ES113</f>
        <v>1.6</v>
      </c>
      <c r="FD113">
        <f>EY113*ET113</f>
        <v>2.1</v>
      </c>
      <c r="FE113">
        <f>EZ113*EU113</f>
        <v>2.1</v>
      </c>
      <c r="FF113">
        <v>19</v>
      </c>
      <c r="FG113">
        <v>0</v>
      </c>
      <c r="FH113">
        <v>19</v>
      </c>
      <c r="FI113">
        <f>FA113+FB113+FC113+FD113+FE113</f>
        <v>7.3000000000000007</v>
      </c>
      <c r="FJ113">
        <f>MEDIAN(EQ113:EU113)</f>
        <v>7</v>
      </c>
      <c r="FL113">
        <v>40.520000000000003</v>
      </c>
      <c r="FM113">
        <v>9</v>
      </c>
      <c r="FN113" t="s">
        <v>1419</v>
      </c>
      <c r="FO113" t="s">
        <v>1420</v>
      </c>
      <c r="FP113" t="s">
        <v>1421</v>
      </c>
      <c r="FQ113" t="s">
        <v>1422</v>
      </c>
      <c r="FR113" t="s">
        <v>1423</v>
      </c>
      <c r="FS113">
        <v>6</v>
      </c>
      <c r="FT113">
        <v>7</v>
      </c>
      <c r="FU113">
        <v>4</v>
      </c>
      <c r="FV113">
        <v>5</v>
      </c>
      <c r="FW113">
        <v>8</v>
      </c>
      <c r="FX113">
        <v>0.1</v>
      </c>
      <c r="FY113">
        <v>0.1</v>
      </c>
      <c r="FZ113">
        <v>0.2</v>
      </c>
      <c r="GA113">
        <v>0.3</v>
      </c>
      <c r="GB113">
        <v>0.3</v>
      </c>
      <c r="GC113">
        <f>FS113*FX113</f>
        <v>0.60000000000000009</v>
      </c>
      <c r="GD113">
        <f>FT113*FY113</f>
        <v>0.70000000000000007</v>
      </c>
      <c r="GE113">
        <f>FU113*FZ113</f>
        <v>0.8</v>
      </c>
      <c r="GF113">
        <f>FV113*GA113</f>
        <v>1.5</v>
      </c>
      <c r="GG113">
        <f>FW113*GB113</f>
        <v>2.4</v>
      </c>
      <c r="GH113">
        <v>9</v>
      </c>
      <c r="GI113">
        <v>0</v>
      </c>
      <c r="GJ113">
        <v>9</v>
      </c>
      <c r="GK113">
        <f>GC113+GD113+GE113+GF113+GG113</f>
        <v>6</v>
      </c>
      <c r="GL113">
        <f>MEDIAN(FS113:FW113)</f>
        <v>6</v>
      </c>
    </row>
    <row r="114" spans="1:194" hidden="1" x14ac:dyDescent="0.25">
      <c r="A114">
        <v>113</v>
      </c>
      <c r="B114" t="s">
        <v>2</v>
      </c>
      <c r="C114" s="4">
        <v>79.2</v>
      </c>
      <c r="D114">
        <v>3.3</v>
      </c>
      <c r="E114" s="1">
        <f>C114/3/D114</f>
        <v>8.0000000000000018</v>
      </c>
      <c r="G114">
        <v>35.68</v>
      </c>
      <c r="H114">
        <v>8.6999999999999993</v>
      </c>
      <c r="I114">
        <f>H114*D114*3</f>
        <v>86.13</v>
      </c>
      <c r="J114">
        <v>16.48</v>
      </c>
      <c r="K114">
        <v>8.4</v>
      </c>
      <c r="L114" s="3">
        <f>K114*3*D114</f>
        <v>83.160000000000011</v>
      </c>
      <c r="M114">
        <v>5.03</v>
      </c>
      <c r="N114">
        <v>5</v>
      </c>
      <c r="O114">
        <f>N114*D114*3</f>
        <v>49.5</v>
      </c>
      <c r="P114" s="5">
        <v>7.9</v>
      </c>
      <c r="Q114" s="5">
        <f>P114*D114*3</f>
        <v>78.210000000000008</v>
      </c>
      <c r="S114" t="s">
        <v>6248</v>
      </c>
      <c r="T114">
        <v>4</v>
      </c>
      <c r="U114" s="8">
        <f>T114*D114*3</f>
        <v>39.599999999999994</v>
      </c>
      <c r="V114">
        <v>38.840000000000003</v>
      </c>
      <c r="W114">
        <v>6</v>
      </c>
      <c r="X114" s="5">
        <f>W114*D114*3</f>
        <v>59.399999999999991</v>
      </c>
      <c r="Y114">
        <v>10.88</v>
      </c>
      <c r="Z114">
        <v>6.8</v>
      </c>
      <c r="AA114">
        <f>Z114*D114*3</f>
        <v>67.319999999999993</v>
      </c>
      <c r="AC114">
        <v>47.98</v>
      </c>
      <c r="AD114">
        <v>7.4</v>
      </c>
      <c r="AE114" s="1">
        <f>AD114*3*D114</f>
        <v>73.260000000000005</v>
      </c>
      <c r="AF114">
        <v>11.87</v>
      </c>
      <c r="AG114" s="5">
        <v>7</v>
      </c>
      <c r="AH114" s="5">
        <f>AG114*D114*3</f>
        <v>69.3</v>
      </c>
      <c r="AI114" s="13"/>
      <c r="AJ114">
        <v>32</v>
      </c>
      <c r="AK114" s="8">
        <f>AJ114*D114*3</f>
        <v>316.79999999999995</v>
      </c>
      <c r="AL114" s="13"/>
      <c r="AM114">
        <v>31.83</v>
      </c>
      <c r="AN114">
        <v>7.7</v>
      </c>
      <c r="AO114" s="8">
        <f>AN114*D114*3</f>
        <v>76.23</v>
      </c>
      <c r="AP114">
        <v>13.34</v>
      </c>
      <c r="AQ114">
        <v>10</v>
      </c>
      <c r="AR114">
        <f>AQ114*D114*3</f>
        <v>99</v>
      </c>
      <c r="AT114">
        <v>9</v>
      </c>
      <c r="AU114">
        <f>AT114*D114*3</f>
        <v>89.1</v>
      </c>
      <c r="AW114">
        <v>25.42</v>
      </c>
      <c r="AX114">
        <v>9.5</v>
      </c>
      <c r="AY114">
        <f>AX114*D114*3</f>
        <v>94.05</v>
      </c>
      <c r="AZ114">
        <v>25.42</v>
      </c>
      <c r="BA114">
        <v>9</v>
      </c>
      <c r="BB114">
        <f>BA114*D114*3</f>
        <v>89.1</v>
      </c>
      <c r="BD114">
        <v>8.9</v>
      </c>
      <c r="BE114">
        <f>BD114*D114*3</f>
        <v>88.11</v>
      </c>
      <c r="BG114" s="10"/>
      <c r="BH114" s="1">
        <f>CHOOSE(MATCH(MIN(ABS(BP114-C114),ABS(BQ114-C114),ABS(BR114-C114)),CHOOSE({1;2;3},ABS(BP114-C114),ABS(BQ114-C114),ABS(BR114-C114)),0),BP114,BQ114,BR114)</f>
        <v>87.12</v>
      </c>
      <c r="BJ114" s="1" cm="1">
        <f t="array" ref="BJ114">(INDEX(_xlfn._xlws.SORT(CHOOSE({1;2;3;4;5;6},BQ114,BR114,L114,AE114,BO114,BP114)),3) + INDEX(_xlfn._xlws.SORT(CHOOSE({1;2;3;4;5;6},BQ114,BR114,L114,AE114,BO114,BP114)),4))/2</f>
        <v>71.28</v>
      </c>
      <c r="BK114">
        <v>7.9690510636472203</v>
      </c>
      <c r="BL114" t="s">
        <v>6117</v>
      </c>
      <c r="BM114" s="1">
        <f>BK114*3*D114</f>
        <v>78.893605530107479</v>
      </c>
      <c r="BN114" s="1">
        <f>BM114-C114</f>
        <v>-0.30639446989252406</v>
      </c>
      <c r="BO114" s="1">
        <f>GK114*3*D114</f>
        <v>54.449999999999996</v>
      </c>
      <c r="BP114" s="1">
        <f>DO114*3*D114</f>
        <v>87.12</v>
      </c>
      <c r="BQ114" s="1">
        <f>FJ114*3*D114</f>
        <v>69.3</v>
      </c>
      <c r="BR114" s="1">
        <f>GL114*3*D114</f>
        <v>49.5</v>
      </c>
      <c r="BT114">
        <v>35.68</v>
      </c>
      <c r="BU114">
        <v>8.6999999999999993</v>
      </c>
      <c r="BV114" t="s">
        <v>5383</v>
      </c>
      <c r="BW114" t="s">
        <v>5384</v>
      </c>
      <c r="BX114" t="s">
        <v>5385</v>
      </c>
      <c r="BY114" t="s">
        <v>5386</v>
      </c>
      <c r="BZ114" t="s">
        <v>5387</v>
      </c>
      <c r="CA114" t="s">
        <v>2550</v>
      </c>
      <c r="CC114" t="s">
        <v>2634</v>
      </c>
      <c r="CD114" t="s">
        <v>2635</v>
      </c>
      <c r="CE114" t="s">
        <v>2553</v>
      </c>
      <c r="CG114" t="s">
        <v>2634</v>
      </c>
      <c r="CH114" t="s">
        <v>2832</v>
      </c>
      <c r="CI114" t="s">
        <v>2867</v>
      </c>
      <c r="CK114" t="s">
        <v>2634</v>
      </c>
      <c r="CL114" t="s">
        <v>2834</v>
      </c>
      <c r="CM114" t="s">
        <v>2868</v>
      </c>
      <c r="CO114" t="s">
        <v>2634</v>
      </c>
      <c r="CP114" t="s">
        <v>2835</v>
      </c>
      <c r="CQ114" t="s">
        <v>2560</v>
      </c>
      <c r="CR114" t="s">
        <v>2870</v>
      </c>
      <c r="CS114" t="s">
        <v>3053</v>
      </c>
      <c r="CT114" t="s">
        <v>2880</v>
      </c>
      <c r="CV114">
        <v>9</v>
      </c>
      <c r="CW114">
        <v>9</v>
      </c>
      <c r="CX114">
        <v>9</v>
      </c>
      <c r="CY114">
        <v>9</v>
      </c>
      <c r="CZ114">
        <v>8</v>
      </c>
      <c r="DA114">
        <v>0.1</v>
      </c>
      <c r="DB114">
        <v>0.1</v>
      </c>
      <c r="DC114">
        <v>0.2</v>
      </c>
      <c r="DD114">
        <v>0.3</v>
      </c>
      <c r="DE114">
        <v>0.3</v>
      </c>
      <c r="DF114">
        <v>0.9</v>
      </c>
      <c r="DG114">
        <v>0.9</v>
      </c>
      <c r="DH114">
        <v>1.8</v>
      </c>
      <c r="DI114">
        <v>2.7</v>
      </c>
      <c r="DJ114">
        <v>2.4</v>
      </c>
      <c r="DK114">
        <v>8.6999999999999993</v>
      </c>
      <c r="DL114">
        <v>0</v>
      </c>
      <c r="DM114">
        <v>8.6999999999999993</v>
      </c>
      <c r="DN114">
        <v>8.4</v>
      </c>
      <c r="DO114">
        <f>AVERAGE(CV114:CZ114)</f>
        <v>8.8000000000000007</v>
      </c>
      <c r="DQ114">
        <v>8</v>
      </c>
      <c r="DR114" t="s">
        <v>28</v>
      </c>
      <c r="DS114" t="s">
        <v>43</v>
      </c>
      <c r="DT114" t="s">
        <v>156</v>
      </c>
      <c r="DU114" t="s">
        <v>157</v>
      </c>
      <c r="DV114" t="s">
        <v>158</v>
      </c>
      <c r="DW114" t="s">
        <v>3769</v>
      </c>
      <c r="DX114" t="s">
        <v>3770</v>
      </c>
      <c r="DY114" t="s">
        <v>3771</v>
      </c>
      <c r="DZ114" t="s">
        <v>3772</v>
      </c>
      <c r="EA114" t="s">
        <v>3806</v>
      </c>
      <c r="EB114" t="s">
        <v>3807</v>
      </c>
      <c r="EC114" t="s">
        <v>3775</v>
      </c>
      <c r="ED114" t="s">
        <v>3776</v>
      </c>
      <c r="EE114" t="s">
        <v>3819</v>
      </c>
      <c r="EF114" t="s">
        <v>4104</v>
      </c>
      <c r="EG114" t="s">
        <v>4048</v>
      </c>
      <c r="EH114" t="s">
        <v>4015</v>
      </c>
      <c r="EI114" t="s">
        <v>4105</v>
      </c>
      <c r="EJ114" t="s">
        <v>3813</v>
      </c>
      <c r="EK114" t="s">
        <v>4049</v>
      </c>
      <c r="EL114" t="s">
        <v>3815</v>
      </c>
      <c r="EM114" t="s">
        <v>3816</v>
      </c>
      <c r="EN114" t="s">
        <v>4050</v>
      </c>
      <c r="EO114" t="s">
        <v>4018</v>
      </c>
      <c r="EP114" t="s">
        <v>4051</v>
      </c>
      <c r="EQ114">
        <v>7</v>
      </c>
      <c r="ER114">
        <v>8</v>
      </c>
      <c r="ES114">
        <v>7</v>
      </c>
      <c r="ET114">
        <v>7</v>
      </c>
      <c r="EU114">
        <v>8</v>
      </c>
      <c r="EV114">
        <v>0.1</v>
      </c>
      <c r="EW114">
        <v>0.1</v>
      </c>
      <c r="EX114">
        <v>0.2</v>
      </c>
      <c r="EY114">
        <v>0.3</v>
      </c>
      <c r="EZ114">
        <v>0.3</v>
      </c>
      <c r="FA114">
        <f>EV114*EQ114</f>
        <v>0.70000000000000007</v>
      </c>
      <c r="FB114">
        <f>EW114*ER114</f>
        <v>0.8</v>
      </c>
      <c r="FC114">
        <f>EX114*ES114</f>
        <v>1.4000000000000001</v>
      </c>
      <c r="FD114">
        <f>EY114*ET114</f>
        <v>2.1</v>
      </c>
      <c r="FE114">
        <f>EZ114*EU114</f>
        <v>2.4</v>
      </c>
      <c r="FF114">
        <v>21</v>
      </c>
      <c r="FG114">
        <v>0</v>
      </c>
      <c r="FH114">
        <v>8</v>
      </c>
      <c r="FI114">
        <f>FA114+FB114+FC114+FD114+FE114</f>
        <v>7.4</v>
      </c>
      <c r="FJ114">
        <f>MEDIAN(EQ114:EU114)</f>
        <v>7</v>
      </c>
      <c r="FL114">
        <v>37.01</v>
      </c>
      <c r="FM114">
        <v>9.6999999999999993</v>
      </c>
      <c r="FN114" t="s">
        <v>1140</v>
      </c>
      <c r="FO114" t="s">
        <v>1141</v>
      </c>
      <c r="FP114" t="s">
        <v>1142</v>
      </c>
      <c r="FQ114" t="s">
        <v>1143</v>
      </c>
      <c r="FR114" t="s">
        <v>1144</v>
      </c>
      <c r="FS114">
        <v>5</v>
      </c>
      <c r="FT114">
        <v>3</v>
      </c>
      <c r="FU114">
        <v>4</v>
      </c>
      <c r="FV114">
        <v>6</v>
      </c>
      <c r="FW114">
        <v>7</v>
      </c>
      <c r="FX114">
        <v>0.1</v>
      </c>
      <c r="FY114">
        <v>0.1</v>
      </c>
      <c r="FZ114">
        <v>0.2</v>
      </c>
      <c r="GA114">
        <v>0.3</v>
      </c>
      <c r="GB114">
        <v>0.3</v>
      </c>
      <c r="GC114">
        <f>FS114*FX114</f>
        <v>0.5</v>
      </c>
      <c r="GD114">
        <f>FT114*FY114</f>
        <v>0.30000000000000004</v>
      </c>
      <c r="GE114">
        <f>FU114*FZ114</f>
        <v>0.8</v>
      </c>
      <c r="GF114">
        <f>FV114*GA114</f>
        <v>1.7999999999999998</v>
      </c>
      <c r="GG114">
        <f>FW114*GB114</f>
        <v>2.1</v>
      </c>
      <c r="GH114">
        <v>9.6999999999999993</v>
      </c>
      <c r="GI114">
        <v>0</v>
      </c>
      <c r="GJ114">
        <v>9.6999999999999993</v>
      </c>
      <c r="GK114">
        <f>GC114+GD114+GE114+GF114+GG114</f>
        <v>5.5</v>
      </c>
      <c r="GL114">
        <f>MEDIAN(FS114:FW114)</f>
        <v>5</v>
      </c>
    </row>
    <row r="115" spans="1:194" hidden="1" x14ac:dyDescent="0.25">
      <c r="A115">
        <v>114</v>
      </c>
      <c r="B115" t="s">
        <v>2</v>
      </c>
      <c r="C115" s="4">
        <v>69.3</v>
      </c>
      <c r="D115">
        <v>3.3</v>
      </c>
      <c r="E115" s="1">
        <f>C115/3/D115</f>
        <v>7</v>
      </c>
      <c r="G115">
        <v>38.869999999999997</v>
      </c>
      <c r="H115">
        <v>7.5</v>
      </c>
      <c r="I115">
        <f>H115*D115*3</f>
        <v>74.25</v>
      </c>
      <c r="J115">
        <v>17.420000000000002</v>
      </c>
      <c r="K115">
        <v>8.4</v>
      </c>
      <c r="L115" s="3">
        <f>K115*3*D115</f>
        <v>83.160000000000011</v>
      </c>
      <c r="M115">
        <v>4.32</v>
      </c>
      <c r="N115">
        <v>6.4</v>
      </c>
      <c r="O115">
        <f>N115*D115*3</f>
        <v>63.36</v>
      </c>
      <c r="P115" s="5">
        <v>7</v>
      </c>
      <c r="Q115" s="5">
        <f>P115*D115*3</f>
        <v>69.3</v>
      </c>
      <c r="S115" t="s">
        <v>6249</v>
      </c>
      <c r="T115">
        <v>8.1999999999999993</v>
      </c>
      <c r="U115" s="8">
        <f>T115*D115*3</f>
        <v>81.179999999999978</v>
      </c>
      <c r="V115">
        <v>31.41</v>
      </c>
      <c r="W115">
        <v>8.6999999999999993</v>
      </c>
      <c r="X115" s="5">
        <f>W115*D115*3</f>
        <v>86.13</v>
      </c>
      <c r="Y115">
        <v>12.07</v>
      </c>
      <c r="Z115">
        <v>7.8</v>
      </c>
      <c r="AA115">
        <f>Z115*D115*3</f>
        <v>77.22</v>
      </c>
      <c r="AC115">
        <v>46.57</v>
      </c>
      <c r="AD115">
        <v>8</v>
      </c>
      <c r="AE115" s="1">
        <f>AD115*3*D115</f>
        <v>79.199999999999989</v>
      </c>
      <c r="AF115">
        <v>12.16</v>
      </c>
      <c r="AG115" s="5">
        <v>7</v>
      </c>
      <c r="AH115" s="5">
        <f>AG115*D115*3</f>
        <v>69.3</v>
      </c>
      <c r="AI115" s="13"/>
      <c r="AJ115">
        <v>26</v>
      </c>
      <c r="AK115" s="8">
        <f>AJ115*D115*3</f>
        <v>257.39999999999998</v>
      </c>
      <c r="AL115" s="13"/>
      <c r="AM115">
        <v>31.24</v>
      </c>
      <c r="AN115">
        <v>7.9</v>
      </c>
      <c r="AO115" s="8">
        <f>AN115*D115*3</f>
        <v>78.210000000000008</v>
      </c>
      <c r="AP115">
        <v>15.14</v>
      </c>
      <c r="AQ115">
        <v>10</v>
      </c>
      <c r="AR115">
        <f>AQ115*D115*3</f>
        <v>99</v>
      </c>
      <c r="AT115">
        <v>9.1999999999999993</v>
      </c>
      <c r="AU115">
        <f>AT115*D115*3</f>
        <v>91.079999999999984</v>
      </c>
      <c r="AW115">
        <v>25.51</v>
      </c>
      <c r="AX115">
        <v>9.4</v>
      </c>
      <c r="AY115">
        <f>AX115*D115*3</f>
        <v>93.06</v>
      </c>
      <c r="AZ115">
        <v>25.51</v>
      </c>
      <c r="BA115">
        <v>7.9</v>
      </c>
      <c r="BB115">
        <f>BA115*D115*3</f>
        <v>78.210000000000008</v>
      </c>
      <c r="BD115">
        <v>8.6</v>
      </c>
      <c r="BE115">
        <f>BD115*D115*3</f>
        <v>85.14</v>
      </c>
      <c r="BG115" s="10"/>
      <c r="BH115" s="1">
        <f>CHOOSE(MATCH(MIN(ABS(BP115-C115),ABS(BQ115-C115),ABS(BR115-C115)),CHOOSE({1;2;3},ABS(BP115-C115),ABS(BQ115-C115),ABS(BR115-C115)),0),BP115,BQ115,BR115)</f>
        <v>79.199999999999989</v>
      </c>
      <c r="BJ115" s="1" cm="1">
        <f t="array" ref="BJ115">(INDEX(_xlfn._xlws.SORT(CHOOSE({1;2;3;4;5;6},BQ115,BR115,L115,AE115,BO115,BP115)),3) + INDEX(_xlfn._xlws.SORT(CHOOSE({1;2;3;4;5;6},BQ115,BR115,L115,AE115,BO115,BP115)),4))/2</f>
        <v>81.180000000000007</v>
      </c>
      <c r="BK115">
        <v>7.0391108909859899</v>
      </c>
      <c r="BL115" t="s">
        <v>6117</v>
      </c>
      <c r="BM115" s="1">
        <f>BK115*3*D115</f>
        <v>69.687197820761298</v>
      </c>
      <c r="BN115" s="1">
        <f>BM115-C115</f>
        <v>0.38719782076130116</v>
      </c>
      <c r="BO115" s="1">
        <f>GK115*3*D115</f>
        <v>76.23</v>
      </c>
      <c r="BP115" s="1">
        <f>DO115*3*D115</f>
        <v>85.139999999999986</v>
      </c>
      <c r="BQ115" s="1">
        <f>FJ115*3*D115</f>
        <v>79.199999999999989</v>
      </c>
      <c r="BR115" s="1">
        <f>GL115*3*D115</f>
        <v>84.149999999999991</v>
      </c>
      <c r="BT115">
        <v>38.869999999999997</v>
      </c>
      <c r="BU115">
        <v>7.5</v>
      </c>
      <c r="BV115" t="s">
        <v>5388</v>
      </c>
      <c r="BW115" t="s">
        <v>5389</v>
      </c>
      <c r="BX115" t="s">
        <v>5390</v>
      </c>
      <c r="BY115" t="s">
        <v>5391</v>
      </c>
      <c r="BZ115" t="s">
        <v>5392</v>
      </c>
      <c r="CA115" t="s">
        <v>2506</v>
      </c>
      <c r="CC115" t="s">
        <v>2507</v>
      </c>
      <c r="CD115" t="s">
        <v>2508</v>
      </c>
      <c r="CE115" t="s">
        <v>2440</v>
      </c>
      <c r="CG115" t="s">
        <v>2509</v>
      </c>
      <c r="CH115" t="s">
        <v>2510</v>
      </c>
      <c r="CI115" t="s">
        <v>2443</v>
      </c>
      <c r="CK115" t="s">
        <v>2511</v>
      </c>
      <c r="CL115" t="s">
        <v>2512</v>
      </c>
      <c r="CM115" t="s">
        <v>2446</v>
      </c>
      <c r="CO115" t="s">
        <v>2513</v>
      </c>
      <c r="CP115" t="s">
        <v>2514</v>
      </c>
      <c r="CQ115" t="s">
        <v>2666</v>
      </c>
      <c r="CR115" t="s">
        <v>2515</v>
      </c>
      <c r="CS115" t="s">
        <v>2967</v>
      </c>
      <c r="CT115" t="s">
        <v>3054</v>
      </c>
      <c r="CV115">
        <v>9</v>
      </c>
      <c r="CW115">
        <v>9</v>
      </c>
      <c r="CX115">
        <v>9</v>
      </c>
      <c r="CY115">
        <v>9</v>
      </c>
      <c r="CZ115">
        <v>7</v>
      </c>
      <c r="DA115">
        <v>0.1</v>
      </c>
      <c r="DB115">
        <v>0.1</v>
      </c>
      <c r="DC115">
        <v>0.2</v>
      </c>
      <c r="DD115">
        <v>0.3</v>
      </c>
      <c r="DE115">
        <v>0.3</v>
      </c>
      <c r="DF115">
        <v>0.9</v>
      </c>
      <c r="DG115">
        <v>0.9</v>
      </c>
      <c r="DH115">
        <v>1.8</v>
      </c>
      <c r="DI115">
        <v>2.7</v>
      </c>
      <c r="DJ115">
        <v>2.1</v>
      </c>
      <c r="DK115">
        <v>7.5</v>
      </c>
      <c r="DL115">
        <v>0</v>
      </c>
      <c r="DM115">
        <v>7.5</v>
      </c>
      <c r="DN115">
        <v>8.4</v>
      </c>
      <c r="DO115">
        <f>AVERAGE(CV115:CZ115)</f>
        <v>8.6</v>
      </c>
      <c r="DQ115">
        <v>8</v>
      </c>
      <c r="DR115" t="s">
        <v>33</v>
      </c>
      <c r="DS115" t="s">
        <v>100</v>
      </c>
      <c r="DT115" t="s">
        <v>101</v>
      </c>
      <c r="DU115" t="s">
        <v>102</v>
      </c>
      <c r="DV115" t="s">
        <v>103</v>
      </c>
      <c r="DW115" t="s">
        <v>3788</v>
      </c>
      <c r="DX115" t="s">
        <v>3789</v>
      </c>
      <c r="DY115" t="s">
        <v>3790</v>
      </c>
      <c r="DZ115" t="s">
        <v>3992</v>
      </c>
      <c r="EA115" t="s">
        <v>3993</v>
      </c>
      <c r="EB115" t="s">
        <v>3793</v>
      </c>
      <c r="EC115" t="s">
        <v>3994</v>
      </c>
      <c r="ED115" t="s">
        <v>3995</v>
      </c>
      <c r="EE115" t="s">
        <v>3996</v>
      </c>
      <c r="EF115" t="s">
        <v>3797</v>
      </c>
      <c r="EG115" t="s">
        <v>3997</v>
      </c>
      <c r="EH115" t="s">
        <v>3998</v>
      </c>
      <c r="EI115" t="s">
        <v>3981</v>
      </c>
      <c r="EJ115" t="s">
        <v>3800</v>
      </c>
      <c r="EK115" t="s">
        <v>3999</v>
      </c>
      <c r="EL115" t="s">
        <v>4000</v>
      </c>
      <c r="EM115" t="s">
        <v>4001</v>
      </c>
      <c r="EN115" t="s">
        <v>3803</v>
      </c>
      <c r="EO115" t="s">
        <v>4002</v>
      </c>
      <c r="EP115" t="s">
        <v>4003</v>
      </c>
      <c r="EQ115">
        <v>8</v>
      </c>
      <c r="ER115">
        <v>8</v>
      </c>
      <c r="ES115">
        <v>8</v>
      </c>
      <c r="ET115">
        <v>8</v>
      </c>
      <c r="EU115">
        <v>8</v>
      </c>
      <c r="EV115">
        <v>0.1</v>
      </c>
      <c r="EW115">
        <v>0.1</v>
      </c>
      <c r="EX115">
        <v>0.2</v>
      </c>
      <c r="EY115">
        <v>0.3</v>
      </c>
      <c r="EZ115">
        <v>0.3</v>
      </c>
      <c r="FA115">
        <f>EV115*EQ115</f>
        <v>0.8</v>
      </c>
      <c r="FB115">
        <f>EW115*ER115</f>
        <v>0.8</v>
      </c>
      <c r="FC115">
        <f>EX115*ES115</f>
        <v>1.6</v>
      </c>
      <c r="FD115">
        <f>EY115*ET115</f>
        <v>2.4</v>
      </c>
      <c r="FE115">
        <f>EZ115*EU115</f>
        <v>2.4</v>
      </c>
      <c r="FF115">
        <v>16</v>
      </c>
      <c r="FG115">
        <v>0</v>
      </c>
      <c r="FH115">
        <v>8</v>
      </c>
      <c r="FI115">
        <f>FA115+FB115+FC115+FD115+FE115</f>
        <v>8</v>
      </c>
      <c r="FJ115">
        <f>MEDIAN(EQ115:EU115)</f>
        <v>8</v>
      </c>
      <c r="FL115">
        <v>46.05</v>
      </c>
      <c r="FM115">
        <v>8.4</v>
      </c>
      <c r="FN115" t="s">
        <v>1145</v>
      </c>
      <c r="FO115" t="s">
        <v>1146</v>
      </c>
      <c r="FP115" t="s">
        <v>1147</v>
      </c>
      <c r="FQ115" t="s">
        <v>1148</v>
      </c>
      <c r="FR115" t="s">
        <v>1149</v>
      </c>
      <c r="FS115">
        <v>10</v>
      </c>
      <c r="FT115">
        <v>9.5</v>
      </c>
      <c r="FU115">
        <v>8.5</v>
      </c>
      <c r="FV115">
        <v>7.5</v>
      </c>
      <c r="FW115">
        <v>6</v>
      </c>
      <c r="FX115">
        <v>0.1</v>
      </c>
      <c r="FY115">
        <v>0.1</v>
      </c>
      <c r="FZ115">
        <v>0.2</v>
      </c>
      <c r="GA115">
        <v>0.3</v>
      </c>
      <c r="GB115">
        <v>0.3</v>
      </c>
      <c r="GC115">
        <f>FS115*FX115</f>
        <v>1</v>
      </c>
      <c r="GD115">
        <f>FT115*FY115</f>
        <v>0.95000000000000007</v>
      </c>
      <c r="GE115">
        <f>FU115*FZ115</f>
        <v>1.7000000000000002</v>
      </c>
      <c r="GF115">
        <f>FV115*GA115</f>
        <v>2.25</v>
      </c>
      <c r="GG115">
        <f>FW115*GB115</f>
        <v>1.7999999999999998</v>
      </c>
      <c r="GH115">
        <v>8.4</v>
      </c>
      <c r="GJ115">
        <v>8.4</v>
      </c>
      <c r="GK115">
        <f>GC115+GD115+GE115+GF115+GG115</f>
        <v>7.7</v>
      </c>
      <c r="GL115">
        <f>MEDIAN(FS115:FW115)</f>
        <v>8.5</v>
      </c>
    </row>
    <row r="116" spans="1:194" hidden="1" x14ac:dyDescent="0.25">
      <c r="A116">
        <v>115</v>
      </c>
      <c r="B116" t="s">
        <v>2</v>
      </c>
      <c r="C116" s="4">
        <v>88.8</v>
      </c>
      <c r="D116">
        <v>3.7</v>
      </c>
      <c r="E116" s="1">
        <f>C116/3/D116</f>
        <v>7.9999999999999991</v>
      </c>
      <c r="G116">
        <v>78.540000000000006</v>
      </c>
      <c r="H116">
        <v>8</v>
      </c>
      <c r="I116">
        <f>H116*D116*3</f>
        <v>88.800000000000011</v>
      </c>
      <c r="J116">
        <v>18.579999999999998</v>
      </c>
      <c r="K116">
        <v>8.4</v>
      </c>
      <c r="L116" s="3">
        <f>K116*3*D116</f>
        <v>93.240000000000009</v>
      </c>
      <c r="M116">
        <v>4.74</v>
      </c>
      <c r="N116">
        <v>5.5</v>
      </c>
      <c r="O116">
        <f>N116*D116*3</f>
        <v>61.050000000000004</v>
      </c>
      <c r="P116" s="5">
        <v>8.1999999999999993</v>
      </c>
      <c r="Q116" s="5">
        <f>P116*D116*3</f>
        <v>91.02</v>
      </c>
      <c r="S116" t="s">
        <v>6250</v>
      </c>
      <c r="T116">
        <v>4.4000000000000004</v>
      </c>
      <c r="U116" s="8">
        <f>T116*D116*3</f>
        <v>48.84</v>
      </c>
      <c r="V116">
        <v>31.46</v>
      </c>
      <c r="W116">
        <v>8.4</v>
      </c>
      <c r="X116" s="5">
        <f>W116*D116*3</f>
        <v>93.240000000000009</v>
      </c>
      <c r="Y116">
        <v>9.61</v>
      </c>
      <c r="Z116">
        <v>6</v>
      </c>
      <c r="AA116">
        <f>Z116*D116*3</f>
        <v>66.600000000000009</v>
      </c>
      <c r="AC116">
        <v>55.13</v>
      </c>
      <c r="AD116">
        <v>7.1</v>
      </c>
      <c r="AE116" s="1">
        <f>AD116*3*D116</f>
        <v>78.809999999999988</v>
      </c>
      <c r="AF116">
        <v>11.91</v>
      </c>
      <c r="AG116" s="5">
        <v>7</v>
      </c>
      <c r="AH116" s="5">
        <f>AG116*D116*3</f>
        <v>77.7</v>
      </c>
      <c r="AI116" s="13"/>
      <c r="AJ116">
        <v>2.8</v>
      </c>
      <c r="AK116" s="8">
        <f>AJ116*D116*3</f>
        <v>31.08</v>
      </c>
      <c r="AL116" s="13"/>
      <c r="AM116">
        <v>31.3</v>
      </c>
      <c r="AN116">
        <v>7.6</v>
      </c>
      <c r="AO116" s="8">
        <f>AN116*D116*3</f>
        <v>84.36</v>
      </c>
      <c r="AP116">
        <v>13.13</v>
      </c>
      <c r="AQ116">
        <v>10</v>
      </c>
      <c r="AR116">
        <f>AQ116*D116*3</f>
        <v>111</v>
      </c>
      <c r="AT116">
        <v>9</v>
      </c>
      <c r="AU116">
        <f>AT116*D116*3</f>
        <v>99.9</v>
      </c>
      <c r="AW116">
        <v>27.27</v>
      </c>
      <c r="AX116">
        <v>9.3000000000000007</v>
      </c>
      <c r="AY116">
        <f>AX116*D116*3</f>
        <v>103.23000000000002</v>
      </c>
      <c r="AZ116">
        <v>27.27</v>
      </c>
      <c r="BA116">
        <v>9</v>
      </c>
      <c r="BB116">
        <f>BA116*D116*3</f>
        <v>99.9</v>
      </c>
      <c r="BD116">
        <v>9</v>
      </c>
      <c r="BE116">
        <f>BD116*D116*3</f>
        <v>99.9</v>
      </c>
      <c r="BG116" s="10"/>
      <c r="BH116" s="1">
        <f>CHOOSE(MATCH(MIN(ABS(BP116-C116),ABS(BQ116-C116),ABS(BR116-C116)),CHOOSE({1;2;3},ABS(BP116-C116),ABS(BQ116-C116),ABS(BR116-C116)),0),BP116,BQ116,BR116)</f>
        <v>77.7</v>
      </c>
      <c r="BJ116" s="1" cm="1">
        <f t="array" ref="BJ116">(INDEX(_xlfn._xlws.SORT(CHOOSE({1;2;3;4;5;6},BQ116,BR116,L116,AE116,BO116,BP116)),3) + INDEX(_xlfn._xlws.SORT(CHOOSE({1;2;3;4;5;6},BQ116,BR116,L116,AE116,BO116,BP116)),4))/2</f>
        <v>95.460000000000008</v>
      </c>
      <c r="BK116">
        <v>8.0224196312578506</v>
      </c>
      <c r="BL116" t="s">
        <v>6117</v>
      </c>
      <c r="BM116" s="1">
        <f>BK116*3*D116</f>
        <v>89.048857906962141</v>
      </c>
      <c r="BN116" s="1">
        <f>BM116-C116</f>
        <v>0.24885790696214372</v>
      </c>
      <c r="BO116" s="1">
        <f>GK116*3*D116</f>
        <v>97.68</v>
      </c>
      <c r="BP116" s="1">
        <f>DO116*3*D116</f>
        <v>99.9</v>
      </c>
      <c r="BQ116" s="1">
        <f>FJ116*3*D116</f>
        <v>77.7</v>
      </c>
      <c r="BR116" s="1">
        <f>GL116*3*D116</f>
        <v>111</v>
      </c>
      <c r="BT116">
        <v>78.540000000000006</v>
      </c>
      <c r="BU116">
        <v>8</v>
      </c>
      <c r="BV116" t="s">
        <v>5393</v>
      </c>
      <c r="BW116" t="s">
        <v>4987</v>
      </c>
      <c r="BX116" t="s">
        <v>5394</v>
      </c>
      <c r="BY116" t="s">
        <v>5395</v>
      </c>
      <c r="BZ116" t="s">
        <v>5396</v>
      </c>
      <c r="CA116" t="s">
        <v>2437</v>
      </c>
      <c r="CC116" t="s">
        <v>2438</v>
      </c>
      <c r="CD116" t="s">
        <v>2439</v>
      </c>
      <c r="CE116" t="s">
        <v>2440</v>
      </c>
      <c r="CG116" t="s">
        <v>2441</v>
      </c>
      <c r="CH116" t="s">
        <v>2442</v>
      </c>
      <c r="CI116" t="s">
        <v>2443</v>
      </c>
      <c r="CK116" t="s">
        <v>2444</v>
      </c>
      <c r="CL116" t="s">
        <v>2445</v>
      </c>
      <c r="CM116" t="s">
        <v>2446</v>
      </c>
      <c r="CO116" t="s">
        <v>2447</v>
      </c>
      <c r="CP116" t="s">
        <v>2448</v>
      </c>
      <c r="CQ116" t="s">
        <v>2449</v>
      </c>
      <c r="CS116" t="s">
        <v>2450</v>
      </c>
      <c r="CT116" t="s">
        <v>2451</v>
      </c>
      <c r="CV116">
        <v>9</v>
      </c>
      <c r="CW116">
        <v>9</v>
      </c>
      <c r="CX116">
        <v>9</v>
      </c>
      <c r="CY116">
        <v>9</v>
      </c>
      <c r="CZ116">
        <v>9</v>
      </c>
      <c r="DA116">
        <v>0.1</v>
      </c>
      <c r="DB116">
        <v>0.1</v>
      </c>
      <c r="DC116">
        <v>0.2</v>
      </c>
      <c r="DD116">
        <v>0.3</v>
      </c>
      <c r="DE116">
        <v>0.3</v>
      </c>
      <c r="DF116">
        <v>0.9</v>
      </c>
      <c r="DG116">
        <v>0.9</v>
      </c>
      <c r="DH116">
        <v>1.8</v>
      </c>
      <c r="DI116">
        <v>2.7</v>
      </c>
      <c r="DJ116">
        <v>2.7</v>
      </c>
      <c r="DK116">
        <v>8</v>
      </c>
      <c r="DL116">
        <v>0</v>
      </c>
      <c r="DM116">
        <v>8</v>
      </c>
      <c r="DN116">
        <v>8.4</v>
      </c>
      <c r="DO116">
        <f>AVERAGE(CV116:CZ116)</f>
        <v>9</v>
      </c>
      <c r="DQ116" t="s">
        <v>125</v>
      </c>
      <c r="DR116" t="s">
        <v>33</v>
      </c>
      <c r="DS116" t="s">
        <v>166</v>
      </c>
      <c r="DT116" t="s">
        <v>279</v>
      </c>
      <c r="DU116" t="s">
        <v>168</v>
      </c>
      <c r="DV116" t="s">
        <v>280</v>
      </c>
      <c r="DW116" t="s">
        <v>3788</v>
      </c>
      <c r="DX116" t="s">
        <v>3789</v>
      </c>
      <c r="DY116" t="s">
        <v>4145</v>
      </c>
      <c r="DZ116" t="s">
        <v>4145</v>
      </c>
      <c r="EA116" t="s">
        <v>3993</v>
      </c>
      <c r="EB116" t="s">
        <v>4146</v>
      </c>
      <c r="EC116" t="s">
        <v>4424</v>
      </c>
      <c r="ED116" t="s">
        <v>4424</v>
      </c>
      <c r="EE116" t="s">
        <v>4425</v>
      </c>
      <c r="EF116" t="s">
        <v>4426</v>
      </c>
      <c r="EG116" t="s">
        <v>4426</v>
      </c>
      <c r="EH116" t="s">
        <v>4426</v>
      </c>
      <c r="EI116" t="s">
        <v>4427</v>
      </c>
      <c r="EJ116" t="s">
        <v>4151</v>
      </c>
      <c r="EK116" t="s">
        <v>4151</v>
      </c>
      <c r="EL116" t="s">
        <v>4151</v>
      </c>
      <c r="EM116" t="s">
        <v>4428</v>
      </c>
      <c r="EN116" t="s">
        <v>4429</v>
      </c>
      <c r="EO116" t="s">
        <v>4430</v>
      </c>
      <c r="EP116" t="s">
        <v>4430</v>
      </c>
      <c r="EQ116">
        <v>8</v>
      </c>
      <c r="ER116">
        <v>7</v>
      </c>
      <c r="ES116">
        <v>7</v>
      </c>
      <c r="ET116">
        <v>7</v>
      </c>
      <c r="EU116">
        <v>7</v>
      </c>
      <c r="EV116">
        <v>0.1</v>
      </c>
      <c r="EW116">
        <v>0.1</v>
      </c>
      <c r="EX116">
        <v>0.2</v>
      </c>
      <c r="EY116">
        <v>0.3</v>
      </c>
      <c r="EZ116">
        <v>0.3</v>
      </c>
      <c r="FA116">
        <f>EV116*EQ116</f>
        <v>0.8</v>
      </c>
      <c r="FB116">
        <f>EW116*ER116</f>
        <v>0.70000000000000007</v>
      </c>
      <c r="FC116">
        <f>EX116*ES116</f>
        <v>1.4000000000000001</v>
      </c>
      <c r="FD116">
        <f>EY116*ET116</f>
        <v>2.1</v>
      </c>
      <c r="FE116">
        <f>EZ116*EU116</f>
        <v>2.1</v>
      </c>
      <c r="FF116">
        <v>15</v>
      </c>
      <c r="FG116">
        <v>0</v>
      </c>
      <c r="FH116">
        <v>9</v>
      </c>
      <c r="FI116">
        <f>FA116+FB116+FC116+FD116+FE116</f>
        <v>7.1</v>
      </c>
      <c r="FJ116">
        <f>MEDIAN(EQ116:EU116)</f>
        <v>7</v>
      </c>
      <c r="FL116">
        <v>73.52</v>
      </c>
      <c r="FM116">
        <v>9.6</v>
      </c>
      <c r="FN116" t="s">
        <v>1150</v>
      </c>
      <c r="FO116" t="s">
        <v>1151</v>
      </c>
      <c r="FP116" t="s">
        <v>1152</v>
      </c>
      <c r="FQ116" t="s">
        <v>1153</v>
      </c>
      <c r="FR116" t="s">
        <v>1154</v>
      </c>
      <c r="FS116">
        <v>10</v>
      </c>
      <c r="FT116">
        <v>10</v>
      </c>
      <c r="FU116">
        <v>10</v>
      </c>
      <c r="FV116">
        <v>8.5</v>
      </c>
      <c r="FW116">
        <v>7.5</v>
      </c>
      <c r="FX116">
        <v>0.1</v>
      </c>
      <c r="FY116">
        <v>0.1</v>
      </c>
      <c r="FZ116">
        <v>0.2</v>
      </c>
      <c r="GA116">
        <v>0.3</v>
      </c>
      <c r="GB116">
        <v>0.3</v>
      </c>
      <c r="GC116">
        <f>FS116*FX116</f>
        <v>1</v>
      </c>
      <c r="GD116">
        <f>FT116*FY116</f>
        <v>1</v>
      </c>
      <c r="GE116">
        <f>FU116*FZ116</f>
        <v>2</v>
      </c>
      <c r="GF116">
        <f>FV116*GA116</f>
        <v>2.5499999999999998</v>
      </c>
      <c r="GG116">
        <f>FW116*GB116</f>
        <v>2.25</v>
      </c>
      <c r="GH116">
        <v>9.85</v>
      </c>
      <c r="GI116">
        <v>0.2</v>
      </c>
      <c r="GJ116">
        <v>9.6</v>
      </c>
      <c r="GK116">
        <f>GC116+GD116+GE116+GF116+GG116</f>
        <v>8.8000000000000007</v>
      </c>
      <c r="GL116">
        <f>MEDIAN(FS116:FW116)</f>
        <v>10</v>
      </c>
    </row>
    <row r="117" spans="1:194" hidden="1" x14ac:dyDescent="0.25">
      <c r="A117">
        <v>116</v>
      </c>
      <c r="B117" t="s">
        <v>2</v>
      </c>
      <c r="C117" s="4">
        <v>81.599999999999994</v>
      </c>
      <c r="D117">
        <v>3.2</v>
      </c>
      <c r="E117" s="1">
        <f>C117/3/D117</f>
        <v>8.5</v>
      </c>
      <c r="G117">
        <v>35.18</v>
      </c>
      <c r="H117">
        <v>8.1999999999999993</v>
      </c>
      <c r="I117">
        <f>H117*D117*3</f>
        <v>78.72</v>
      </c>
      <c r="J117">
        <v>14.65</v>
      </c>
      <c r="K117">
        <v>8.6999999999999993</v>
      </c>
      <c r="L117" s="3">
        <f>K117*3*D117</f>
        <v>83.52</v>
      </c>
      <c r="M117">
        <v>5.13</v>
      </c>
      <c r="N117">
        <v>4</v>
      </c>
      <c r="O117">
        <f>N117*D117*3</f>
        <v>38.400000000000006</v>
      </c>
      <c r="P117" s="5">
        <v>7</v>
      </c>
      <c r="Q117" s="5">
        <f>P117*D117*3</f>
        <v>67.2</v>
      </c>
      <c r="S117" t="s">
        <v>6251</v>
      </c>
      <c r="T117">
        <v>3.5</v>
      </c>
      <c r="U117" s="8">
        <f>T117*D117*3</f>
        <v>33.6</v>
      </c>
      <c r="V117">
        <v>30.52</v>
      </c>
      <c r="W117">
        <v>8.4</v>
      </c>
      <c r="X117" s="5">
        <f>W117*D117*3</f>
        <v>80.640000000000015</v>
      </c>
      <c r="Y117">
        <v>12.49</v>
      </c>
      <c r="Z117">
        <v>7.8</v>
      </c>
      <c r="AA117">
        <f>Z117*D117*3</f>
        <v>74.88</v>
      </c>
      <c r="AC117">
        <v>47.23</v>
      </c>
      <c r="AD117">
        <v>8</v>
      </c>
      <c r="AE117" s="1">
        <f>AD117*3*D117</f>
        <v>76.800000000000011</v>
      </c>
      <c r="AF117">
        <v>11.96</v>
      </c>
      <c r="AG117" s="5">
        <v>7</v>
      </c>
      <c r="AH117" s="5">
        <f>AG117*D117*3</f>
        <v>67.2</v>
      </c>
      <c r="AI117" s="13"/>
      <c r="AJ117">
        <v>7.3</v>
      </c>
      <c r="AK117" s="8">
        <f>AJ117*D117*3</f>
        <v>70.08</v>
      </c>
      <c r="AL117" s="13"/>
      <c r="AM117">
        <v>31.46</v>
      </c>
      <c r="AN117">
        <v>7</v>
      </c>
      <c r="AO117" s="8">
        <f>AN117*D117*3</f>
        <v>67.2</v>
      </c>
      <c r="AP117">
        <v>15.11</v>
      </c>
      <c r="AQ117">
        <v>10</v>
      </c>
      <c r="AR117">
        <f>AQ117*D117*3</f>
        <v>96</v>
      </c>
      <c r="AT117">
        <v>9</v>
      </c>
      <c r="AU117">
        <f>AT117*D117*3</f>
        <v>86.4</v>
      </c>
      <c r="AW117">
        <v>24.28</v>
      </c>
      <c r="AX117">
        <v>9.4</v>
      </c>
      <c r="AY117">
        <f>AX117*D117*3</f>
        <v>90.240000000000009</v>
      </c>
      <c r="AZ117">
        <v>24.28</v>
      </c>
      <c r="BA117">
        <v>9.4</v>
      </c>
      <c r="BB117">
        <f>BA117*D117*3</f>
        <v>90.240000000000009</v>
      </c>
      <c r="BD117">
        <v>9</v>
      </c>
      <c r="BE117">
        <f>BD117*D117*3</f>
        <v>86.4</v>
      </c>
      <c r="BG117" s="10"/>
      <c r="BH117" s="1">
        <f>CHOOSE(MATCH(MIN(ABS(BP117-C117),ABS(BQ117-C117),ABS(BR117-C117)),CHOOSE({1;2;3},ABS(BP117-C117),ABS(BQ117-C117),ABS(BR117-C117)),0),BP117,BQ117,BR117)</f>
        <v>76.800000000000011</v>
      </c>
      <c r="BJ117" s="1" cm="1">
        <f t="array" ref="BJ117">(INDEX(_xlfn._xlws.SORT(CHOOSE({1;2;3;4;5;6},BQ117,BR117,L117,AE117,BO117,BP117)),3) + INDEX(_xlfn._xlws.SORT(CHOOSE({1;2;3;4;5;6},BQ117,BR117,L117,AE117,BO117,BP117)),4))/2</f>
        <v>76.800000000000011</v>
      </c>
      <c r="BK117">
        <v>8.4505981970703203</v>
      </c>
      <c r="BL117" t="s">
        <v>6117</v>
      </c>
      <c r="BM117" s="1">
        <f>BK117*3*D117</f>
        <v>81.125742691875075</v>
      </c>
      <c r="BN117" s="1">
        <f>BM117-C117</f>
        <v>-0.47425730812491906</v>
      </c>
      <c r="BO117" s="1">
        <f>GK117*3*D117</f>
        <v>72</v>
      </c>
      <c r="BP117" s="1">
        <f>DO117*3*D117</f>
        <v>86.4</v>
      </c>
      <c r="BQ117" s="1">
        <f>FJ117*3*D117</f>
        <v>76.800000000000011</v>
      </c>
      <c r="BR117" s="1">
        <f>GL117*3*D117</f>
        <v>72</v>
      </c>
      <c r="BT117">
        <v>35.18</v>
      </c>
      <c r="BU117">
        <v>8.1999999999999993</v>
      </c>
      <c r="BV117" t="s">
        <v>5397</v>
      </c>
      <c r="BW117" t="s">
        <v>5398</v>
      </c>
      <c r="BX117" t="s">
        <v>5399</v>
      </c>
      <c r="BY117" t="s">
        <v>5400</v>
      </c>
      <c r="BZ117" t="s">
        <v>5401</v>
      </c>
      <c r="CA117" t="s">
        <v>2437</v>
      </c>
      <c r="CC117" t="s">
        <v>2758</v>
      </c>
      <c r="CD117" t="s">
        <v>2508</v>
      </c>
      <c r="CE117" t="s">
        <v>2440</v>
      </c>
      <c r="CG117" t="s">
        <v>2761</v>
      </c>
      <c r="CH117" t="s">
        <v>2510</v>
      </c>
      <c r="CI117" t="s">
        <v>2443</v>
      </c>
      <c r="CK117" t="s">
        <v>2795</v>
      </c>
      <c r="CL117" t="s">
        <v>2512</v>
      </c>
      <c r="CM117" t="s">
        <v>2446</v>
      </c>
      <c r="CO117" t="s">
        <v>2796</v>
      </c>
      <c r="CP117" t="s">
        <v>2514</v>
      </c>
      <c r="CQ117" t="s">
        <v>2449</v>
      </c>
      <c r="CS117" t="s">
        <v>2679</v>
      </c>
      <c r="CT117" t="s">
        <v>2524</v>
      </c>
      <c r="CV117">
        <v>9</v>
      </c>
      <c r="CW117">
        <v>9</v>
      </c>
      <c r="CX117">
        <v>9</v>
      </c>
      <c r="CY117">
        <v>9</v>
      </c>
      <c r="CZ117">
        <v>9</v>
      </c>
      <c r="DA117">
        <v>0.1</v>
      </c>
      <c r="DB117">
        <v>0.1</v>
      </c>
      <c r="DC117">
        <v>0.2</v>
      </c>
      <c r="DD117">
        <v>0.3</v>
      </c>
      <c r="DE117">
        <v>0.3</v>
      </c>
      <c r="DF117">
        <v>0.9</v>
      </c>
      <c r="DG117">
        <v>0.9</v>
      </c>
      <c r="DH117">
        <v>1.8</v>
      </c>
      <c r="DI117">
        <v>2.7</v>
      </c>
      <c r="DJ117">
        <v>2.7</v>
      </c>
      <c r="DK117">
        <v>8.1999999999999993</v>
      </c>
      <c r="DL117">
        <v>0</v>
      </c>
      <c r="DM117">
        <v>8.1999999999999993</v>
      </c>
      <c r="DN117">
        <v>8.6999999999999993</v>
      </c>
      <c r="DO117">
        <f>AVERAGE(CV117:CZ117)</f>
        <v>9</v>
      </c>
      <c r="DQ117" t="s">
        <v>27</v>
      </c>
      <c r="DR117" t="s">
        <v>52</v>
      </c>
      <c r="DS117" t="s">
        <v>61</v>
      </c>
      <c r="DT117" t="s">
        <v>238</v>
      </c>
      <c r="DU117" t="s">
        <v>281</v>
      </c>
      <c r="DV117" t="s">
        <v>282</v>
      </c>
      <c r="DW117" t="s">
        <v>3836</v>
      </c>
      <c r="DX117" t="s">
        <v>3858</v>
      </c>
      <c r="DY117" t="s">
        <v>4033</v>
      </c>
      <c r="DZ117" t="s">
        <v>4034</v>
      </c>
      <c r="EA117" t="s">
        <v>3860</v>
      </c>
      <c r="EB117" t="s">
        <v>4330</v>
      </c>
      <c r="EC117" t="s">
        <v>4431</v>
      </c>
      <c r="ED117" t="s">
        <v>4432</v>
      </c>
      <c r="EE117" t="s">
        <v>3843</v>
      </c>
      <c r="EF117" t="s">
        <v>4333</v>
      </c>
      <c r="EG117" t="s">
        <v>4433</v>
      </c>
      <c r="EH117" t="s">
        <v>4434</v>
      </c>
      <c r="EI117" t="s">
        <v>3847</v>
      </c>
      <c r="EJ117" t="s">
        <v>4336</v>
      </c>
      <c r="EK117" t="s">
        <v>4435</v>
      </c>
      <c r="EL117" t="s">
        <v>4435</v>
      </c>
      <c r="EM117" t="s">
        <v>3871</v>
      </c>
      <c r="EN117" t="s">
        <v>4338</v>
      </c>
      <c r="EO117" t="s">
        <v>4436</v>
      </c>
      <c r="EP117" t="s">
        <v>4437</v>
      </c>
      <c r="EQ117">
        <v>8</v>
      </c>
      <c r="ER117">
        <v>8</v>
      </c>
      <c r="ES117">
        <v>8</v>
      </c>
      <c r="ET117">
        <v>8</v>
      </c>
      <c r="EU117">
        <v>8</v>
      </c>
      <c r="EV117">
        <v>0.1</v>
      </c>
      <c r="EW117">
        <v>0.1</v>
      </c>
      <c r="EX117">
        <v>0.2</v>
      </c>
      <c r="EY117">
        <v>0.3</v>
      </c>
      <c r="EZ117">
        <v>0.3</v>
      </c>
      <c r="FA117">
        <f>EV117*EQ117</f>
        <v>0.8</v>
      </c>
      <c r="FB117">
        <f>EW117*ER117</f>
        <v>0.8</v>
      </c>
      <c r="FC117">
        <f>EX117*ES117</f>
        <v>1.6</v>
      </c>
      <c r="FD117">
        <f>EY117*ET117</f>
        <v>2.4</v>
      </c>
      <c r="FE117">
        <f>EZ117*EU117</f>
        <v>2.4</v>
      </c>
      <c r="FF117">
        <v>17</v>
      </c>
      <c r="FG117">
        <v>0</v>
      </c>
      <c r="FH117">
        <v>8</v>
      </c>
      <c r="FI117">
        <f>FA117+FB117+FC117+FD117+FE117</f>
        <v>8</v>
      </c>
      <c r="FJ117">
        <f>MEDIAN(EQ117:EU117)</f>
        <v>8</v>
      </c>
      <c r="FL117">
        <v>37.35</v>
      </c>
      <c r="FM117">
        <v>8.6999999999999993</v>
      </c>
      <c r="FN117" t="s">
        <v>1155</v>
      </c>
      <c r="FO117" t="s">
        <v>1156</v>
      </c>
      <c r="FP117" t="s">
        <v>1157</v>
      </c>
      <c r="FQ117" t="s">
        <v>1158</v>
      </c>
      <c r="FR117" t="s">
        <v>1159</v>
      </c>
      <c r="FS117">
        <v>5</v>
      </c>
      <c r="FT117">
        <v>7.5</v>
      </c>
      <c r="FU117">
        <v>8</v>
      </c>
      <c r="FV117">
        <v>6.5</v>
      </c>
      <c r="FW117">
        <v>9</v>
      </c>
      <c r="FX117">
        <v>0.1</v>
      </c>
      <c r="FY117">
        <v>0.1</v>
      </c>
      <c r="FZ117">
        <v>0.2</v>
      </c>
      <c r="GA117">
        <v>0.3</v>
      </c>
      <c r="GB117">
        <v>0.3</v>
      </c>
      <c r="GC117">
        <f>FS117*FX117</f>
        <v>0.5</v>
      </c>
      <c r="GD117">
        <f>FT117*FY117</f>
        <v>0.75</v>
      </c>
      <c r="GE117">
        <f>FU117*FZ117</f>
        <v>1.6</v>
      </c>
      <c r="GF117">
        <f>FV117*GA117</f>
        <v>1.95</v>
      </c>
      <c r="GG117">
        <f>FW117*GB117</f>
        <v>2.6999999999999997</v>
      </c>
      <c r="GH117">
        <v>8.75</v>
      </c>
      <c r="GI117">
        <v>0</v>
      </c>
      <c r="GJ117">
        <v>8.6999999999999993</v>
      </c>
      <c r="GK117">
        <f>GC117+GD117+GE117+GF117+GG117</f>
        <v>7.5</v>
      </c>
      <c r="GL117">
        <f>MEDIAN(FS117:FW117)</f>
        <v>7.5</v>
      </c>
    </row>
    <row r="118" spans="1:194" hidden="1" x14ac:dyDescent="0.25">
      <c r="A118">
        <v>117</v>
      </c>
      <c r="B118" t="s">
        <v>2</v>
      </c>
      <c r="C118" s="4">
        <v>55.8</v>
      </c>
      <c r="D118">
        <v>3.6</v>
      </c>
      <c r="E118" s="1">
        <f>C118/3/D118</f>
        <v>5.1666666666666661</v>
      </c>
      <c r="G118">
        <v>34.450000000000003</v>
      </c>
      <c r="H118">
        <v>7.65</v>
      </c>
      <c r="I118">
        <f>H118*D118*3</f>
        <v>82.62</v>
      </c>
      <c r="J118">
        <v>17.96</v>
      </c>
      <c r="K118">
        <v>7.8</v>
      </c>
      <c r="L118" s="3">
        <f>K118*3*D118</f>
        <v>84.24</v>
      </c>
      <c r="M118">
        <v>5.07</v>
      </c>
      <c r="N118">
        <v>5</v>
      </c>
      <c r="O118">
        <f>N118*D118*3</f>
        <v>54</v>
      </c>
      <c r="P118" s="5">
        <v>7</v>
      </c>
      <c r="Q118" s="5">
        <f>P118*D118*3</f>
        <v>75.599999999999994</v>
      </c>
      <c r="S118" t="s">
        <v>6252</v>
      </c>
      <c r="T118">
        <v>6.2</v>
      </c>
      <c r="U118" s="8">
        <f>T118*D118*3</f>
        <v>66.960000000000008</v>
      </c>
      <c r="V118">
        <v>35.25</v>
      </c>
      <c r="W118">
        <v>7.9</v>
      </c>
      <c r="X118" s="5">
        <f>W118*D118*3</f>
        <v>85.320000000000007</v>
      </c>
      <c r="Y118">
        <v>10.41</v>
      </c>
      <c r="Z118">
        <v>7.5</v>
      </c>
      <c r="AA118">
        <f>Z118*D118*3</f>
        <v>81</v>
      </c>
      <c r="AC118">
        <v>46.45</v>
      </c>
      <c r="AD118">
        <v>7.9</v>
      </c>
      <c r="AE118" s="1">
        <f>AD118*3*D118</f>
        <v>85.320000000000007</v>
      </c>
      <c r="AF118">
        <v>11.87</v>
      </c>
      <c r="AG118" s="5">
        <v>7</v>
      </c>
      <c r="AH118" s="5">
        <f>AG118*D118*3</f>
        <v>75.599999999999994</v>
      </c>
      <c r="AI118" s="13"/>
      <c r="AJ118">
        <v>42</v>
      </c>
      <c r="AK118" s="8">
        <f>AJ118*D118*3</f>
        <v>453.6</v>
      </c>
      <c r="AL118" s="13"/>
      <c r="AM118">
        <v>31.14</v>
      </c>
      <c r="AN118">
        <v>7.2</v>
      </c>
      <c r="AO118" s="8">
        <f>AN118*D118*3</f>
        <v>77.760000000000005</v>
      </c>
      <c r="AP118">
        <v>14.75</v>
      </c>
      <c r="AQ118">
        <v>9.5</v>
      </c>
      <c r="AR118">
        <f>AQ118*D118*3</f>
        <v>102.60000000000001</v>
      </c>
      <c r="AT118">
        <v>9</v>
      </c>
      <c r="AU118">
        <f>AT118*D118*3</f>
        <v>97.199999999999989</v>
      </c>
      <c r="AW118">
        <v>25.77</v>
      </c>
      <c r="AX118">
        <v>9.3000000000000007</v>
      </c>
      <c r="AY118">
        <f>AX118*D118*3</f>
        <v>100.44000000000001</v>
      </c>
      <c r="AZ118">
        <v>25.77</v>
      </c>
      <c r="BA118">
        <v>8.4</v>
      </c>
      <c r="BB118">
        <f>BA118*D118*3</f>
        <v>90.72</v>
      </c>
      <c r="BD118">
        <v>9</v>
      </c>
      <c r="BE118">
        <f>BD118*D118*3</f>
        <v>97.199999999999989</v>
      </c>
      <c r="BG118" s="10"/>
      <c r="BH118" s="1">
        <f>CHOOSE(MATCH(MIN(ABS(BP118-C118),ABS(BQ118-C118),ABS(BR118-C118)),CHOOSE({1;2;3},ABS(BP118-C118),ABS(BQ118-C118),ABS(BR118-C118)),0),BP118,BQ118,BR118)</f>
        <v>54</v>
      </c>
      <c r="BJ118" s="1" cm="1">
        <f t="array" ref="BJ118">(INDEX(_xlfn._xlws.SORT(CHOOSE({1;2;3;4;5;6},BQ118,BR118,L118,AE118,BO118,BP118)),3) + INDEX(_xlfn._xlws.SORT(CHOOSE({1;2;3;4;5;6},BQ118,BR118,L118,AE118,BO118,BP118)),4))/2</f>
        <v>84.78</v>
      </c>
      <c r="BK118">
        <v>5.1828236623468902</v>
      </c>
      <c r="BL118" t="s">
        <v>6117</v>
      </c>
      <c r="BM118" s="1">
        <f>BK118*3*D118</f>
        <v>55.974495553346415</v>
      </c>
      <c r="BN118" s="1">
        <f>BM118-C118</f>
        <v>0.17449555334641786</v>
      </c>
      <c r="BO118" s="1">
        <f>GK118*3*D118</f>
        <v>58.320000000000014</v>
      </c>
      <c r="BP118" s="1">
        <f>DO118*3*D118</f>
        <v>96.120000000000019</v>
      </c>
      <c r="BQ118" s="1">
        <f>FJ118*3*D118</f>
        <v>86.4</v>
      </c>
      <c r="BR118" s="1">
        <f>GL118*3*D118</f>
        <v>54</v>
      </c>
      <c r="BT118">
        <v>34.450000000000003</v>
      </c>
      <c r="BU118">
        <v>7.65</v>
      </c>
      <c r="BV118" t="s">
        <v>5393</v>
      </c>
      <c r="BW118" t="s">
        <v>5402</v>
      </c>
      <c r="BX118" t="s">
        <v>5403</v>
      </c>
      <c r="BY118" t="s">
        <v>5404</v>
      </c>
      <c r="BZ118" t="s">
        <v>5405</v>
      </c>
      <c r="CA118" t="s">
        <v>2550</v>
      </c>
      <c r="CC118" t="s">
        <v>2634</v>
      </c>
      <c r="CD118" t="s">
        <v>2635</v>
      </c>
      <c r="CE118" t="s">
        <v>2553</v>
      </c>
      <c r="CG118" t="s">
        <v>2634</v>
      </c>
      <c r="CH118" t="s">
        <v>2773</v>
      </c>
      <c r="CI118" t="s">
        <v>2867</v>
      </c>
      <c r="CK118" t="s">
        <v>2634</v>
      </c>
      <c r="CL118" t="s">
        <v>2669</v>
      </c>
      <c r="CM118" t="s">
        <v>2868</v>
      </c>
      <c r="CO118" t="s">
        <v>2634</v>
      </c>
      <c r="CP118" t="s">
        <v>2869</v>
      </c>
      <c r="CQ118" t="s">
        <v>2926</v>
      </c>
      <c r="CR118" t="s">
        <v>2870</v>
      </c>
      <c r="CS118" t="s">
        <v>2871</v>
      </c>
      <c r="CT118" t="s">
        <v>2872</v>
      </c>
      <c r="CV118">
        <v>9</v>
      </c>
      <c r="CW118">
        <v>9</v>
      </c>
      <c r="CX118">
        <v>9</v>
      </c>
      <c r="CY118">
        <v>9</v>
      </c>
      <c r="CZ118">
        <v>8.5</v>
      </c>
      <c r="DA118">
        <v>0.1</v>
      </c>
      <c r="DB118">
        <v>0.1</v>
      </c>
      <c r="DC118">
        <v>0.2</v>
      </c>
      <c r="DD118">
        <v>0.3</v>
      </c>
      <c r="DE118">
        <v>0.3</v>
      </c>
      <c r="DF118">
        <v>0.9</v>
      </c>
      <c r="DG118">
        <v>0.9</v>
      </c>
      <c r="DH118">
        <v>1.8</v>
      </c>
      <c r="DI118">
        <v>2.7</v>
      </c>
      <c r="DJ118">
        <v>2.5499999999999998</v>
      </c>
      <c r="DK118">
        <v>7.65</v>
      </c>
      <c r="DL118">
        <v>0</v>
      </c>
      <c r="DM118">
        <v>7.65</v>
      </c>
      <c r="DN118">
        <v>7.8</v>
      </c>
      <c r="DO118">
        <f>AVERAGE(CV118:CZ118)</f>
        <v>8.9</v>
      </c>
      <c r="DQ118">
        <v>8</v>
      </c>
      <c r="DR118" t="s">
        <v>28</v>
      </c>
      <c r="DS118" t="s">
        <v>43</v>
      </c>
      <c r="DT118" t="s">
        <v>227</v>
      </c>
      <c r="DU118" t="s">
        <v>283</v>
      </c>
      <c r="DV118" t="s">
        <v>229</v>
      </c>
      <c r="DW118" t="s">
        <v>3805</v>
      </c>
      <c r="DX118" t="s">
        <v>3770</v>
      </c>
      <c r="DY118" t="s">
        <v>3771</v>
      </c>
      <c r="DZ118" t="s">
        <v>3772</v>
      </c>
      <c r="EA118" t="s">
        <v>3806</v>
      </c>
      <c r="EB118" t="s">
        <v>3807</v>
      </c>
      <c r="EC118" t="s">
        <v>3775</v>
      </c>
      <c r="ED118" t="s">
        <v>3776</v>
      </c>
      <c r="EE118" t="s">
        <v>3946</v>
      </c>
      <c r="EF118" t="s">
        <v>3809</v>
      </c>
      <c r="EG118" t="s">
        <v>4200</v>
      </c>
      <c r="EH118" t="s">
        <v>4201</v>
      </c>
      <c r="EI118" t="s">
        <v>4438</v>
      </c>
      <c r="EJ118" t="s">
        <v>3813</v>
      </c>
      <c r="EK118" t="s">
        <v>4049</v>
      </c>
      <c r="EL118" t="s">
        <v>3815</v>
      </c>
      <c r="EM118" t="s">
        <v>3949</v>
      </c>
      <c r="EN118" t="s">
        <v>3809</v>
      </c>
      <c r="EO118" t="s">
        <v>4439</v>
      </c>
      <c r="EP118" t="s">
        <v>3818</v>
      </c>
      <c r="EQ118">
        <v>7</v>
      </c>
      <c r="ER118">
        <v>8</v>
      </c>
      <c r="ES118">
        <v>8</v>
      </c>
      <c r="ET118">
        <v>8</v>
      </c>
      <c r="EU118">
        <v>8</v>
      </c>
      <c r="EV118">
        <v>0.1</v>
      </c>
      <c r="EW118">
        <v>0.1</v>
      </c>
      <c r="EX118">
        <v>0.2</v>
      </c>
      <c r="EY118">
        <v>0.3</v>
      </c>
      <c r="EZ118">
        <v>0.3</v>
      </c>
      <c r="FA118">
        <f>EV118*EQ118</f>
        <v>0.70000000000000007</v>
      </c>
      <c r="FB118">
        <f>EW118*ER118</f>
        <v>0.8</v>
      </c>
      <c r="FC118">
        <f>EX118*ES118</f>
        <v>1.6</v>
      </c>
      <c r="FD118">
        <f>EY118*ET118</f>
        <v>2.4</v>
      </c>
      <c r="FE118">
        <f>EZ118*EU118</f>
        <v>2.4</v>
      </c>
      <c r="FF118">
        <v>15</v>
      </c>
      <c r="FG118">
        <v>0</v>
      </c>
      <c r="FH118">
        <v>15</v>
      </c>
      <c r="FI118">
        <f>FA118+FB118+FC118+FD118+FE118</f>
        <v>7.9</v>
      </c>
      <c r="FJ118">
        <f>MEDIAN(EQ118:EU118)</f>
        <v>8</v>
      </c>
      <c r="FL118">
        <v>42.12</v>
      </c>
      <c r="FM118">
        <v>7</v>
      </c>
      <c r="FN118" t="s">
        <v>1160</v>
      </c>
      <c r="FO118" t="s">
        <v>1161</v>
      </c>
      <c r="FP118" t="s">
        <v>1162</v>
      </c>
      <c r="FQ118" t="s">
        <v>1163</v>
      </c>
      <c r="FR118" t="s">
        <v>1164</v>
      </c>
      <c r="FS118">
        <v>5</v>
      </c>
      <c r="FT118">
        <v>4</v>
      </c>
      <c r="FU118">
        <v>3</v>
      </c>
      <c r="FV118">
        <v>6</v>
      </c>
      <c r="FW118">
        <v>7</v>
      </c>
      <c r="FX118">
        <v>0.1</v>
      </c>
      <c r="FY118">
        <v>0.1</v>
      </c>
      <c r="FZ118">
        <v>0.2</v>
      </c>
      <c r="GA118">
        <v>0.3</v>
      </c>
      <c r="GB118">
        <v>0.3</v>
      </c>
      <c r="GC118">
        <f>FS118*FX118</f>
        <v>0.5</v>
      </c>
      <c r="GD118">
        <f>FT118*FY118</f>
        <v>0.4</v>
      </c>
      <c r="GE118">
        <f>FU118*FZ118</f>
        <v>0.60000000000000009</v>
      </c>
      <c r="GF118">
        <f>FV118*GA118</f>
        <v>1.7999999999999998</v>
      </c>
      <c r="GG118">
        <f>FW118*GB118</f>
        <v>2.1</v>
      </c>
      <c r="GH118">
        <v>7</v>
      </c>
      <c r="GJ118">
        <v>7</v>
      </c>
      <c r="GK118">
        <f>GC118+GD118+GE118+GF118+GG118</f>
        <v>5.4</v>
      </c>
      <c r="GL118">
        <f>MEDIAN(FS118:FW118)</f>
        <v>5</v>
      </c>
    </row>
    <row r="119" spans="1:194" hidden="1" x14ac:dyDescent="0.25">
      <c r="A119">
        <v>118</v>
      </c>
      <c r="B119" t="s">
        <v>2</v>
      </c>
      <c r="C119" s="4">
        <v>86.4</v>
      </c>
      <c r="D119">
        <v>3.2</v>
      </c>
      <c r="E119" s="1">
        <f>C119/3/D119</f>
        <v>9</v>
      </c>
      <c r="G119">
        <v>34.32</v>
      </c>
      <c r="H119">
        <v>8.1999999999999993</v>
      </c>
      <c r="I119">
        <f>H119*D119*3</f>
        <v>78.72</v>
      </c>
      <c r="J119">
        <v>17.68</v>
      </c>
      <c r="K119">
        <v>8.4</v>
      </c>
      <c r="L119" s="3">
        <f>K119*3*D119</f>
        <v>80.640000000000015</v>
      </c>
      <c r="M119">
        <v>5.55</v>
      </c>
      <c r="N119">
        <v>3</v>
      </c>
      <c r="O119">
        <f>N119*D119*3</f>
        <v>28.800000000000004</v>
      </c>
      <c r="P119" s="5">
        <v>6.5</v>
      </c>
      <c r="Q119" s="5">
        <f>P119*D119*3</f>
        <v>62.400000000000006</v>
      </c>
      <c r="S119" t="s">
        <v>6253</v>
      </c>
      <c r="T119">
        <v>5</v>
      </c>
      <c r="U119" s="8">
        <f>T119*D119*3</f>
        <v>48</v>
      </c>
      <c r="V119">
        <v>32.68</v>
      </c>
      <c r="W119">
        <v>9</v>
      </c>
      <c r="X119" s="5">
        <f>W119*D119*3</f>
        <v>86.4</v>
      </c>
      <c r="Y119">
        <v>12.21</v>
      </c>
      <c r="Z119">
        <v>7.6</v>
      </c>
      <c r="AA119">
        <f>Z119*D119*3</f>
        <v>72.960000000000008</v>
      </c>
      <c r="AC119">
        <v>45.63</v>
      </c>
      <c r="AD119">
        <v>8</v>
      </c>
      <c r="AE119" s="1">
        <f>AD119*3*D119</f>
        <v>76.800000000000011</v>
      </c>
      <c r="AF119">
        <v>11.92</v>
      </c>
      <c r="AG119" s="5">
        <v>7</v>
      </c>
      <c r="AH119" s="5">
        <f>AG119*D119*3</f>
        <v>67.2</v>
      </c>
      <c r="AI119" s="13"/>
      <c r="AJ119">
        <v>8.1999999999999993</v>
      </c>
      <c r="AK119" s="8">
        <f>AJ119*D119*3</f>
        <v>78.72</v>
      </c>
      <c r="AL119" s="13"/>
      <c r="AM119">
        <v>31.01</v>
      </c>
      <c r="AN119">
        <v>7.3</v>
      </c>
      <c r="AO119" s="8">
        <f>AN119*D119*3</f>
        <v>70.08</v>
      </c>
      <c r="AP119">
        <v>15.12</v>
      </c>
      <c r="AQ119">
        <v>10</v>
      </c>
      <c r="AR119">
        <f>AQ119*D119*3</f>
        <v>96</v>
      </c>
      <c r="AT119">
        <v>8.5</v>
      </c>
      <c r="AU119">
        <f>AT119*D119*3</f>
        <v>81.600000000000009</v>
      </c>
      <c r="AW119">
        <v>24.68</v>
      </c>
      <c r="AX119">
        <v>9.1999999999999993</v>
      </c>
      <c r="AY119">
        <f>AX119*D119*3</f>
        <v>88.32</v>
      </c>
      <c r="AZ119">
        <v>24.68</v>
      </c>
      <c r="BA119">
        <v>9.1999999999999993</v>
      </c>
      <c r="BB119">
        <f>BA119*D119*3</f>
        <v>88.32</v>
      </c>
      <c r="BD119">
        <v>9</v>
      </c>
      <c r="BE119">
        <f>BD119*D119*3</f>
        <v>86.4</v>
      </c>
      <c r="BG119" s="10"/>
      <c r="BH119" s="1">
        <f>CHOOSE(MATCH(MIN(ABS(BP119-C119),ABS(BQ119-C119),ABS(BR119-C119)),CHOOSE({1;2;3},ABS(BP119-C119),ABS(BQ119-C119),ABS(BR119-C119)),0),BP119,BQ119,BR119)</f>
        <v>86.4</v>
      </c>
      <c r="BJ119" s="1" cm="1">
        <f t="array" ref="BJ119">(INDEX(_xlfn._xlws.SORT(CHOOSE({1;2;3;4;5;6},BQ119,BR119,L119,AE119,BO119,BP119)),3) + INDEX(_xlfn._xlws.SORT(CHOOSE({1;2;3;4;5;6},BQ119,BR119,L119,AE119,BO119,BP119)),4))/2</f>
        <v>76.800000000000011</v>
      </c>
      <c r="BK119">
        <v>8.9944253286525502</v>
      </c>
      <c r="BL119" t="s">
        <v>6117</v>
      </c>
      <c r="BM119" s="1">
        <f>BK119*3*D119</f>
        <v>86.34648315506449</v>
      </c>
      <c r="BN119" s="1">
        <f>BM119-C119</f>
        <v>-5.3516844935515451E-2</v>
      </c>
      <c r="BO119" s="1">
        <f>GK119*3*D119</f>
        <v>42.240000000000009</v>
      </c>
      <c r="BP119" s="1">
        <f>DO119*3*D119</f>
        <v>86.4</v>
      </c>
      <c r="BQ119" s="1">
        <f>FJ119*3*D119</f>
        <v>76.800000000000011</v>
      </c>
      <c r="BR119" s="1">
        <f>GL119*3*D119</f>
        <v>38.400000000000006</v>
      </c>
      <c r="BT119">
        <v>34.32</v>
      </c>
      <c r="BU119">
        <v>8.1999999999999993</v>
      </c>
      <c r="BV119" t="s">
        <v>5046</v>
      </c>
      <c r="BW119" t="s">
        <v>5139</v>
      </c>
      <c r="BX119" t="s">
        <v>5140</v>
      </c>
      <c r="BY119" t="s">
        <v>5092</v>
      </c>
      <c r="BZ119" t="s">
        <v>5406</v>
      </c>
      <c r="CA119" t="s">
        <v>2437</v>
      </c>
      <c r="CC119" t="s">
        <v>2758</v>
      </c>
      <c r="CD119" t="s">
        <v>2508</v>
      </c>
      <c r="CE119" t="s">
        <v>2440</v>
      </c>
      <c r="CG119" t="s">
        <v>2761</v>
      </c>
      <c r="CH119" t="s">
        <v>2510</v>
      </c>
      <c r="CI119" t="s">
        <v>2443</v>
      </c>
      <c r="CK119" t="s">
        <v>2795</v>
      </c>
      <c r="CL119" t="s">
        <v>2512</v>
      </c>
      <c r="CM119" t="s">
        <v>2446</v>
      </c>
      <c r="CO119" t="s">
        <v>2796</v>
      </c>
      <c r="CP119" t="s">
        <v>2514</v>
      </c>
      <c r="CQ119" t="s">
        <v>2449</v>
      </c>
      <c r="CS119" t="s">
        <v>2679</v>
      </c>
      <c r="CT119" t="s">
        <v>2524</v>
      </c>
      <c r="CV119">
        <v>9</v>
      </c>
      <c r="CW119">
        <v>9</v>
      </c>
      <c r="CX119">
        <v>9</v>
      </c>
      <c r="CY119">
        <v>9</v>
      </c>
      <c r="CZ119">
        <v>9</v>
      </c>
      <c r="DA119">
        <v>0.1</v>
      </c>
      <c r="DB119">
        <v>0.1</v>
      </c>
      <c r="DC119">
        <v>0.2</v>
      </c>
      <c r="DD119">
        <v>0.3</v>
      </c>
      <c r="DE119">
        <v>0.3</v>
      </c>
      <c r="DF119">
        <v>0.9</v>
      </c>
      <c r="DG119">
        <v>0.9</v>
      </c>
      <c r="DH119">
        <v>1.8</v>
      </c>
      <c r="DI119">
        <v>2.7</v>
      </c>
      <c r="DJ119">
        <v>2.7</v>
      </c>
      <c r="DK119">
        <v>8.1999999999999993</v>
      </c>
      <c r="DL119">
        <v>0</v>
      </c>
      <c r="DM119">
        <v>8.1999999999999993</v>
      </c>
      <c r="DN119">
        <v>8.4</v>
      </c>
      <c r="DO119">
        <f>AVERAGE(CV119:CZ119)</f>
        <v>9</v>
      </c>
      <c r="DQ119">
        <v>8</v>
      </c>
      <c r="DR119" t="s">
        <v>47</v>
      </c>
      <c r="DS119" t="s">
        <v>48</v>
      </c>
      <c r="DT119" t="s">
        <v>49</v>
      </c>
      <c r="DU119" t="s">
        <v>179</v>
      </c>
      <c r="DV119" t="s">
        <v>51</v>
      </c>
      <c r="DW119" t="s">
        <v>3769</v>
      </c>
      <c r="DX119" t="s">
        <v>4186</v>
      </c>
      <c r="DY119" t="s">
        <v>3826</v>
      </c>
      <c r="DZ119" t="s">
        <v>3827</v>
      </c>
      <c r="EA119" t="s">
        <v>3828</v>
      </c>
      <c r="EB119" t="s">
        <v>3793</v>
      </c>
      <c r="EC119" t="s">
        <v>3829</v>
      </c>
      <c r="ED119" t="s">
        <v>3827</v>
      </c>
      <c r="EE119" t="s">
        <v>3830</v>
      </c>
      <c r="EF119" t="s">
        <v>3797</v>
      </c>
      <c r="EG119" t="s">
        <v>3831</v>
      </c>
      <c r="EH119" t="s">
        <v>3827</v>
      </c>
      <c r="EI119" t="s">
        <v>3832</v>
      </c>
      <c r="EJ119" t="s">
        <v>3800</v>
      </c>
      <c r="EK119" t="s">
        <v>3833</v>
      </c>
      <c r="EL119" t="s">
        <v>3827</v>
      </c>
      <c r="EM119" t="s">
        <v>3834</v>
      </c>
      <c r="EN119" t="s">
        <v>3803</v>
      </c>
      <c r="EO119" t="s">
        <v>3835</v>
      </c>
      <c r="EP119" t="s">
        <v>3827</v>
      </c>
      <c r="EQ119">
        <v>8</v>
      </c>
      <c r="ER119">
        <v>8</v>
      </c>
      <c r="ES119">
        <v>8</v>
      </c>
      <c r="ET119">
        <v>8</v>
      </c>
      <c r="EU119">
        <v>8</v>
      </c>
      <c r="EV119">
        <v>0.1</v>
      </c>
      <c r="EW119">
        <v>0.1</v>
      </c>
      <c r="EX119">
        <v>0.2</v>
      </c>
      <c r="EY119">
        <v>0.3</v>
      </c>
      <c r="EZ119">
        <v>0.3</v>
      </c>
      <c r="FA119">
        <f>EV119*EQ119</f>
        <v>0.8</v>
      </c>
      <c r="FB119">
        <f>EW119*ER119</f>
        <v>0.8</v>
      </c>
      <c r="FC119">
        <f>EX119*ES119</f>
        <v>1.6</v>
      </c>
      <c r="FD119">
        <f>EY119*ET119</f>
        <v>2.4</v>
      </c>
      <c r="FE119">
        <f>EZ119*EU119</f>
        <v>2.4</v>
      </c>
      <c r="FF119">
        <v>16</v>
      </c>
      <c r="FG119">
        <v>0</v>
      </c>
      <c r="FH119">
        <v>8</v>
      </c>
      <c r="FI119">
        <f>FA119+FB119+FC119+FD119+FE119</f>
        <v>8</v>
      </c>
      <c r="FJ119">
        <f>MEDIAN(EQ119:EU119)</f>
        <v>8</v>
      </c>
      <c r="FL119">
        <v>38.130000000000003</v>
      </c>
      <c r="FM119">
        <v>7</v>
      </c>
      <c r="FN119" t="s">
        <v>1165</v>
      </c>
      <c r="FO119" t="s">
        <v>1166</v>
      </c>
      <c r="FP119" t="s">
        <v>1167</v>
      </c>
      <c r="FQ119" t="s">
        <v>1168</v>
      </c>
      <c r="FR119" t="s">
        <v>1169</v>
      </c>
      <c r="FS119">
        <v>4</v>
      </c>
      <c r="FT119">
        <v>3</v>
      </c>
      <c r="FU119">
        <v>2</v>
      </c>
      <c r="FV119">
        <v>5</v>
      </c>
      <c r="FW119">
        <v>6</v>
      </c>
      <c r="FX119">
        <v>0.1</v>
      </c>
      <c r="FY119">
        <v>0.1</v>
      </c>
      <c r="FZ119">
        <v>0.2</v>
      </c>
      <c r="GA119">
        <v>0.3</v>
      </c>
      <c r="GB119">
        <v>0.3</v>
      </c>
      <c r="GC119">
        <f>FS119*FX119</f>
        <v>0.4</v>
      </c>
      <c r="GD119">
        <f>FT119*FY119</f>
        <v>0.30000000000000004</v>
      </c>
      <c r="GE119">
        <f>FU119*FZ119</f>
        <v>0.4</v>
      </c>
      <c r="GF119">
        <f>FV119*GA119</f>
        <v>1.5</v>
      </c>
      <c r="GG119">
        <f>FW119*GB119</f>
        <v>1.7999999999999998</v>
      </c>
      <c r="GH119">
        <v>7</v>
      </c>
      <c r="GI119">
        <v>0</v>
      </c>
      <c r="GJ119">
        <v>7</v>
      </c>
      <c r="GK119">
        <f>GC119+GD119+GE119+GF119+GG119</f>
        <v>4.4000000000000004</v>
      </c>
      <c r="GL119">
        <f>MEDIAN(FS119:FW119)</f>
        <v>4</v>
      </c>
    </row>
    <row r="120" spans="1:194" x14ac:dyDescent="0.25">
      <c r="A120" s="11">
        <v>6</v>
      </c>
      <c r="B120" t="s">
        <v>2</v>
      </c>
      <c r="C120" s="4">
        <v>86.4</v>
      </c>
      <c r="D120">
        <v>3.2</v>
      </c>
      <c r="E120" s="1">
        <f>C120/3/D120</f>
        <v>9</v>
      </c>
      <c r="G120">
        <v>38.03</v>
      </c>
      <c r="H120">
        <v>8.65</v>
      </c>
      <c r="I120">
        <f>H120*D120*3</f>
        <v>83.04</v>
      </c>
      <c r="J120">
        <v>16.190000000000001</v>
      </c>
      <c r="K120">
        <v>9</v>
      </c>
      <c r="L120" s="3">
        <f>K120*3*D120</f>
        <v>86.4</v>
      </c>
      <c r="M120">
        <v>4.45</v>
      </c>
      <c r="N120">
        <v>5.4</v>
      </c>
      <c r="O120">
        <f>N120*D120*3</f>
        <v>51.84</v>
      </c>
      <c r="P120" s="5">
        <v>7.4</v>
      </c>
      <c r="Q120" s="5">
        <f>P120*D120*3</f>
        <v>71.040000000000006</v>
      </c>
      <c r="S120" t="s">
        <v>6144</v>
      </c>
      <c r="T120">
        <v>8.8000000000000007</v>
      </c>
      <c r="U120" s="8">
        <f>T120*D120*3</f>
        <v>84.480000000000018</v>
      </c>
      <c r="V120">
        <v>36.869999999999997</v>
      </c>
      <c r="W120">
        <v>8.4</v>
      </c>
      <c r="X120" s="5">
        <f>W120*D120*3</f>
        <v>80.640000000000015</v>
      </c>
      <c r="Y120">
        <v>9.8800000000000008</v>
      </c>
      <c r="Z120">
        <v>7.5</v>
      </c>
      <c r="AA120">
        <f>Z120*D120*3</f>
        <v>72</v>
      </c>
      <c r="AC120">
        <v>46.08</v>
      </c>
      <c r="AD120">
        <v>8</v>
      </c>
      <c r="AE120" s="1">
        <f>AD120*3*D120</f>
        <v>76.800000000000011</v>
      </c>
      <c r="AF120">
        <v>11.97</v>
      </c>
      <c r="AG120" s="5">
        <v>7</v>
      </c>
      <c r="AH120" s="5">
        <f>AG120*D120*3</f>
        <v>67.2</v>
      </c>
      <c r="AI120" s="13"/>
      <c r="AK120" s="8">
        <f>AJ120*D120*3</f>
        <v>0</v>
      </c>
      <c r="AL120" s="13"/>
      <c r="AM120">
        <v>30.22</v>
      </c>
      <c r="AN120">
        <v>7.5</v>
      </c>
      <c r="AO120" s="8">
        <f>AN120*D120*3</f>
        <v>72</v>
      </c>
      <c r="AP120">
        <v>15.31</v>
      </c>
      <c r="AQ120">
        <v>10</v>
      </c>
      <c r="AR120">
        <f>AQ120*D120*3</f>
        <v>96</v>
      </c>
      <c r="AS120">
        <v>10.39</v>
      </c>
      <c r="AT120">
        <v>9</v>
      </c>
      <c r="AU120">
        <f>AT120*D120*3</f>
        <v>86.4</v>
      </c>
      <c r="AW120">
        <v>25.42</v>
      </c>
      <c r="AX120">
        <v>9.1</v>
      </c>
      <c r="AY120">
        <f>AX120*D120*3</f>
        <v>87.36</v>
      </c>
      <c r="AZ120">
        <v>25.42</v>
      </c>
      <c r="BA120">
        <v>9.1999999999999993</v>
      </c>
      <c r="BB120">
        <f>BA120*D120*3</f>
        <v>88.32</v>
      </c>
      <c r="BD120">
        <v>8.9</v>
      </c>
      <c r="BE120">
        <f>BD120*D120*3</f>
        <v>85.440000000000012</v>
      </c>
      <c r="BG120" s="10"/>
      <c r="BH120" s="1">
        <f>CHOOSE(MATCH(MIN(ABS(BP120-C120),ABS(BQ120-C120),ABS(BR120-C120)),CHOOSE({1;2;3},ABS(BP120-C120),ABS(BQ120-C120),ABS(BR120-C120)),0),BP120,BQ120,BR120)</f>
        <v>85.440000000000012</v>
      </c>
      <c r="BJ120" s="1" cm="1">
        <f t="array" ref="BJ120">(INDEX(_xlfn._xlws.SORT(CHOOSE({1;2;3;4;5;6},BQ120,BR120,L120,AE120,BO120,BP120)),3) + INDEX(_xlfn._xlws.SORT(CHOOSE({1;2;3;4;5;6},BQ120,BR120,L120,AE120,BO120,BP120)),4))/2</f>
        <v>76.800000000000011</v>
      </c>
      <c r="BK120">
        <v>8.5195847537307099</v>
      </c>
      <c r="BL120" s="11" t="s">
        <v>6116</v>
      </c>
      <c r="BM120" s="1">
        <f>BK120*3*D120</f>
        <v>81.788013635814821</v>
      </c>
      <c r="BN120" s="1">
        <f>BM120-C120</f>
        <v>-4.611986364185185</v>
      </c>
      <c r="BO120" s="1">
        <f>GK120*3*D120</f>
        <v>50.400000000000006</v>
      </c>
      <c r="BP120" s="1">
        <f>DO120*3*D120</f>
        <v>85.440000000000012</v>
      </c>
      <c r="BQ120" s="1">
        <f>FJ120*3*D120</f>
        <v>76.800000000000011</v>
      </c>
      <c r="BR120" s="1">
        <f>GL120*3*D120</f>
        <v>38.400000000000006</v>
      </c>
      <c r="BT120">
        <v>38.03</v>
      </c>
      <c r="BU120">
        <v>8.65</v>
      </c>
      <c r="BV120" t="s">
        <v>4991</v>
      </c>
      <c r="BW120" t="s">
        <v>4999</v>
      </c>
      <c r="BX120" t="s">
        <v>5000</v>
      </c>
      <c r="BY120" t="s">
        <v>5001</v>
      </c>
      <c r="BZ120" t="s">
        <v>5002</v>
      </c>
      <c r="CA120" t="s">
        <v>2490</v>
      </c>
      <c r="CC120" t="s">
        <v>2491</v>
      </c>
      <c r="CD120" t="s">
        <v>2492</v>
      </c>
      <c r="CE120" t="s">
        <v>2493</v>
      </c>
      <c r="CG120" t="s">
        <v>2494</v>
      </c>
      <c r="CH120" t="s">
        <v>2495</v>
      </c>
      <c r="CI120" t="s">
        <v>2496</v>
      </c>
      <c r="CK120" t="s">
        <v>2497</v>
      </c>
      <c r="CL120" t="s">
        <v>2498</v>
      </c>
      <c r="CM120" t="s">
        <v>2499</v>
      </c>
      <c r="CO120" t="s">
        <v>2500</v>
      </c>
      <c r="CP120" t="s">
        <v>2501</v>
      </c>
      <c r="CQ120" t="s">
        <v>2502</v>
      </c>
      <c r="CR120" t="s">
        <v>2503</v>
      </c>
      <c r="CS120" t="s">
        <v>2504</v>
      </c>
      <c r="CT120" t="s">
        <v>2505</v>
      </c>
      <c r="CV120">
        <v>9</v>
      </c>
      <c r="CW120">
        <v>9</v>
      </c>
      <c r="CX120">
        <v>9</v>
      </c>
      <c r="CY120">
        <v>9</v>
      </c>
      <c r="CZ120">
        <v>8.5</v>
      </c>
      <c r="DA120">
        <v>0.1</v>
      </c>
      <c r="DB120">
        <v>0.1</v>
      </c>
      <c r="DC120">
        <v>0.2</v>
      </c>
      <c r="DD120">
        <v>0.3</v>
      </c>
      <c r="DE120">
        <v>0.3</v>
      </c>
      <c r="DF120">
        <v>0.9</v>
      </c>
      <c r="DG120">
        <v>0.9</v>
      </c>
      <c r="DH120">
        <v>1.8</v>
      </c>
      <c r="DI120">
        <v>2.7</v>
      </c>
      <c r="DJ120">
        <v>2.5499999999999998</v>
      </c>
      <c r="DK120">
        <v>8.65</v>
      </c>
      <c r="DL120">
        <v>0</v>
      </c>
      <c r="DM120">
        <v>8.65</v>
      </c>
      <c r="DN120">
        <v>9</v>
      </c>
      <c r="DO120">
        <f>AVERAGE(CV120:CZ120)</f>
        <v>8.9</v>
      </c>
      <c r="DQ120">
        <v>8</v>
      </c>
      <c r="DR120" t="s">
        <v>52</v>
      </c>
      <c r="DS120" t="s">
        <v>53</v>
      </c>
      <c r="DT120" t="s">
        <v>54</v>
      </c>
      <c r="DU120" t="s">
        <v>55</v>
      </c>
      <c r="DV120" t="s">
        <v>56</v>
      </c>
      <c r="DW120" t="s">
        <v>3836</v>
      </c>
      <c r="DX120" t="s">
        <v>3837</v>
      </c>
      <c r="DY120" t="s">
        <v>3838</v>
      </c>
      <c r="DZ120" t="s">
        <v>3839</v>
      </c>
      <c r="EA120" t="s">
        <v>3806</v>
      </c>
      <c r="EB120" t="s">
        <v>3840</v>
      </c>
      <c r="EC120" t="s">
        <v>3841</v>
      </c>
      <c r="ED120" t="s">
        <v>3842</v>
      </c>
      <c r="EE120" t="s">
        <v>3843</v>
      </c>
      <c r="EF120" t="s">
        <v>3844</v>
      </c>
      <c r="EG120" t="s">
        <v>3845</v>
      </c>
      <c r="EH120" t="s">
        <v>3846</v>
      </c>
      <c r="EI120" t="s">
        <v>3847</v>
      </c>
      <c r="EJ120" t="s">
        <v>3848</v>
      </c>
      <c r="EK120" t="s">
        <v>3849</v>
      </c>
      <c r="EL120" t="s">
        <v>3850</v>
      </c>
      <c r="EM120" t="s">
        <v>3851</v>
      </c>
      <c r="EN120" t="s">
        <v>3852</v>
      </c>
      <c r="EO120" t="s">
        <v>3853</v>
      </c>
      <c r="EP120" t="s">
        <v>3854</v>
      </c>
      <c r="EQ120">
        <v>8</v>
      </c>
      <c r="ER120">
        <v>8</v>
      </c>
      <c r="ES120">
        <v>8</v>
      </c>
      <c r="ET120">
        <v>8</v>
      </c>
      <c r="EU120">
        <v>8</v>
      </c>
      <c r="EV120">
        <v>0.1</v>
      </c>
      <c r="EW120">
        <v>0.1</v>
      </c>
      <c r="EX120">
        <v>0.2</v>
      </c>
      <c r="EY120">
        <v>0.3</v>
      </c>
      <c r="EZ120">
        <v>0.3</v>
      </c>
      <c r="FA120">
        <f>EV120*EQ120</f>
        <v>0.8</v>
      </c>
      <c r="FB120">
        <f>EW120*ER120</f>
        <v>0.8</v>
      </c>
      <c r="FC120">
        <f>EX120*ES120</f>
        <v>1.6</v>
      </c>
      <c r="FD120">
        <f>EY120*ET120</f>
        <v>2.4</v>
      </c>
      <c r="FE120">
        <f>EZ120*EU120</f>
        <v>2.4</v>
      </c>
      <c r="FF120">
        <v>16</v>
      </c>
      <c r="FG120">
        <v>0</v>
      </c>
      <c r="FH120">
        <v>8</v>
      </c>
      <c r="FI120">
        <f>FA120+FB120+FC120+FD120+FE120</f>
        <v>8</v>
      </c>
      <c r="FJ120">
        <f>MEDIAN(EQ120:EU120)</f>
        <v>8</v>
      </c>
      <c r="FL120">
        <v>38.92</v>
      </c>
      <c r="FM120">
        <v>9</v>
      </c>
      <c r="FN120" t="s">
        <v>627</v>
      </c>
      <c r="FO120" t="s">
        <v>628</v>
      </c>
      <c r="FP120" t="s">
        <v>629</v>
      </c>
      <c r="FQ120" t="s">
        <v>630</v>
      </c>
      <c r="FR120" t="s">
        <v>631</v>
      </c>
      <c r="FS120">
        <v>2.5</v>
      </c>
      <c r="FT120">
        <v>3</v>
      </c>
      <c r="FU120">
        <v>4</v>
      </c>
      <c r="FV120">
        <v>6</v>
      </c>
      <c r="FW120">
        <v>7</v>
      </c>
      <c r="FX120">
        <v>0.1</v>
      </c>
      <c r="FY120">
        <v>0.1</v>
      </c>
      <c r="FZ120">
        <v>0.2</v>
      </c>
      <c r="GA120">
        <v>0.3</v>
      </c>
      <c r="GB120">
        <v>0.3</v>
      </c>
      <c r="GC120">
        <f>FS120*FX120</f>
        <v>0.25</v>
      </c>
      <c r="GD120">
        <f>FT120*FY120</f>
        <v>0.30000000000000004</v>
      </c>
      <c r="GE120">
        <f>FU120*FZ120</f>
        <v>0.8</v>
      </c>
      <c r="GF120">
        <f>FV120*GA120</f>
        <v>1.7999999999999998</v>
      </c>
      <c r="GG120">
        <f>FW120*GB120</f>
        <v>2.1</v>
      </c>
      <c r="GH120">
        <v>9</v>
      </c>
      <c r="GI120">
        <v>0</v>
      </c>
      <c r="GJ120">
        <v>9</v>
      </c>
      <c r="GK120">
        <f>GC120+GD120+GE120+GF120+GG120</f>
        <v>5.25</v>
      </c>
      <c r="GL120">
        <f>MEDIAN(FS120:FW120)</f>
        <v>4</v>
      </c>
    </row>
    <row r="121" spans="1:194" hidden="1" x14ac:dyDescent="0.25">
      <c r="A121">
        <v>120</v>
      </c>
      <c r="B121" t="s">
        <v>2</v>
      </c>
      <c r="C121" s="4">
        <v>82.8</v>
      </c>
      <c r="D121">
        <v>3.6</v>
      </c>
      <c r="E121" s="1">
        <f>C121/3/D121</f>
        <v>7.6666666666666661</v>
      </c>
      <c r="G121">
        <v>36.93</v>
      </c>
      <c r="H121">
        <v>8</v>
      </c>
      <c r="I121">
        <f>H121*D121*3</f>
        <v>86.4</v>
      </c>
      <c r="J121">
        <v>18.260000000000002</v>
      </c>
      <c r="K121">
        <v>9</v>
      </c>
      <c r="L121" s="3">
        <f>K121*3*D121</f>
        <v>97.2</v>
      </c>
      <c r="M121">
        <v>4.8</v>
      </c>
      <c r="N121">
        <v>5.5</v>
      </c>
      <c r="O121">
        <f>N121*D121*3</f>
        <v>59.400000000000006</v>
      </c>
      <c r="P121" s="5">
        <v>7.2</v>
      </c>
      <c r="Q121" s="5">
        <f>P121*D121*3</f>
        <v>77.760000000000005</v>
      </c>
      <c r="S121" t="s">
        <v>6255</v>
      </c>
      <c r="T121">
        <v>6.5</v>
      </c>
      <c r="U121" s="8">
        <f>T121*D121*3</f>
        <v>70.2</v>
      </c>
      <c r="V121">
        <v>30.52</v>
      </c>
      <c r="W121">
        <v>9</v>
      </c>
      <c r="X121" s="5">
        <f>W121*D121*3</f>
        <v>97.199999999999989</v>
      </c>
      <c r="Y121">
        <v>12.57</v>
      </c>
      <c r="Z121">
        <v>7.5</v>
      </c>
      <c r="AA121">
        <f>Z121*D121*3</f>
        <v>81</v>
      </c>
      <c r="AC121">
        <v>45.81</v>
      </c>
      <c r="AD121">
        <v>8</v>
      </c>
      <c r="AE121" s="1">
        <f>AD121*3*D121</f>
        <v>86.4</v>
      </c>
      <c r="AF121">
        <v>12.35</v>
      </c>
      <c r="AG121" s="5">
        <v>8</v>
      </c>
      <c r="AH121" s="5">
        <f>AG121*D121*3</f>
        <v>86.4</v>
      </c>
      <c r="AI121" s="13"/>
      <c r="AK121" s="8">
        <f>AJ121*D121*3</f>
        <v>0</v>
      </c>
      <c r="AL121" s="13"/>
      <c r="AM121">
        <v>30.69</v>
      </c>
      <c r="AN121">
        <v>7.2</v>
      </c>
      <c r="AO121" s="8">
        <f>AN121*D121*3</f>
        <v>77.760000000000005</v>
      </c>
      <c r="AP121">
        <v>14.85</v>
      </c>
      <c r="AQ121">
        <v>9.4</v>
      </c>
      <c r="AR121">
        <f>AQ121*D121*3</f>
        <v>101.52000000000001</v>
      </c>
      <c r="AT121">
        <v>8.3000000000000007</v>
      </c>
      <c r="AU121">
        <f>AT121*D121*3</f>
        <v>89.640000000000015</v>
      </c>
      <c r="AW121">
        <v>26.68</v>
      </c>
      <c r="AX121">
        <v>9.4</v>
      </c>
      <c r="AY121">
        <f>AX121*D121*3</f>
        <v>101.52000000000001</v>
      </c>
      <c r="AZ121">
        <v>26.68</v>
      </c>
      <c r="BA121">
        <v>9.1</v>
      </c>
      <c r="BB121">
        <f>BA121*D121*3</f>
        <v>98.28</v>
      </c>
      <c r="BD121">
        <v>9</v>
      </c>
      <c r="BE121">
        <f>BD121*D121*3</f>
        <v>97.199999999999989</v>
      </c>
      <c r="BG121" s="10"/>
      <c r="BH121" s="1">
        <f>CHOOSE(MATCH(MIN(ABS(BP121-C121),ABS(BQ121-C121),ABS(BR121-C121)),CHOOSE({1;2;3},ABS(BP121-C121),ABS(BQ121-C121),ABS(BR121-C121)),0),BP121,BQ121,BR121)</f>
        <v>86.4</v>
      </c>
      <c r="BJ121" s="1" cm="1">
        <f t="array" ref="BJ121">(INDEX(_xlfn._xlws.SORT(CHOOSE({1;2;3;4;5;6},BQ121,BR121,L121,AE121,BO121,BP121)),3) + INDEX(_xlfn._xlws.SORT(CHOOSE({1;2;3;4;5;6},BQ121,BR121,L121,AE121,BO121,BP121)),4))/2</f>
        <v>86.4</v>
      </c>
      <c r="BK121">
        <v>7.6562483293788999</v>
      </c>
      <c r="BL121" t="s">
        <v>6117</v>
      </c>
      <c r="BM121" s="1">
        <f>BK121*3*D121</f>
        <v>82.687481957292121</v>
      </c>
      <c r="BN121" s="1">
        <f>BM121-C121</f>
        <v>-0.11251804270787602</v>
      </c>
      <c r="BO121" s="1">
        <f>GK121*3*D121</f>
        <v>47.52</v>
      </c>
      <c r="BP121" s="1">
        <f>DO121*3*D121</f>
        <v>97.2</v>
      </c>
      <c r="BQ121" s="1">
        <f>FJ121*3*D121</f>
        <v>86.4</v>
      </c>
      <c r="BR121" s="1">
        <f>GL121*3*D121</f>
        <v>54</v>
      </c>
      <c r="BT121">
        <v>36.93</v>
      </c>
      <c r="BU121">
        <v>8</v>
      </c>
      <c r="BV121" t="s">
        <v>5412</v>
      </c>
      <c r="BW121" t="s">
        <v>5413</v>
      </c>
      <c r="BX121" t="s">
        <v>5095</v>
      </c>
      <c r="BY121" t="s">
        <v>5414</v>
      </c>
      <c r="BZ121" t="s">
        <v>5415</v>
      </c>
      <c r="CA121" t="s">
        <v>2437</v>
      </c>
      <c r="CC121" t="s">
        <v>2438</v>
      </c>
      <c r="CD121" t="s">
        <v>2533</v>
      </c>
      <c r="CE121" t="s">
        <v>2440</v>
      </c>
      <c r="CG121" t="s">
        <v>2441</v>
      </c>
      <c r="CH121" t="s">
        <v>2534</v>
      </c>
      <c r="CI121" t="s">
        <v>2535</v>
      </c>
      <c r="CK121" t="s">
        <v>2444</v>
      </c>
      <c r="CL121" t="s">
        <v>2536</v>
      </c>
      <c r="CM121" t="s">
        <v>2446</v>
      </c>
      <c r="CO121" t="s">
        <v>2447</v>
      </c>
      <c r="CP121" t="s">
        <v>2537</v>
      </c>
      <c r="CQ121" t="s">
        <v>2666</v>
      </c>
      <c r="CS121" t="s">
        <v>2450</v>
      </c>
      <c r="CT121" t="s">
        <v>2539</v>
      </c>
      <c r="CV121">
        <v>9</v>
      </c>
      <c r="CW121">
        <v>9</v>
      </c>
      <c r="CX121">
        <v>9</v>
      </c>
      <c r="CY121">
        <v>9</v>
      </c>
      <c r="CZ121">
        <v>9</v>
      </c>
      <c r="DA121">
        <v>0.1</v>
      </c>
      <c r="DB121">
        <v>0.1</v>
      </c>
      <c r="DC121">
        <v>0.2</v>
      </c>
      <c r="DD121">
        <v>0.3</v>
      </c>
      <c r="DE121">
        <v>0.3</v>
      </c>
      <c r="DF121">
        <v>0.9</v>
      </c>
      <c r="DG121">
        <v>0.9</v>
      </c>
      <c r="DH121">
        <v>1.8</v>
      </c>
      <c r="DI121">
        <v>2.7</v>
      </c>
      <c r="DJ121">
        <v>2.7</v>
      </c>
      <c r="DK121">
        <v>8</v>
      </c>
      <c r="DL121">
        <v>0</v>
      </c>
      <c r="DM121">
        <v>8</v>
      </c>
      <c r="DN121">
        <v>9</v>
      </c>
      <c r="DO121">
        <f>AVERAGE(CV121:CZ121)</f>
        <v>9</v>
      </c>
      <c r="DQ121" t="s">
        <v>27</v>
      </c>
      <c r="DR121" t="s">
        <v>65</v>
      </c>
      <c r="DS121" t="s">
        <v>66</v>
      </c>
      <c r="DT121" t="s">
        <v>67</v>
      </c>
      <c r="DU121" t="s">
        <v>71</v>
      </c>
      <c r="DV121" t="s">
        <v>286</v>
      </c>
      <c r="DW121" t="s">
        <v>3836</v>
      </c>
      <c r="DX121" t="s">
        <v>3858</v>
      </c>
      <c r="DY121" t="s">
        <v>3883</v>
      </c>
      <c r="DZ121" t="s">
        <v>3884</v>
      </c>
      <c r="EA121" t="s">
        <v>3860</v>
      </c>
      <c r="EB121" t="s">
        <v>3840</v>
      </c>
      <c r="EC121" t="s">
        <v>3885</v>
      </c>
      <c r="ED121" t="s">
        <v>3861</v>
      </c>
      <c r="EE121" t="s">
        <v>3886</v>
      </c>
      <c r="EF121" t="s">
        <v>4245</v>
      </c>
      <c r="EG121" t="s">
        <v>3888</v>
      </c>
      <c r="EH121" t="s">
        <v>4446</v>
      </c>
      <c r="EI121" t="s">
        <v>3879</v>
      </c>
      <c r="EJ121" t="s">
        <v>4247</v>
      </c>
      <c r="EK121" t="s">
        <v>3891</v>
      </c>
      <c r="EL121" t="s">
        <v>4447</v>
      </c>
      <c r="EM121" t="s">
        <v>3851</v>
      </c>
      <c r="EN121" t="s">
        <v>4250</v>
      </c>
      <c r="EO121" t="s">
        <v>4448</v>
      </c>
      <c r="EP121" t="s">
        <v>3873</v>
      </c>
      <c r="EQ121">
        <v>8</v>
      </c>
      <c r="ER121">
        <v>8</v>
      </c>
      <c r="ES121">
        <v>8</v>
      </c>
      <c r="ET121">
        <v>8</v>
      </c>
      <c r="EU121">
        <v>8</v>
      </c>
      <c r="EV121">
        <v>0.1</v>
      </c>
      <c r="EW121">
        <v>0.1</v>
      </c>
      <c r="EX121">
        <v>0.2</v>
      </c>
      <c r="EY121">
        <v>0.3</v>
      </c>
      <c r="EZ121">
        <v>0.3</v>
      </c>
      <c r="FA121">
        <f>EV121*EQ121</f>
        <v>0.8</v>
      </c>
      <c r="FB121">
        <f>EW121*ER121</f>
        <v>0.8</v>
      </c>
      <c r="FC121">
        <f>EX121*ES121</f>
        <v>1.6</v>
      </c>
      <c r="FD121">
        <f>EY121*ET121</f>
        <v>2.4</v>
      </c>
      <c r="FE121">
        <f>EZ121*EU121</f>
        <v>2.4</v>
      </c>
      <c r="FF121">
        <v>17</v>
      </c>
      <c r="FG121">
        <v>0</v>
      </c>
      <c r="FH121">
        <v>9</v>
      </c>
      <c r="FI121">
        <f>FA121+FB121+FC121+FD121+FE121</f>
        <v>8</v>
      </c>
      <c r="FJ121">
        <f>MEDIAN(EQ121:EU121)</f>
        <v>8</v>
      </c>
      <c r="FL121">
        <v>41.2</v>
      </c>
      <c r="FM121">
        <v>5.8</v>
      </c>
      <c r="FN121" t="s">
        <v>1175</v>
      </c>
      <c r="FO121" t="s">
        <v>1176</v>
      </c>
      <c r="FP121" t="s">
        <v>1177</v>
      </c>
      <c r="FQ121" t="s">
        <v>1178</v>
      </c>
      <c r="FR121" t="s">
        <v>1179</v>
      </c>
      <c r="FS121">
        <v>6</v>
      </c>
      <c r="FT121">
        <v>7</v>
      </c>
      <c r="FU121">
        <v>5</v>
      </c>
      <c r="FV121">
        <v>4</v>
      </c>
      <c r="FW121">
        <v>3</v>
      </c>
      <c r="FX121">
        <v>0.1</v>
      </c>
      <c r="FY121">
        <v>0.1</v>
      </c>
      <c r="FZ121">
        <v>0.2</v>
      </c>
      <c r="GA121">
        <v>0.3</v>
      </c>
      <c r="GB121">
        <v>0.3</v>
      </c>
      <c r="GC121">
        <f>FS121*FX121</f>
        <v>0.60000000000000009</v>
      </c>
      <c r="GD121">
        <f>FT121*FY121</f>
        <v>0.70000000000000007</v>
      </c>
      <c r="GE121">
        <f>FU121*FZ121</f>
        <v>1</v>
      </c>
      <c r="GF121">
        <f>FV121*GA121</f>
        <v>1.2</v>
      </c>
      <c r="GG121">
        <f>FW121*GB121</f>
        <v>0.89999999999999991</v>
      </c>
      <c r="GH121">
        <v>5.8</v>
      </c>
      <c r="GJ121">
        <v>5.8</v>
      </c>
      <c r="GK121">
        <f>GC121+GD121+GE121+GF121+GG121</f>
        <v>4.4000000000000004</v>
      </c>
      <c r="GL121">
        <f>MEDIAN(FS121:FW121)</f>
        <v>5</v>
      </c>
    </row>
    <row r="122" spans="1:194" hidden="1" x14ac:dyDescent="0.25">
      <c r="A122">
        <v>121</v>
      </c>
      <c r="B122" t="s">
        <v>2</v>
      </c>
      <c r="C122" s="4">
        <v>86.1</v>
      </c>
      <c r="D122">
        <v>4.0999999999999996</v>
      </c>
      <c r="E122" s="1">
        <f>C122/3/D122</f>
        <v>7</v>
      </c>
      <c r="G122">
        <v>35.64</v>
      </c>
      <c r="H122">
        <v>8.1999999999999993</v>
      </c>
      <c r="I122">
        <f>H122*D122*3</f>
        <v>100.85999999999999</v>
      </c>
      <c r="J122">
        <v>16.850000000000001</v>
      </c>
      <c r="K122">
        <v>9</v>
      </c>
      <c r="L122" s="3">
        <f>K122*3*D122</f>
        <v>110.69999999999999</v>
      </c>
      <c r="M122">
        <v>16.75</v>
      </c>
      <c r="O122">
        <f>N122*D122*3</f>
        <v>0</v>
      </c>
      <c r="P122" s="5">
        <v>8.6</v>
      </c>
      <c r="Q122" s="5">
        <f>P122*D122*3</f>
        <v>105.78</v>
      </c>
      <c r="S122" t="s">
        <v>6256</v>
      </c>
      <c r="T122">
        <v>5.6</v>
      </c>
      <c r="U122" s="8">
        <f>T122*D122*3</f>
        <v>68.88</v>
      </c>
      <c r="V122">
        <v>32.24</v>
      </c>
      <c r="W122">
        <v>8.4</v>
      </c>
      <c r="X122" s="5">
        <f>W122*D122*3</f>
        <v>103.32</v>
      </c>
      <c r="Y122">
        <v>13.43</v>
      </c>
      <c r="Z122">
        <v>7.8</v>
      </c>
      <c r="AA122">
        <f>Z122*D122*3</f>
        <v>95.94</v>
      </c>
      <c r="AC122">
        <v>48.86</v>
      </c>
      <c r="AD122">
        <v>8</v>
      </c>
      <c r="AE122" s="1">
        <f>AD122*3*D122</f>
        <v>98.399999999999991</v>
      </c>
      <c r="AF122">
        <v>13.36</v>
      </c>
      <c r="AH122" s="5">
        <f>AG122*D122*3</f>
        <v>0</v>
      </c>
      <c r="AI122" s="13"/>
      <c r="AJ122">
        <v>2.7</v>
      </c>
      <c r="AK122" s="8">
        <f>AJ122*D122*3</f>
        <v>33.21</v>
      </c>
      <c r="AL122" s="13"/>
      <c r="AM122">
        <v>30.03</v>
      </c>
      <c r="AN122">
        <v>8.1</v>
      </c>
      <c r="AO122" s="8">
        <f>AN122*D122*3</f>
        <v>99.629999999999981</v>
      </c>
      <c r="AP122">
        <v>14.83</v>
      </c>
      <c r="AQ122">
        <v>9.5</v>
      </c>
      <c r="AR122">
        <f>AQ122*D122*3</f>
        <v>116.85</v>
      </c>
      <c r="AT122">
        <v>8.8000000000000007</v>
      </c>
      <c r="AU122">
        <f>AT122*D122*3</f>
        <v>108.24</v>
      </c>
      <c r="AW122">
        <v>24.87</v>
      </c>
      <c r="AX122">
        <v>9.4</v>
      </c>
      <c r="AY122">
        <f>AX122*D122*3</f>
        <v>115.62</v>
      </c>
      <c r="AZ122">
        <v>24.87</v>
      </c>
      <c r="BA122">
        <v>9</v>
      </c>
      <c r="BB122">
        <f>BA122*D122*3</f>
        <v>110.69999999999999</v>
      </c>
      <c r="BD122">
        <v>8.6</v>
      </c>
      <c r="BE122">
        <f>BD122*D122*3</f>
        <v>105.78</v>
      </c>
      <c r="BG122" s="10"/>
      <c r="BH122" s="1">
        <f>CHOOSE(MATCH(MIN(ABS(BP122-C122),ABS(BQ122-C122),ABS(BR122-C122)),CHOOSE({1;2;3},ABS(BP122-C122),ABS(BQ122-C122),ABS(BR122-C122)),0),BP122,BQ122,BR122)</f>
        <v>98.399999999999991</v>
      </c>
      <c r="BJ122" s="1" cm="1">
        <f t="array" ref="BJ122">(INDEX(_xlfn._xlws.SORT(CHOOSE({1;2;3;4;5;6},BQ122,BR122,L122,AE122,BO122,BP122)),3) + INDEX(_xlfn._xlws.SORT(CHOOSE({1;2;3;4;5;6},BQ122,BR122,L122,AE122,BO122,BP122)),4))/2</f>
        <v>98.399999999999991</v>
      </c>
      <c r="BK122">
        <v>7.0263814304272101</v>
      </c>
      <c r="BL122" t="s">
        <v>6117</v>
      </c>
      <c r="BM122" s="1">
        <f>BK122*3*D122</f>
        <v>86.424491594254675</v>
      </c>
      <c r="BN122" s="1">
        <f>BM122-C122</f>
        <v>0.3244915942546811</v>
      </c>
      <c r="BO122" s="1">
        <f>GK122*3*D122</f>
        <v>92.864999999999981</v>
      </c>
      <c r="BP122" s="1">
        <f>DO122*3*D122</f>
        <v>110.69999999999999</v>
      </c>
      <c r="BQ122" s="1">
        <f>FJ122*3*D122</f>
        <v>98.399999999999991</v>
      </c>
      <c r="BR122" s="1">
        <f>GL122*3*D122</f>
        <v>98.399999999999991</v>
      </c>
      <c r="BT122">
        <v>35.64</v>
      </c>
      <c r="BU122">
        <v>8.1999999999999993</v>
      </c>
      <c r="BV122" t="s">
        <v>5416</v>
      </c>
      <c r="BW122" t="s">
        <v>5417</v>
      </c>
      <c r="BX122" t="s">
        <v>5418</v>
      </c>
      <c r="BY122" t="s">
        <v>5419</v>
      </c>
      <c r="BZ122" t="s">
        <v>5420</v>
      </c>
      <c r="CA122" t="s">
        <v>2437</v>
      </c>
      <c r="CC122" t="s">
        <v>2758</v>
      </c>
      <c r="CD122" t="s">
        <v>2508</v>
      </c>
      <c r="CE122" t="s">
        <v>2440</v>
      </c>
      <c r="CG122" t="s">
        <v>2761</v>
      </c>
      <c r="CH122" t="s">
        <v>2510</v>
      </c>
      <c r="CI122" t="s">
        <v>2443</v>
      </c>
      <c r="CK122" t="s">
        <v>2795</v>
      </c>
      <c r="CL122" t="s">
        <v>2512</v>
      </c>
      <c r="CM122" t="s">
        <v>2446</v>
      </c>
      <c r="CO122" t="s">
        <v>2796</v>
      </c>
      <c r="CP122" t="s">
        <v>2514</v>
      </c>
      <c r="CQ122" t="s">
        <v>2449</v>
      </c>
      <c r="CS122" t="s">
        <v>2679</v>
      </c>
      <c r="CT122" t="s">
        <v>2524</v>
      </c>
      <c r="CV122">
        <v>9</v>
      </c>
      <c r="CW122">
        <v>9</v>
      </c>
      <c r="CX122">
        <v>9</v>
      </c>
      <c r="CY122">
        <v>9</v>
      </c>
      <c r="CZ122">
        <v>9</v>
      </c>
      <c r="DA122">
        <v>0.1</v>
      </c>
      <c r="DB122">
        <v>0.1</v>
      </c>
      <c r="DC122">
        <v>0.2</v>
      </c>
      <c r="DD122">
        <v>0.3</v>
      </c>
      <c r="DE122">
        <v>0.3</v>
      </c>
      <c r="DF122">
        <v>0.9</v>
      </c>
      <c r="DG122">
        <v>0.9</v>
      </c>
      <c r="DH122">
        <v>1.8</v>
      </c>
      <c r="DI122">
        <v>2.7</v>
      </c>
      <c r="DJ122">
        <v>2.7</v>
      </c>
      <c r="DK122">
        <v>8.1999999999999993</v>
      </c>
      <c r="DL122">
        <v>0</v>
      </c>
      <c r="DM122">
        <v>8.1999999999999993</v>
      </c>
      <c r="DN122">
        <v>9</v>
      </c>
      <c r="DO122">
        <f>AVERAGE(CV122:CZ122)</f>
        <v>9</v>
      </c>
      <c r="DQ122" t="s">
        <v>27</v>
      </c>
      <c r="DR122" t="s">
        <v>33</v>
      </c>
      <c r="DS122" t="s">
        <v>86</v>
      </c>
      <c r="DT122" t="s">
        <v>287</v>
      </c>
      <c r="DU122" t="s">
        <v>288</v>
      </c>
      <c r="DV122" t="s">
        <v>289</v>
      </c>
      <c r="DW122" t="s">
        <v>3788</v>
      </c>
      <c r="DX122" t="s">
        <v>3789</v>
      </c>
      <c r="DY122" t="s">
        <v>3790</v>
      </c>
      <c r="DZ122" t="s">
        <v>3992</v>
      </c>
      <c r="EA122" t="s">
        <v>3952</v>
      </c>
      <c r="EB122" t="s">
        <v>3953</v>
      </c>
      <c r="EC122" t="s">
        <v>4449</v>
      </c>
      <c r="ED122" t="s">
        <v>3992</v>
      </c>
      <c r="EE122" t="s">
        <v>4450</v>
      </c>
      <c r="EF122" t="s">
        <v>4451</v>
      </c>
      <c r="EG122" t="s">
        <v>4452</v>
      </c>
      <c r="EH122" t="s">
        <v>3992</v>
      </c>
      <c r="EI122" t="s">
        <v>4453</v>
      </c>
      <c r="EJ122" t="s">
        <v>4454</v>
      </c>
      <c r="EK122" t="s">
        <v>4455</v>
      </c>
      <c r="EL122" t="s">
        <v>3992</v>
      </c>
      <c r="EM122" t="s">
        <v>4456</v>
      </c>
      <c r="EN122" t="s">
        <v>4457</v>
      </c>
      <c r="EO122" t="s">
        <v>4458</v>
      </c>
      <c r="EP122" t="s">
        <v>3992</v>
      </c>
      <c r="EQ122">
        <v>8</v>
      </c>
      <c r="ER122">
        <v>8</v>
      </c>
      <c r="ES122">
        <v>8</v>
      </c>
      <c r="ET122">
        <v>8</v>
      </c>
      <c r="EU122">
        <v>8</v>
      </c>
      <c r="EV122">
        <v>0.1</v>
      </c>
      <c r="EW122">
        <v>0.1</v>
      </c>
      <c r="EX122">
        <v>0.2</v>
      </c>
      <c r="EY122">
        <v>0.3</v>
      </c>
      <c r="EZ122">
        <v>0.3</v>
      </c>
      <c r="FA122">
        <f>EV122*EQ122</f>
        <v>0.8</v>
      </c>
      <c r="FB122">
        <f>EW122*ER122</f>
        <v>0.8</v>
      </c>
      <c r="FC122">
        <f>EX122*ES122</f>
        <v>1.6</v>
      </c>
      <c r="FD122">
        <f>EY122*ET122</f>
        <v>2.4</v>
      </c>
      <c r="FE122">
        <f>EZ122*EU122</f>
        <v>2.4</v>
      </c>
      <c r="FF122">
        <v>16</v>
      </c>
      <c r="FG122">
        <v>0</v>
      </c>
      <c r="FH122">
        <v>8</v>
      </c>
      <c r="FI122">
        <f>FA122+FB122+FC122+FD122+FE122</f>
        <v>8</v>
      </c>
      <c r="FJ122">
        <f>MEDIAN(EQ122:EU122)</f>
        <v>8</v>
      </c>
      <c r="FL122">
        <v>42.12</v>
      </c>
      <c r="FM122">
        <v>7</v>
      </c>
      <c r="FN122" t="s">
        <v>1180</v>
      </c>
      <c r="FO122" t="s">
        <v>1181</v>
      </c>
      <c r="FP122" t="s">
        <v>1182</v>
      </c>
      <c r="FQ122" t="s">
        <v>1183</v>
      </c>
      <c r="FR122" t="s">
        <v>1184</v>
      </c>
      <c r="FS122">
        <v>9</v>
      </c>
      <c r="FT122">
        <v>8.5</v>
      </c>
      <c r="FU122">
        <v>8</v>
      </c>
      <c r="FV122">
        <v>7.5</v>
      </c>
      <c r="FW122">
        <v>6.5</v>
      </c>
      <c r="FX122">
        <v>0.1</v>
      </c>
      <c r="FY122">
        <v>0.1</v>
      </c>
      <c r="FZ122">
        <v>0.2</v>
      </c>
      <c r="GA122">
        <v>0.3</v>
      </c>
      <c r="GB122">
        <v>0.3</v>
      </c>
      <c r="GC122">
        <f>FS122*FX122</f>
        <v>0.9</v>
      </c>
      <c r="GD122">
        <f>FT122*FY122</f>
        <v>0.85000000000000009</v>
      </c>
      <c r="GE122">
        <f>FU122*FZ122</f>
        <v>1.6</v>
      </c>
      <c r="GF122">
        <f>FV122*GA122</f>
        <v>2.25</v>
      </c>
      <c r="GG122">
        <f>FW122*GB122</f>
        <v>1.95</v>
      </c>
      <c r="GH122">
        <v>7.4</v>
      </c>
      <c r="GI122">
        <v>0.6</v>
      </c>
      <c r="GJ122">
        <v>7</v>
      </c>
      <c r="GK122">
        <f>GC122+GD122+GE122+GF122+GG122</f>
        <v>7.55</v>
      </c>
      <c r="GL122">
        <f>MEDIAN(FS122:FW122)</f>
        <v>8</v>
      </c>
    </row>
    <row r="123" spans="1:194" hidden="1" x14ac:dyDescent="0.25">
      <c r="A123">
        <v>122</v>
      </c>
      <c r="B123" t="s">
        <v>2</v>
      </c>
      <c r="C123" s="4">
        <v>36.299999999999997</v>
      </c>
      <c r="D123">
        <v>3.3</v>
      </c>
      <c r="E123" s="1">
        <f>C123/3/D123</f>
        <v>3.666666666666667</v>
      </c>
      <c r="G123">
        <v>33.46</v>
      </c>
      <c r="H123">
        <v>8.1999999999999993</v>
      </c>
      <c r="I123">
        <f>H123*D123*3</f>
        <v>81.179999999999978</v>
      </c>
      <c r="J123">
        <v>18.600000000000001</v>
      </c>
      <c r="K123">
        <v>8.4</v>
      </c>
      <c r="L123" s="3">
        <f>K123*3*D123</f>
        <v>83.160000000000011</v>
      </c>
      <c r="M123">
        <v>4.42</v>
      </c>
      <c r="N123">
        <v>5</v>
      </c>
      <c r="O123">
        <f>N123*D123*3</f>
        <v>49.5</v>
      </c>
      <c r="P123" s="5">
        <v>7</v>
      </c>
      <c r="Q123" s="5">
        <f>P123*D123*3</f>
        <v>69.3</v>
      </c>
      <c r="S123" t="s">
        <v>6257</v>
      </c>
      <c r="T123">
        <v>4.3</v>
      </c>
      <c r="U123" s="8">
        <f>T123*D123*3</f>
        <v>42.57</v>
      </c>
      <c r="V123">
        <v>33.049999999999997</v>
      </c>
      <c r="W123">
        <v>8.6999999999999993</v>
      </c>
      <c r="X123" s="5">
        <f>W123*D123*3</f>
        <v>86.13</v>
      </c>
      <c r="Y123">
        <v>10.01</v>
      </c>
      <c r="Z123">
        <v>7.8</v>
      </c>
      <c r="AA123">
        <f>Z123*D123*3</f>
        <v>77.22</v>
      </c>
      <c r="AC123">
        <v>49.56</v>
      </c>
      <c r="AD123">
        <v>7.1</v>
      </c>
      <c r="AE123" s="1">
        <f>AD123*3*D123</f>
        <v>70.289999999999992</v>
      </c>
      <c r="AF123">
        <v>11.84</v>
      </c>
      <c r="AG123" s="5">
        <v>7</v>
      </c>
      <c r="AH123" s="5">
        <f>AG123*D123*3</f>
        <v>69.3</v>
      </c>
      <c r="AI123" s="13"/>
      <c r="AK123" s="8">
        <f>AJ123*D123*3</f>
        <v>0</v>
      </c>
      <c r="AL123" s="13"/>
      <c r="AM123">
        <v>31.59</v>
      </c>
      <c r="AN123">
        <v>7.5</v>
      </c>
      <c r="AO123" s="8">
        <f>AN123*D123*3</f>
        <v>74.25</v>
      </c>
      <c r="AP123">
        <v>15.28</v>
      </c>
      <c r="AQ123">
        <v>10</v>
      </c>
      <c r="AR123">
        <f>AQ123*D123*3</f>
        <v>99</v>
      </c>
      <c r="AT123">
        <v>7.4</v>
      </c>
      <c r="AU123">
        <f>AT123*D123*3</f>
        <v>73.259999999999991</v>
      </c>
      <c r="AW123">
        <v>25.21</v>
      </c>
      <c r="AX123">
        <v>9.4</v>
      </c>
      <c r="AY123">
        <f>AX123*D123*3</f>
        <v>93.06</v>
      </c>
      <c r="AZ123">
        <v>25.21</v>
      </c>
      <c r="BA123">
        <v>9.4</v>
      </c>
      <c r="BB123">
        <f>BA123*D123*3</f>
        <v>93.06</v>
      </c>
      <c r="BD123">
        <v>8.9</v>
      </c>
      <c r="BE123">
        <f>BD123*D123*3</f>
        <v>88.11</v>
      </c>
      <c r="BG123" s="10"/>
      <c r="BH123" s="1">
        <f>CHOOSE(MATCH(MIN(ABS(BP123-C123),ABS(BQ123-C123),ABS(BR123-C123)),CHOOSE({1;2;3},ABS(BP123-C123),ABS(BQ123-C123),ABS(BR123-C123)),0),BP123,BQ123,BR123)</f>
        <v>59.4</v>
      </c>
      <c r="BJ123" s="1" cm="1">
        <f t="array" ref="BJ123">(INDEX(_xlfn._xlws.SORT(CHOOSE({1;2;3;4;5;6},BQ123,BR123,L123,AE123,BO123,BP123)),3) + INDEX(_xlfn._xlws.SORT(CHOOSE({1;2;3;4;5;6},BQ123,BR123,L123,AE123,BO123,BP123)),4))/2</f>
        <v>69.794999999999987</v>
      </c>
      <c r="BK123">
        <v>3.6839634598915398</v>
      </c>
      <c r="BL123" t="s">
        <v>6117</v>
      </c>
      <c r="BM123" s="1">
        <f>BK123*3*D123</f>
        <v>36.471238252926241</v>
      </c>
      <c r="BN123" s="1">
        <f>BM123-C123</f>
        <v>0.17123825292624417</v>
      </c>
      <c r="BO123" s="1">
        <f>GK123*3*D123</f>
        <v>63.360000000000007</v>
      </c>
      <c r="BP123" s="1">
        <f>DO123*3*D123</f>
        <v>89.1</v>
      </c>
      <c r="BQ123" s="1">
        <f>FJ123*3*D123</f>
        <v>69.3</v>
      </c>
      <c r="BR123" s="1">
        <f>GL123*3*D123</f>
        <v>59.4</v>
      </c>
      <c r="BT123">
        <v>33.46</v>
      </c>
      <c r="BU123">
        <v>8.1999999999999993</v>
      </c>
      <c r="BV123" t="s">
        <v>5421</v>
      </c>
      <c r="BW123" t="s">
        <v>5164</v>
      </c>
      <c r="BX123" t="s">
        <v>5048</v>
      </c>
      <c r="BY123" t="s">
        <v>5422</v>
      </c>
      <c r="BZ123" t="s">
        <v>5423</v>
      </c>
      <c r="CA123" t="s">
        <v>2437</v>
      </c>
      <c r="CC123" t="s">
        <v>2758</v>
      </c>
      <c r="CD123" t="s">
        <v>2508</v>
      </c>
      <c r="CE123" t="s">
        <v>2440</v>
      </c>
      <c r="CG123" t="s">
        <v>2761</v>
      </c>
      <c r="CH123" t="s">
        <v>2510</v>
      </c>
      <c r="CI123" t="s">
        <v>2443</v>
      </c>
      <c r="CK123" t="s">
        <v>2795</v>
      </c>
      <c r="CL123" t="s">
        <v>2512</v>
      </c>
      <c r="CM123" t="s">
        <v>2446</v>
      </c>
      <c r="CO123" t="s">
        <v>2796</v>
      </c>
      <c r="CP123" t="s">
        <v>2514</v>
      </c>
      <c r="CQ123" t="s">
        <v>2449</v>
      </c>
      <c r="CS123" t="s">
        <v>2679</v>
      </c>
      <c r="CT123" t="s">
        <v>2524</v>
      </c>
      <c r="CV123">
        <v>9</v>
      </c>
      <c r="CW123">
        <v>9</v>
      </c>
      <c r="CX123">
        <v>9</v>
      </c>
      <c r="CY123">
        <v>9</v>
      </c>
      <c r="CZ123">
        <v>9</v>
      </c>
      <c r="DA123">
        <v>0.1</v>
      </c>
      <c r="DB123">
        <v>0.1</v>
      </c>
      <c r="DC123">
        <v>0.2</v>
      </c>
      <c r="DD123">
        <v>0.3</v>
      </c>
      <c r="DE123">
        <v>0.3</v>
      </c>
      <c r="DF123">
        <v>0.9</v>
      </c>
      <c r="DG123">
        <v>0.9</v>
      </c>
      <c r="DH123">
        <v>1.8</v>
      </c>
      <c r="DI123">
        <v>2.7</v>
      </c>
      <c r="DJ123">
        <v>2.7</v>
      </c>
      <c r="DK123">
        <v>8.1999999999999993</v>
      </c>
      <c r="DL123">
        <v>0</v>
      </c>
      <c r="DM123">
        <v>8.1999999999999993</v>
      </c>
      <c r="DN123">
        <v>8.4</v>
      </c>
      <c r="DO123">
        <f>AVERAGE(CV123:CZ123)</f>
        <v>9</v>
      </c>
      <c r="DQ123">
        <v>14</v>
      </c>
      <c r="DR123" t="s">
        <v>28</v>
      </c>
      <c r="DS123" t="s">
        <v>108</v>
      </c>
      <c r="DT123" t="s">
        <v>109</v>
      </c>
      <c r="DU123" t="s">
        <v>110</v>
      </c>
      <c r="DV123" t="s">
        <v>290</v>
      </c>
      <c r="DW123" t="s">
        <v>3769</v>
      </c>
      <c r="DX123" t="s">
        <v>3770</v>
      </c>
      <c r="DY123" t="s">
        <v>3771</v>
      </c>
      <c r="DZ123" t="s">
        <v>3772</v>
      </c>
      <c r="EA123" t="s">
        <v>3773</v>
      </c>
      <c r="EB123" t="s">
        <v>3774</v>
      </c>
      <c r="EC123" t="s">
        <v>3775</v>
      </c>
      <c r="ED123" t="s">
        <v>3776</v>
      </c>
      <c r="EE123" t="s">
        <v>3777</v>
      </c>
      <c r="EF123" t="s">
        <v>3778</v>
      </c>
      <c r="EG123" t="s">
        <v>4014</v>
      </c>
      <c r="EH123" t="s">
        <v>4015</v>
      </c>
      <c r="EI123" t="s">
        <v>4016</v>
      </c>
      <c r="EJ123" t="s">
        <v>3782</v>
      </c>
      <c r="EK123" t="s">
        <v>4017</v>
      </c>
      <c r="EL123" t="s">
        <v>3815</v>
      </c>
      <c r="EM123" t="s">
        <v>3930</v>
      </c>
      <c r="EN123" t="s">
        <v>3931</v>
      </c>
      <c r="EO123" t="s">
        <v>4018</v>
      </c>
      <c r="EP123" t="s">
        <v>4459</v>
      </c>
      <c r="EQ123">
        <v>7</v>
      </c>
      <c r="ER123">
        <v>8</v>
      </c>
      <c r="ES123">
        <v>7</v>
      </c>
      <c r="ET123">
        <v>7</v>
      </c>
      <c r="EU123">
        <v>7</v>
      </c>
      <c r="EV123">
        <v>0.1</v>
      </c>
      <c r="EW123">
        <v>0.1</v>
      </c>
      <c r="EX123">
        <v>0.2</v>
      </c>
      <c r="EY123">
        <v>0.3</v>
      </c>
      <c r="EZ123">
        <v>0.3</v>
      </c>
      <c r="FA123">
        <f>EV123*EQ123</f>
        <v>0.70000000000000007</v>
      </c>
      <c r="FB123">
        <f>EW123*ER123</f>
        <v>0.8</v>
      </c>
      <c r="FC123">
        <f>EX123*ES123</f>
        <v>1.4000000000000001</v>
      </c>
      <c r="FD123">
        <f>EY123*ET123</f>
        <v>2.1</v>
      </c>
      <c r="FE123">
        <f>EZ123*EU123</f>
        <v>2.1</v>
      </c>
      <c r="FF123">
        <v>14</v>
      </c>
      <c r="FG123">
        <v>0</v>
      </c>
      <c r="FH123">
        <v>14</v>
      </c>
      <c r="FI123">
        <f>FA123+FB123+FC123+FD123+FE123</f>
        <v>7.1</v>
      </c>
      <c r="FJ123">
        <f>MEDIAN(EQ123:EU123)</f>
        <v>7</v>
      </c>
      <c r="FL123">
        <v>37.32</v>
      </c>
      <c r="FM123">
        <v>10</v>
      </c>
      <c r="FN123" t="s">
        <v>1185</v>
      </c>
      <c r="FO123" t="s">
        <v>1186</v>
      </c>
      <c r="FP123" t="s">
        <v>1187</v>
      </c>
      <c r="FQ123" t="s">
        <v>1188</v>
      </c>
      <c r="FR123" t="s">
        <v>1189</v>
      </c>
      <c r="FS123">
        <v>6</v>
      </c>
      <c r="FT123">
        <v>5</v>
      </c>
      <c r="FU123">
        <v>4</v>
      </c>
      <c r="FV123">
        <v>7</v>
      </c>
      <c r="FW123">
        <v>8</v>
      </c>
      <c r="FX123">
        <v>0.1</v>
      </c>
      <c r="FY123">
        <v>0.1</v>
      </c>
      <c r="FZ123">
        <v>0.2</v>
      </c>
      <c r="GA123">
        <v>0.3</v>
      </c>
      <c r="GB123">
        <v>0.3</v>
      </c>
      <c r="GC123">
        <f>FS123*FX123</f>
        <v>0.60000000000000009</v>
      </c>
      <c r="GD123">
        <f>FT123*FY123</f>
        <v>0.5</v>
      </c>
      <c r="GE123">
        <f>FU123*FZ123</f>
        <v>0.8</v>
      </c>
      <c r="GF123">
        <f>FV123*GA123</f>
        <v>2.1</v>
      </c>
      <c r="GG123">
        <f>FW123*GB123</f>
        <v>2.4</v>
      </c>
      <c r="GH123">
        <v>9.4</v>
      </c>
      <c r="GI123">
        <v>0.6</v>
      </c>
      <c r="GJ123">
        <v>10</v>
      </c>
      <c r="GK123">
        <f>GC123+GD123+GE123+GF123+GG123</f>
        <v>6.4</v>
      </c>
      <c r="GL123">
        <f>MEDIAN(FS123:FW123)</f>
        <v>6</v>
      </c>
    </row>
    <row r="124" spans="1:194" hidden="1" x14ac:dyDescent="0.25">
      <c r="A124">
        <v>123</v>
      </c>
      <c r="B124" t="s">
        <v>2</v>
      </c>
      <c r="C124" s="4">
        <v>79.2</v>
      </c>
      <c r="D124">
        <v>3.3</v>
      </c>
      <c r="E124" s="1">
        <f>C124/3/D124</f>
        <v>8.0000000000000018</v>
      </c>
      <c r="G124">
        <v>33.56</v>
      </c>
      <c r="H124">
        <v>8.1999999999999993</v>
      </c>
      <c r="I124">
        <f>H124*D124*3</f>
        <v>81.179999999999978</v>
      </c>
      <c r="J124">
        <v>17.329999999999998</v>
      </c>
      <c r="K124">
        <v>9</v>
      </c>
      <c r="L124" s="3">
        <f>K124*3*D124</f>
        <v>89.1</v>
      </c>
      <c r="M124">
        <v>5.28</v>
      </c>
      <c r="N124">
        <v>4</v>
      </c>
      <c r="O124">
        <f>N124*D124*3</f>
        <v>39.599999999999994</v>
      </c>
      <c r="P124" s="5">
        <v>7</v>
      </c>
      <c r="Q124" s="5">
        <f>P124*D124*3</f>
        <v>69.3</v>
      </c>
      <c r="S124" t="s">
        <v>6258</v>
      </c>
      <c r="T124">
        <v>7</v>
      </c>
      <c r="U124" s="8">
        <f>T124*D124*3</f>
        <v>69.3</v>
      </c>
      <c r="V124">
        <v>31.21</v>
      </c>
      <c r="W124">
        <v>8.4</v>
      </c>
      <c r="X124" s="5">
        <f>W124*D124*3</f>
        <v>83.16</v>
      </c>
      <c r="Y124">
        <v>11.12</v>
      </c>
      <c r="Z124">
        <v>7.5</v>
      </c>
      <c r="AA124">
        <f>Z124*D124*3</f>
        <v>74.25</v>
      </c>
      <c r="AC124">
        <v>46.7</v>
      </c>
      <c r="AD124">
        <v>8</v>
      </c>
      <c r="AE124" s="1">
        <f>AD124*3*D124</f>
        <v>79.199999999999989</v>
      </c>
      <c r="AF124">
        <v>11.86</v>
      </c>
      <c r="AG124" s="5">
        <v>7</v>
      </c>
      <c r="AH124" s="5">
        <f>AG124*D124*3</f>
        <v>69.3</v>
      </c>
      <c r="AI124" s="13"/>
      <c r="AJ124">
        <v>7</v>
      </c>
      <c r="AK124" s="8">
        <f>AJ124*D124*3</f>
        <v>69.3</v>
      </c>
      <c r="AL124" s="13"/>
      <c r="AM124">
        <v>31.13</v>
      </c>
      <c r="AN124">
        <v>7</v>
      </c>
      <c r="AO124" s="8">
        <f>AN124*D124*3</f>
        <v>69.3</v>
      </c>
      <c r="AP124">
        <v>14.94</v>
      </c>
      <c r="AQ124">
        <v>10</v>
      </c>
      <c r="AR124">
        <f>AQ124*D124*3</f>
        <v>99</v>
      </c>
      <c r="AT124">
        <v>9</v>
      </c>
      <c r="AU124">
        <f>AT124*D124*3</f>
        <v>89.1</v>
      </c>
      <c r="AW124">
        <v>24.69</v>
      </c>
      <c r="AX124">
        <v>8.5</v>
      </c>
      <c r="AY124">
        <f>AX124*D124*3</f>
        <v>84.149999999999991</v>
      </c>
      <c r="AZ124">
        <v>24.69</v>
      </c>
      <c r="BA124">
        <v>9</v>
      </c>
      <c r="BB124">
        <f>BA124*D124*3</f>
        <v>89.1</v>
      </c>
      <c r="BD124">
        <v>7.8</v>
      </c>
      <c r="BE124">
        <f>BD124*D124*3</f>
        <v>77.22</v>
      </c>
      <c r="BG124" s="10"/>
      <c r="BH124" s="1">
        <f>CHOOSE(MATCH(MIN(ABS(BP124-C124),ABS(BQ124-C124),ABS(BR124-C124)),CHOOSE({1;2;3},ABS(BP124-C124),ABS(BQ124-C124),ABS(BR124-C124)),0),BP124,BQ124,BR124)</f>
        <v>79.199999999999989</v>
      </c>
      <c r="BJ124" s="1" cm="1">
        <f t="array" ref="BJ124">(INDEX(_xlfn._xlws.SORT(CHOOSE({1;2;3;4;5;6},BQ124,BR124,L124,AE124,BO124,BP124)),3) + INDEX(_xlfn._xlws.SORT(CHOOSE({1;2;3;4;5;6},BQ124,BR124,L124,AE124,BO124,BP124)),4))/2</f>
        <v>79.199999999999989</v>
      </c>
      <c r="BK124">
        <v>8.0086905595816305</v>
      </c>
      <c r="BL124" t="s">
        <v>6117</v>
      </c>
      <c r="BM124" s="1">
        <f>BK124*3*D124</f>
        <v>79.286036539858131</v>
      </c>
      <c r="BN124" s="1">
        <f>BM124-C124</f>
        <v>8.6036539858127981E-2</v>
      </c>
      <c r="BO124" s="1">
        <f>GK124*3*D124</f>
        <v>69.795000000000002</v>
      </c>
      <c r="BP124" s="1">
        <f>DO124*3*D124</f>
        <v>89.1</v>
      </c>
      <c r="BQ124" s="1">
        <f>FJ124*3*D124</f>
        <v>79.199999999999989</v>
      </c>
      <c r="BR124" s="1">
        <f>GL124*3*D124</f>
        <v>69.3</v>
      </c>
      <c r="BT124">
        <v>33.56</v>
      </c>
      <c r="BU124">
        <v>8.1999999999999993</v>
      </c>
      <c r="BV124" t="s">
        <v>5032</v>
      </c>
      <c r="BW124" t="s">
        <v>5424</v>
      </c>
      <c r="BX124" t="s">
        <v>5425</v>
      </c>
      <c r="BY124" t="s">
        <v>5426</v>
      </c>
      <c r="BZ124" t="s">
        <v>5427</v>
      </c>
      <c r="CA124" t="s">
        <v>2437</v>
      </c>
      <c r="CC124" t="s">
        <v>2758</v>
      </c>
      <c r="CD124" t="s">
        <v>2508</v>
      </c>
      <c r="CE124" t="s">
        <v>2440</v>
      </c>
      <c r="CG124" t="s">
        <v>2761</v>
      </c>
      <c r="CH124" t="s">
        <v>2510</v>
      </c>
      <c r="CI124" t="s">
        <v>2443</v>
      </c>
      <c r="CK124" t="s">
        <v>2795</v>
      </c>
      <c r="CL124" t="s">
        <v>2512</v>
      </c>
      <c r="CM124" t="s">
        <v>2446</v>
      </c>
      <c r="CO124" t="s">
        <v>2796</v>
      </c>
      <c r="CP124" t="s">
        <v>2514</v>
      </c>
      <c r="CQ124" t="s">
        <v>2449</v>
      </c>
      <c r="CS124" t="s">
        <v>2679</v>
      </c>
      <c r="CT124" t="s">
        <v>2524</v>
      </c>
      <c r="CV124">
        <v>9</v>
      </c>
      <c r="CW124">
        <v>9</v>
      </c>
      <c r="CX124">
        <v>9</v>
      </c>
      <c r="CY124">
        <v>9</v>
      </c>
      <c r="CZ124">
        <v>9</v>
      </c>
      <c r="DA124">
        <v>0.1</v>
      </c>
      <c r="DB124">
        <v>0.1</v>
      </c>
      <c r="DC124">
        <v>0.2</v>
      </c>
      <c r="DD124">
        <v>0.3</v>
      </c>
      <c r="DE124">
        <v>0.3</v>
      </c>
      <c r="DF124">
        <v>0.9</v>
      </c>
      <c r="DG124">
        <v>0.9</v>
      </c>
      <c r="DH124">
        <v>1.8</v>
      </c>
      <c r="DI124">
        <v>2.7</v>
      </c>
      <c r="DJ124">
        <v>2.7</v>
      </c>
      <c r="DK124">
        <v>8.1999999999999993</v>
      </c>
      <c r="DL124">
        <v>0</v>
      </c>
      <c r="DM124">
        <v>8.1999999999999993</v>
      </c>
      <c r="DN124">
        <v>9</v>
      </c>
      <c r="DO124">
        <f>AVERAGE(CV124:CZ124)</f>
        <v>9</v>
      </c>
      <c r="DQ124" t="s">
        <v>27</v>
      </c>
      <c r="DR124" t="s">
        <v>65</v>
      </c>
      <c r="DS124" t="s">
        <v>66</v>
      </c>
      <c r="DT124" t="s">
        <v>67</v>
      </c>
      <c r="DU124" t="s">
        <v>71</v>
      </c>
      <c r="DV124" t="s">
        <v>286</v>
      </c>
      <c r="DW124" t="s">
        <v>3836</v>
      </c>
      <c r="DX124" t="s">
        <v>3858</v>
      </c>
      <c r="DY124" t="s">
        <v>3883</v>
      </c>
      <c r="DZ124" t="s">
        <v>3884</v>
      </c>
      <c r="EA124" t="s">
        <v>3860</v>
      </c>
      <c r="EB124" t="s">
        <v>3840</v>
      </c>
      <c r="EC124" t="s">
        <v>3885</v>
      </c>
      <c r="ED124" t="s">
        <v>3861</v>
      </c>
      <c r="EE124" t="s">
        <v>3886</v>
      </c>
      <c r="EF124" t="s">
        <v>4245</v>
      </c>
      <c r="EG124" t="s">
        <v>3888</v>
      </c>
      <c r="EH124" t="s">
        <v>4446</v>
      </c>
      <c r="EI124" t="s">
        <v>3879</v>
      </c>
      <c r="EJ124" t="s">
        <v>4247</v>
      </c>
      <c r="EK124" t="s">
        <v>3891</v>
      </c>
      <c r="EL124" t="s">
        <v>4447</v>
      </c>
      <c r="EM124" t="s">
        <v>3851</v>
      </c>
      <c r="EN124" t="s">
        <v>4250</v>
      </c>
      <c r="EO124" t="s">
        <v>4448</v>
      </c>
      <c r="EP124" t="s">
        <v>3873</v>
      </c>
      <c r="EQ124">
        <v>8</v>
      </c>
      <c r="ER124">
        <v>8</v>
      </c>
      <c r="ES124">
        <v>8</v>
      </c>
      <c r="ET124">
        <v>8</v>
      </c>
      <c r="EU124">
        <v>8</v>
      </c>
      <c r="EV124">
        <v>0.1</v>
      </c>
      <c r="EW124">
        <v>0.1</v>
      </c>
      <c r="EX124">
        <v>0.2</v>
      </c>
      <c r="EY124">
        <v>0.3</v>
      </c>
      <c r="EZ124">
        <v>0.3</v>
      </c>
      <c r="FA124">
        <f>EV124*EQ124</f>
        <v>0.8</v>
      </c>
      <c r="FB124">
        <f>EW124*ER124</f>
        <v>0.8</v>
      </c>
      <c r="FC124">
        <f>EX124*ES124</f>
        <v>1.6</v>
      </c>
      <c r="FD124">
        <f>EY124*ET124</f>
        <v>2.4</v>
      </c>
      <c r="FE124">
        <f>EZ124*EU124</f>
        <v>2.4</v>
      </c>
      <c r="FF124">
        <v>16</v>
      </c>
      <c r="FG124">
        <v>0</v>
      </c>
      <c r="FH124">
        <v>9</v>
      </c>
      <c r="FI124">
        <f>FA124+FB124+FC124+FD124+FE124</f>
        <v>8</v>
      </c>
      <c r="FJ124">
        <f>MEDIAN(EQ124:EU124)</f>
        <v>8</v>
      </c>
      <c r="FL124">
        <v>40.29</v>
      </c>
      <c r="FM124">
        <v>7.45</v>
      </c>
      <c r="FN124" t="s">
        <v>1190</v>
      </c>
      <c r="FO124" t="s">
        <v>1191</v>
      </c>
      <c r="FP124" t="s">
        <v>1192</v>
      </c>
      <c r="FQ124" t="s">
        <v>1193</v>
      </c>
      <c r="FR124" t="s">
        <v>1194</v>
      </c>
      <c r="FS124">
        <v>7</v>
      </c>
      <c r="FT124">
        <v>8</v>
      </c>
      <c r="FU124">
        <v>7.5</v>
      </c>
      <c r="FV124">
        <v>6.5</v>
      </c>
      <c r="FW124">
        <v>7</v>
      </c>
      <c r="FX124">
        <v>0.1</v>
      </c>
      <c r="FY124">
        <v>0.1</v>
      </c>
      <c r="FZ124">
        <v>0.2</v>
      </c>
      <c r="GA124">
        <v>0.3</v>
      </c>
      <c r="GB124">
        <v>0.3</v>
      </c>
      <c r="GC124">
        <f>FS124*FX124</f>
        <v>0.70000000000000007</v>
      </c>
      <c r="GD124">
        <f>FT124*FY124</f>
        <v>0.8</v>
      </c>
      <c r="GE124">
        <f>FU124*FZ124</f>
        <v>1.5</v>
      </c>
      <c r="GF124">
        <f>FV124*GA124</f>
        <v>1.95</v>
      </c>
      <c r="GG124">
        <f>FW124*GB124</f>
        <v>2.1</v>
      </c>
      <c r="GH124">
        <v>7.45</v>
      </c>
      <c r="GI124">
        <v>0</v>
      </c>
      <c r="GJ124">
        <v>7.45</v>
      </c>
      <c r="GK124">
        <f>GC124+GD124+GE124+GF124+GG124</f>
        <v>7.0500000000000007</v>
      </c>
      <c r="GL124">
        <f>MEDIAN(FS124:FW124)</f>
        <v>7</v>
      </c>
    </row>
    <row r="125" spans="1:194" hidden="1" x14ac:dyDescent="0.25">
      <c r="A125">
        <v>124</v>
      </c>
      <c r="B125" t="s">
        <v>2</v>
      </c>
      <c r="C125" s="4">
        <v>89.25</v>
      </c>
      <c r="D125">
        <v>3.5</v>
      </c>
      <c r="E125" s="1">
        <f>C125/3/D125</f>
        <v>8.5</v>
      </c>
      <c r="G125">
        <v>37.479999999999997</v>
      </c>
      <c r="H125">
        <v>8</v>
      </c>
      <c r="I125">
        <f>H125*D125*3</f>
        <v>84</v>
      </c>
      <c r="J125">
        <v>16.79</v>
      </c>
      <c r="K125">
        <v>9.5</v>
      </c>
      <c r="L125" s="3">
        <f>K125*3*D125</f>
        <v>99.75</v>
      </c>
      <c r="M125">
        <v>5.2</v>
      </c>
      <c r="N125">
        <v>1.5</v>
      </c>
      <c r="O125">
        <f>N125*D125*3</f>
        <v>15.75</v>
      </c>
      <c r="P125" s="5">
        <v>9</v>
      </c>
      <c r="Q125" s="5">
        <f>P125*D125*3</f>
        <v>94.5</v>
      </c>
      <c r="S125" t="s">
        <v>6259</v>
      </c>
      <c r="T125">
        <v>5.3</v>
      </c>
      <c r="U125" s="8">
        <f>T125*D125*3</f>
        <v>55.650000000000006</v>
      </c>
      <c r="V125">
        <v>30.48</v>
      </c>
      <c r="W125">
        <v>8</v>
      </c>
      <c r="X125" s="5">
        <f>W125*D125*3</f>
        <v>84</v>
      </c>
      <c r="Y125">
        <v>11.69</v>
      </c>
      <c r="Z125">
        <v>7.8</v>
      </c>
      <c r="AA125">
        <f>Z125*D125*3</f>
        <v>81.900000000000006</v>
      </c>
      <c r="AC125">
        <v>48.02</v>
      </c>
      <c r="AD125">
        <v>7.1</v>
      </c>
      <c r="AE125" s="1">
        <f>AD125*3*D125</f>
        <v>74.549999999999983</v>
      </c>
      <c r="AF125">
        <v>9.51</v>
      </c>
      <c r="AH125" s="5">
        <f>AG125*D125*3</f>
        <v>0</v>
      </c>
      <c r="AI125" s="13"/>
      <c r="AJ125">
        <v>7.5</v>
      </c>
      <c r="AK125" s="8">
        <f>AJ125*D125*3</f>
        <v>78.75</v>
      </c>
      <c r="AL125" s="13"/>
      <c r="AM125">
        <v>30.05</v>
      </c>
      <c r="AN125">
        <v>7.2</v>
      </c>
      <c r="AO125" s="8">
        <f>AN125*D125*3</f>
        <v>75.599999999999994</v>
      </c>
      <c r="AP125">
        <v>14.61</v>
      </c>
      <c r="AQ125">
        <v>9.1</v>
      </c>
      <c r="AR125">
        <f>AQ125*D125*3</f>
        <v>95.55</v>
      </c>
      <c r="AT125">
        <v>8.5</v>
      </c>
      <c r="AU125">
        <f>AT125*D125*3</f>
        <v>89.25</v>
      </c>
      <c r="AW125">
        <v>24.44</v>
      </c>
      <c r="AX125">
        <v>9.4</v>
      </c>
      <c r="AY125">
        <f>AX125*D125*3</f>
        <v>98.699999999999989</v>
      </c>
      <c r="AZ125">
        <v>24.44</v>
      </c>
      <c r="BA125">
        <v>8.6999999999999993</v>
      </c>
      <c r="BB125">
        <f>BA125*D125*3</f>
        <v>91.35</v>
      </c>
      <c r="BD125">
        <v>8.3000000000000007</v>
      </c>
      <c r="BE125">
        <f>BD125*D125*3</f>
        <v>87.15</v>
      </c>
      <c r="BG125" s="10"/>
      <c r="BH125" s="1">
        <f>CHOOSE(MATCH(MIN(ABS(BP125-C125),ABS(BQ125-C125),ABS(BR125-C125)),CHOOSE({1;2;3},ABS(BP125-C125),ABS(BQ125-C125),ABS(BR125-C125)),0),BP125,BQ125,BR125)</f>
        <v>94.5</v>
      </c>
      <c r="BJ125" s="1" cm="1">
        <f t="array" ref="BJ125">(INDEX(_xlfn._xlws.SORT(CHOOSE({1;2;3;4;5;6},BQ125,BR125,L125,AE125,BO125,BP125)),3) + INDEX(_xlfn._xlws.SORT(CHOOSE({1;2;3;4;5;6},BQ125,BR125,L125,AE125,BO125,BP125)),4))/2</f>
        <v>74.024999999999991</v>
      </c>
      <c r="BK125">
        <v>8.4328233494672293</v>
      </c>
      <c r="BL125" t="s">
        <v>6117</v>
      </c>
      <c r="BM125" s="1">
        <f>BK125*3*D125</f>
        <v>88.544645169405911</v>
      </c>
      <c r="BN125" s="1">
        <f>BM125-C125</f>
        <v>-0.70535483059408932</v>
      </c>
      <c r="BO125" s="1">
        <f>GK125*3*D125</f>
        <v>56.70000000000001</v>
      </c>
      <c r="BP125" s="1">
        <f>DO125*3*D125</f>
        <v>94.5</v>
      </c>
      <c r="BQ125" s="1">
        <f>FJ125*3*D125</f>
        <v>73.5</v>
      </c>
      <c r="BR125" s="1">
        <f>GL125*3*D125</f>
        <v>63</v>
      </c>
      <c r="BT125">
        <v>37.479999999999997</v>
      </c>
      <c r="BU125">
        <v>8</v>
      </c>
      <c r="BV125" t="s">
        <v>5428</v>
      </c>
      <c r="BW125" t="s">
        <v>5429</v>
      </c>
      <c r="BX125" t="s">
        <v>5430</v>
      </c>
      <c r="BY125" t="s">
        <v>5431</v>
      </c>
      <c r="BZ125" t="s">
        <v>5432</v>
      </c>
      <c r="CA125" t="s">
        <v>2506</v>
      </c>
      <c r="CC125" t="s">
        <v>3065</v>
      </c>
      <c r="CD125" t="s">
        <v>2508</v>
      </c>
      <c r="CE125" t="s">
        <v>2440</v>
      </c>
      <c r="CG125" t="s">
        <v>2509</v>
      </c>
      <c r="CH125" t="s">
        <v>2510</v>
      </c>
      <c r="CI125" t="s">
        <v>2443</v>
      </c>
      <c r="CK125" t="s">
        <v>2511</v>
      </c>
      <c r="CL125" t="s">
        <v>2512</v>
      </c>
      <c r="CM125" t="s">
        <v>2658</v>
      </c>
      <c r="CO125" t="s">
        <v>3066</v>
      </c>
      <c r="CP125" t="s">
        <v>2514</v>
      </c>
      <c r="CQ125" t="s">
        <v>2449</v>
      </c>
      <c r="CS125" t="s">
        <v>2523</v>
      </c>
      <c r="CT125" t="s">
        <v>2524</v>
      </c>
      <c r="CV125">
        <v>9</v>
      </c>
      <c r="CW125">
        <v>9</v>
      </c>
      <c r="CX125">
        <v>9</v>
      </c>
      <c r="CY125">
        <v>9</v>
      </c>
      <c r="CZ125">
        <v>9</v>
      </c>
      <c r="DA125">
        <v>0.1</v>
      </c>
      <c r="DB125">
        <v>0.1</v>
      </c>
      <c r="DC125">
        <v>0.2</v>
      </c>
      <c r="DD125">
        <v>0.3</v>
      </c>
      <c r="DE125">
        <v>0.3</v>
      </c>
      <c r="DF125">
        <v>0.9</v>
      </c>
      <c r="DG125">
        <v>0.9</v>
      </c>
      <c r="DH125">
        <v>1.8</v>
      </c>
      <c r="DI125">
        <v>2.7</v>
      </c>
      <c r="DJ125">
        <v>2.7</v>
      </c>
      <c r="DK125">
        <v>8</v>
      </c>
      <c r="DL125">
        <v>0</v>
      </c>
      <c r="DM125">
        <v>8</v>
      </c>
      <c r="DN125">
        <v>9.5</v>
      </c>
      <c r="DO125">
        <f>AVERAGE(CV125:CZ125)</f>
        <v>9</v>
      </c>
      <c r="DQ125">
        <v>17</v>
      </c>
      <c r="DR125" t="s">
        <v>28</v>
      </c>
      <c r="DS125" t="s">
        <v>108</v>
      </c>
      <c r="DT125" t="s">
        <v>109</v>
      </c>
      <c r="DU125" t="s">
        <v>110</v>
      </c>
      <c r="DV125" t="s">
        <v>290</v>
      </c>
      <c r="DW125" t="s">
        <v>3769</v>
      </c>
      <c r="DX125" t="s">
        <v>3770</v>
      </c>
      <c r="DY125" t="s">
        <v>3771</v>
      </c>
      <c r="DZ125" t="s">
        <v>3772</v>
      </c>
      <c r="EA125" t="s">
        <v>3773</v>
      </c>
      <c r="EB125" t="s">
        <v>3774</v>
      </c>
      <c r="EC125" t="s">
        <v>3775</v>
      </c>
      <c r="ED125" t="s">
        <v>3776</v>
      </c>
      <c r="EE125" t="s">
        <v>3777</v>
      </c>
      <c r="EF125" t="s">
        <v>3778</v>
      </c>
      <c r="EG125" t="s">
        <v>4014</v>
      </c>
      <c r="EH125" t="s">
        <v>4015</v>
      </c>
      <c r="EI125" t="s">
        <v>4016</v>
      </c>
      <c r="EJ125" t="s">
        <v>3782</v>
      </c>
      <c r="EK125" t="s">
        <v>4017</v>
      </c>
      <c r="EL125" t="s">
        <v>3815</v>
      </c>
      <c r="EM125" t="s">
        <v>3930</v>
      </c>
      <c r="EN125" t="s">
        <v>3931</v>
      </c>
      <c r="EO125" t="s">
        <v>4018</v>
      </c>
      <c r="EP125" t="s">
        <v>4459</v>
      </c>
      <c r="EQ125">
        <v>7</v>
      </c>
      <c r="ER125">
        <v>8</v>
      </c>
      <c r="ES125">
        <v>7</v>
      </c>
      <c r="ET125">
        <v>7</v>
      </c>
      <c r="EU125">
        <v>7</v>
      </c>
      <c r="EV125">
        <v>0.1</v>
      </c>
      <c r="EW125">
        <v>0.1</v>
      </c>
      <c r="EX125">
        <v>0.2</v>
      </c>
      <c r="EY125">
        <v>0.3</v>
      </c>
      <c r="EZ125">
        <v>0.3</v>
      </c>
      <c r="FA125">
        <f>EV125*EQ125</f>
        <v>0.70000000000000007</v>
      </c>
      <c r="FB125">
        <f>EW125*ER125</f>
        <v>0.8</v>
      </c>
      <c r="FC125">
        <f>EX125*ES125</f>
        <v>1.4000000000000001</v>
      </c>
      <c r="FD125">
        <f>EY125*ET125</f>
        <v>2.1</v>
      </c>
      <c r="FE125">
        <f>EZ125*EU125</f>
        <v>2.1</v>
      </c>
      <c r="FF125">
        <v>17</v>
      </c>
      <c r="FG125">
        <v>0</v>
      </c>
      <c r="FH125">
        <v>17</v>
      </c>
      <c r="FI125">
        <f>FA125+FB125+FC125+FD125+FE125</f>
        <v>7.1</v>
      </c>
      <c r="FJ125">
        <f>MEDIAN(EQ125:EU125)</f>
        <v>7</v>
      </c>
      <c r="FL125">
        <v>38.630000000000003</v>
      </c>
      <c r="FM125">
        <v>6.9</v>
      </c>
      <c r="FN125" t="s">
        <v>1195</v>
      </c>
      <c r="FO125" t="s">
        <v>1196</v>
      </c>
      <c r="FP125" t="s">
        <v>1197</v>
      </c>
      <c r="FQ125" t="s">
        <v>1198</v>
      </c>
      <c r="FR125" t="s">
        <v>1199</v>
      </c>
      <c r="FS125">
        <v>6</v>
      </c>
      <c r="FT125">
        <v>7</v>
      </c>
      <c r="FU125">
        <v>4</v>
      </c>
      <c r="FV125">
        <v>5</v>
      </c>
      <c r="FW125">
        <v>6</v>
      </c>
      <c r="FX125">
        <v>0.1</v>
      </c>
      <c r="FY125">
        <v>0.1</v>
      </c>
      <c r="FZ125">
        <v>0.2</v>
      </c>
      <c r="GA125">
        <v>0.3</v>
      </c>
      <c r="GB125">
        <v>0.3</v>
      </c>
      <c r="GC125">
        <f>FS125*FX125</f>
        <v>0.60000000000000009</v>
      </c>
      <c r="GD125">
        <f>FT125*FY125</f>
        <v>0.70000000000000007</v>
      </c>
      <c r="GE125">
        <f>FU125*FZ125</f>
        <v>0.8</v>
      </c>
      <c r="GF125">
        <f>FV125*GA125</f>
        <v>1.5</v>
      </c>
      <c r="GG125">
        <f>FW125*GB125</f>
        <v>1.7999999999999998</v>
      </c>
      <c r="GH125">
        <v>6.9</v>
      </c>
      <c r="GI125">
        <v>0</v>
      </c>
      <c r="GJ125">
        <v>6.9</v>
      </c>
      <c r="GK125">
        <f>GC125+GD125+GE125+GF125+GG125</f>
        <v>5.4</v>
      </c>
      <c r="GL125">
        <f>MEDIAN(FS125:FW125)</f>
        <v>6</v>
      </c>
    </row>
    <row r="126" spans="1:194" x14ac:dyDescent="0.25">
      <c r="A126">
        <v>281</v>
      </c>
      <c r="B126" t="s">
        <v>2</v>
      </c>
      <c r="C126" s="4">
        <v>64</v>
      </c>
      <c r="D126">
        <v>3.2</v>
      </c>
      <c r="E126" s="1">
        <f>C126/3/D126</f>
        <v>6.6666666666666661</v>
      </c>
      <c r="G126">
        <v>36.130000000000003</v>
      </c>
      <c r="H126">
        <v>8.1999999999999993</v>
      </c>
      <c r="I126">
        <f>H126*D126*3</f>
        <v>78.72</v>
      </c>
      <c r="J126">
        <v>18.37</v>
      </c>
      <c r="K126">
        <v>9</v>
      </c>
      <c r="L126" s="3">
        <f>K126*3*D126</f>
        <v>86.4</v>
      </c>
      <c r="M126">
        <v>4.92</v>
      </c>
      <c r="N126">
        <v>3</v>
      </c>
      <c r="O126">
        <f>N126*D126*3</f>
        <v>28.800000000000004</v>
      </c>
      <c r="P126" s="5">
        <v>8.5</v>
      </c>
      <c r="Q126" s="5">
        <f>P126*D126*3</f>
        <v>81.600000000000009</v>
      </c>
      <c r="S126" t="s">
        <v>6408</v>
      </c>
      <c r="T126">
        <v>5.3</v>
      </c>
      <c r="U126" s="8">
        <f>T126*D126*3</f>
        <v>50.88</v>
      </c>
      <c r="V126">
        <v>31.15</v>
      </c>
      <c r="W126">
        <v>9</v>
      </c>
      <c r="X126" s="5">
        <f>W126*D126*3</f>
        <v>86.4</v>
      </c>
      <c r="Y126">
        <v>11.41</v>
      </c>
      <c r="Z126">
        <v>8</v>
      </c>
      <c r="AA126">
        <f>Z126*D126*3</f>
        <v>76.800000000000011</v>
      </c>
      <c r="AC126">
        <v>129.79</v>
      </c>
      <c r="AD126">
        <v>7.6</v>
      </c>
      <c r="AE126" s="1">
        <f>AD126*3*D126</f>
        <v>72.959999999999994</v>
      </c>
      <c r="AF126">
        <v>11.99</v>
      </c>
      <c r="AG126" s="5">
        <v>7</v>
      </c>
      <c r="AH126" s="5">
        <f>AG126*D126*3</f>
        <v>67.2</v>
      </c>
      <c r="AI126" s="13"/>
      <c r="AJ126">
        <v>42</v>
      </c>
      <c r="AK126" s="8">
        <f>AJ126*D126*3</f>
        <v>403.20000000000005</v>
      </c>
      <c r="AL126" s="13"/>
      <c r="AM126">
        <v>30.82</v>
      </c>
      <c r="AN126">
        <v>7</v>
      </c>
      <c r="AO126" s="8">
        <f>AN126*D126*3</f>
        <v>67.2</v>
      </c>
      <c r="AP126">
        <v>15.16</v>
      </c>
      <c r="AQ126">
        <v>10</v>
      </c>
      <c r="AR126">
        <f>AQ126*D126*3</f>
        <v>96</v>
      </c>
      <c r="AT126">
        <v>9.4</v>
      </c>
      <c r="AU126">
        <f>AT126*D126*3</f>
        <v>90.240000000000009</v>
      </c>
      <c r="AX126">
        <v>9.1</v>
      </c>
      <c r="AY126">
        <f>AX126*D126*3</f>
        <v>87.36</v>
      </c>
      <c r="BA126">
        <v>8.6999999999999993</v>
      </c>
      <c r="BB126">
        <f>BA126*D126*3</f>
        <v>83.52</v>
      </c>
      <c r="BD126">
        <v>8.6</v>
      </c>
      <c r="BE126">
        <f>BD126*D126*3</f>
        <v>82.56</v>
      </c>
      <c r="BG126" s="10"/>
      <c r="BH126" s="1">
        <f>CHOOSE(MATCH(MIN(ABS(BP126-C126),ABS(BQ126-C126),ABS(BR126-C126)),CHOOSE({1;2;3},ABS(BP126-C126),ABS(BQ126-C126),ABS(BR126-C126)),0),BP126,BQ126,BR126)</f>
        <v>76.800000000000011</v>
      </c>
      <c r="BJ126" s="1" cm="1">
        <f t="array" ref="BJ126">(INDEX(_xlfn._xlws.SORT(CHOOSE({1;2;3;4;5;6},BQ126,BR126,L126,AE126,BO126,BP126)),3) + INDEX(_xlfn._xlws.SORT(CHOOSE({1;2;3;4;5;6},BQ126,BR126,L126,AE126,BO126,BP126)),4))/2</f>
        <v>74.88</v>
      </c>
      <c r="BK126">
        <v>6.2533015025305598</v>
      </c>
      <c r="BL126" s="11" t="s">
        <v>6116</v>
      </c>
      <c r="BM126" s="1">
        <f>BK126*3*D126</f>
        <v>60.03169442429337</v>
      </c>
      <c r="BN126" s="1">
        <f>BM126-C126</f>
        <v>-3.9683055757066299</v>
      </c>
      <c r="BO126" s="1">
        <f>GK126*3*D126</f>
        <v>39.36</v>
      </c>
      <c r="BP126" s="1">
        <f>DO126*3*D126</f>
        <v>86.4</v>
      </c>
      <c r="BQ126" s="1">
        <f>FJ126*3*D126</f>
        <v>76.800000000000011</v>
      </c>
      <c r="BR126" s="1">
        <f>GL126*3*D126</f>
        <v>48</v>
      </c>
      <c r="BT126">
        <v>36.130000000000003</v>
      </c>
      <c r="BU126">
        <v>8.1999999999999993</v>
      </c>
      <c r="BV126" t="s">
        <v>5412</v>
      </c>
      <c r="BW126" t="s">
        <v>5094</v>
      </c>
      <c r="BX126" t="s">
        <v>5704</v>
      </c>
      <c r="BY126" t="s">
        <v>5868</v>
      </c>
      <c r="BZ126" t="s">
        <v>5291</v>
      </c>
      <c r="CA126" t="s">
        <v>2437</v>
      </c>
      <c r="CC126" t="s">
        <v>2438</v>
      </c>
      <c r="CD126" t="s">
        <v>2439</v>
      </c>
      <c r="CE126" t="s">
        <v>2440</v>
      </c>
      <c r="CG126" t="s">
        <v>2441</v>
      </c>
      <c r="CH126" t="s">
        <v>2442</v>
      </c>
      <c r="CI126" t="s">
        <v>2535</v>
      </c>
      <c r="CK126" t="s">
        <v>2444</v>
      </c>
      <c r="CL126" t="s">
        <v>2445</v>
      </c>
      <c r="CM126" t="s">
        <v>2446</v>
      </c>
      <c r="CO126" t="s">
        <v>2447</v>
      </c>
      <c r="CP126" t="s">
        <v>2448</v>
      </c>
      <c r="CQ126" t="s">
        <v>2666</v>
      </c>
      <c r="CS126" t="s">
        <v>2450</v>
      </c>
      <c r="CT126" t="s">
        <v>2451</v>
      </c>
      <c r="CV126">
        <v>9</v>
      </c>
      <c r="CW126">
        <v>9</v>
      </c>
      <c r="CX126">
        <v>9</v>
      </c>
      <c r="CY126">
        <v>9</v>
      </c>
      <c r="CZ126">
        <v>9</v>
      </c>
      <c r="DA126">
        <v>0.1</v>
      </c>
      <c r="DB126">
        <v>0.1</v>
      </c>
      <c r="DC126">
        <v>0.2</v>
      </c>
      <c r="DD126">
        <v>0.3</v>
      </c>
      <c r="DE126">
        <v>0.3</v>
      </c>
      <c r="DF126">
        <v>0.9</v>
      </c>
      <c r="DG126">
        <v>0.9</v>
      </c>
      <c r="DH126">
        <v>1.8</v>
      </c>
      <c r="DI126">
        <v>2.7</v>
      </c>
      <c r="DJ126">
        <v>2.7</v>
      </c>
      <c r="DK126">
        <v>8.1999999999999993</v>
      </c>
      <c r="DL126">
        <v>0</v>
      </c>
      <c r="DM126">
        <v>8.1999999999999993</v>
      </c>
      <c r="DN126">
        <v>9</v>
      </c>
      <c r="DO126">
        <f>AVERAGE(CV126:CZ126)</f>
        <v>9</v>
      </c>
      <c r="DQ126" t="s">
        <v>27</v>
      </c>
      <c r="DR126" t="s">
        <v>28</v>
      </c>
      <c r="DS126" t="s">
        <v>29</v>
      </c>
      <c r="DT126" t="s">
        <v>475</v>
      </c>
      <c r="DU126" t="s">
        <v>476</v>
      </c>
      <c r="DV126" t="s">
        <v>477</v>
      </c>
      <c r="DW126" t="s">
        <v>3769</v>
      </c>
      <c r="DX126" t="s">
        <v>3770</v>
      </c>
      <c r="DY126" t="s">
        <v>3771</v>
      </c>
      <c r="DZ126" t="s">
        <v>3772</v>
      </c>
      <c r="EA126" t="s">
        <v>3828</v>
      </c>
      <c r="EB126" t="s">
        <v>3774</v>
      </c>
      <c r="EC126" t="s">
        <v>3775</v>
      </c>
      <c r="ED126" t="s">
        <v>3776</v>
      </c>
      <c r="EE126" t="s">
        <v>3777</v>
      </c>
      <c r="EF126" t="s">
        <v>3778</v>
      </c>
      <c r="EG126" t="s">
        <v>3779</v>
      </c>
      <c r="EH126" t="s">
        <v>3780</v>
      </c>
      <c r="EI126" t="s">
        <v>4801</v>
      </c>
      <c r="EJ126" t="s">
        <v>4802</v>
      </c>
      <c r="EK126" t="s">
        <v>4803</v>
      </c>
      <c r="EL126" t="s">
        <v>3784</v>
      </c>
      <c r="EM126" t="s">
        <v>4804</v>
      </c>
      <c r="EN126" t="s">
        <v>4805</v>
      </c>
      <c r="EO126" t="s">
        <v>4806</v>
      </c>
      <c r="EP126" t="s">
        <v>4807</v>
      </c>
      <c r="EQ126">
        <v>7</v>
      </c>
      <c r="ER126">
        <v>8</v>
      </c>
      <c r="ES126">
        <v>8</v>
      </c>
      <c r="ET126">
        <v>8</v>
      </c>
      <c r="EU126">
        <v>7</v>
      </c>
      <c r="EV126">
        <v>0.1</v>
      </c>
      <c r="EW126">
        <v>0.1</v>
      </c>
      <c r="EX126">
        <v>0.2</v>
      </c>
      <c r="EY126">
        <v>0.3</v>
      </c>
      <c r="EZ126">
        <v>0.3</v>
      </c>
      <c r="FA126">
        <f>EV126*EQ126</f>
        <v>0.70000000000000007</v>
      </c>
      <c r="FB126">
        <f>EW126*ER126</f>
        <v>0.8</v>
      </c>
      <c r="FC126">
        <f>EX126*ES126</f>
        <v>1.6</v>
      </c>
      <c r="FD126">
        <f>EY126*ET126</f>
        <v>2.4</v>
      </c>
      <c r="FE126">
        <f>EZ126*EU126</f>
        <v>2.1</v>
      </c>
      <c r="FF126">
        <v>15.5</v>
      </c>
      <c r="FG126">
        <v>0</v>
      </c>
      <c r="FH126">
        <v>15.5</v>
      </c>
      <c r="FI126">
        <f>FA126+FB126+FC126+FD126+FE126</f>
        <v>7.6</v>
      </c>
      <c r="FJ126">
        <f>MEDIAN(EQ126:EU126)</f>
        <v>8</v>
      </c>
      <c r="FL126">
        <v>41.21</v>
      </c>
      <c r="FM126">
        <v>5.8</v>
      </c>
      <c r="FN126" t="s">
        <v>1938</v>
      </c>
      <c r="FO126" t="s">
        <v>1939</v>
      </c>
      <c r="FP126" t="s">
        <v>1940</v>
      </c>
      <c r="FQ126" t="s">
        <v>1941</v>
      </c>
      <c r="FR126" t="s">
        <v>1942</v>
      </c>
      <c r="FS126">
        <v>6</v>
      </c>
      <c r="FT126">
        <v>7</v>
      </c>
      <c r="FU126">
        <v>5</v>
      </c>
      <c r="FV126">
        <v>4</v>
      </c>
      <c r="FW126">
        <v>2</v>
      </c>
      <c r="FX126">
        <v>0.1</v>
      </c>
      <c r="FY126">
        <v>0.1</v>
      </c>
      <c r="FZ126">
        <v>0.2</v>
      </c>
      <c r="GA126">
        <v>0.3</v>
      </c>
      <c r="GB126">
        <v>0.3</v>
      </c>
      <c r="GC126">
        <f>FS126*FX126</f>
        <v>0.60000000000000009</v>
      </c>
      <c r="GD126">
        <f>FT126*FY126</f>
        <v>0.70000000000000007</v>
      </c>
      <c r="GE126">
        <f>FU126*FZ126</f>
        <v>1</v>
      </c>
      <c r="GF126">
        <f>FV126*GA126</f>
        <v>1.2</v>
      </c>
      <c r="GG126">
        <f>FW126*GB126</f>
        <v>0.6</v>
      </c>
      <c r="GH126">
        <v>5.8</v>
      </c>
      <c r="GJ126">
        <v>5.8</v>
      </c>
      <c r="GK126">
        <f>GC126+GD126+GE126+GF126+GG126</f>
        <v>4.0999999999999996</v>
      </c>
      <c r="GL126">
        <f>MEDIAN(FS126:FW126)</f>
        <v>5</v>
      </c>
    </row>
    <row r="127" spans="1:194" hidden="1" x14ac:dyDescent="0.25">
      <c r="A127">
        <v>126</v>
      </c>
      <c r="B127" t="s">
        <v>2</v>
      </c>
      <c r="C127" s="4">
        <v>94.05</v>
      </c>
      <c r="D127">
        <v>3.3</v>
      </c>
      <c r="E127" s="1">
        <f>C127/3/D127</f>
        <v>9.5</v>
      </c>
      <c r="G127">
        <v>34.9</v>
      </c>
      <c r="H127">
        <v>8.1999999999999993</v>
      </c>
      <c r="I127">
        <f>H127*D127*3</f>
        <v>81.179999999999978</v>
      </c>
      <c r="J127">
        <v>17.84</v>
      </c>
      <c r="K127">
        <v>9</v>
      </c>
      <c r="L127" s="3">
        <f>K127*3*D127</f>
        <v>89.1</v>
      </c>
      <c r="M127">
        <v>4.1399999999999997</v>
      </c>
      <c r="N127">
        <v>8.9</v>
      </c>
      <c r="O127">
        <f>N127*D127*3</f>
        <v>88.11</v>
      </c>
      <c r="P127" s="5">
        <v>7.6</v>
      </c>
      <c r="Q127" s="5">
        <f>P127*D127*3</f>
        <v>75.239999999999995</v>
      </c>
      <c r="S127" t="s">
        <v>6260</v>
      </c>
      <c r="T127">
        <v>4</v>
      </c>
      <c r="U127" s="8">
        <f>T127*D127*3</f>
        <v>39.599999999999994</v>
      </c>
      <c r="V127">
        <v>37.42</v>
      </c>
      <c r="W127">
        <v>8.5</v>
      </c>
      <c r="X127" s="5">
        <f>W127*D127*3</f>
        <v>84.149999999999991</v>
      </c>
      <c r="Y127">
        <v>10.91</v>
      </c>
      <c r="Z127">
        <v>7.5</v>
      </c>
      <c r="AA127">
        <f>Z127*D127*3</f>
        <v>74.25</v>
      </c>
      <c r="AC127">
        <v>45.34</v>
      </c>
      <c r="AD127">
        <v>7.4</v>
      </c>
      <c r="AE127" s="1">
        <f>AD127*3*D127</f>
        <v>73.260000000000005</v>
      </c>
      <c r="AF127">
        <v>11.88</v>
      </c>
      <c r="AG127" s="5">
        <v>7</v>
      </c>
      <c r="AH127" s="5">
        <f>AG127*D127*3</f>
        <v>69.3</v>
      </c>
      <c r="AI127" s="13"/>
      <c r="AJ127">
        <v>2.8</v>
      </c>
      <c r="AK127" s="8">
        <f>AJ127*D127*3</f>
        <v>27.719999999999995</v>
      </c>
      <c r="AL127" s="13"/>
      <c r="AM127">
        <v>30.48</v>
      </c>
      <c r="AN127">
        <v>7.6</v>
      </c>
      <c r="AO127" s="8">
        <f>AN127*D127*3</f>
        <v>75.239999999999995</v>
      </c>
      <c r="AP127">
        <v>13.38</v>
      </c>
      <c r="AQ127">
        <v>10</v>
      </c>
      <c r="AR127">
        <f>AQ127*D127*3</f>
        <v>99</v>
      </c>
      <c r="AT127">
        <v>8.5</v>
      </c>
      <c r="AU127">
        <f>AT127*D127*3</f>
        <v>84.149999999999991</v>
      </c>
      <c r="AW127">
        <v>23.12</v>
      </c>
      <c r="AX127">
        <v>8.3000000000000007</v>
      </c>
      <c r="AY127">
        <f>AX127*D127*3</f>
        <v>82.17</v>
      </c>
      <c r="AZ127">
        <v>23.12</v>
      </c>
      <c r="BA127">
        <v>9</v>
      </c>
      <c r="BB127">
        <f>BA127*D127*3</f>
        <v>89.1</v>
      </c>
      <c r="BD127">
        <v>8.1</v>
      </c>
      <c r="BE127">
        <f>BD127*D127*3</f>
        <v>80.19</v>
      </c>
      <c r="BG127" s="10"/>
      <c r="BH127" s="1">
        <f>CHOOSE(MATCH(MIN(ABS(BP127-C127),ABS(BQ127-C127),ABS(BR127-C127)),CHOOSE({1;2;3},ABS(BP127-C127),ABS(BQ127-C127),ABS(BR127-C127)),0),BP127,BQ127,BR127)</f>
        <v>89.1</v>
      </c>
      <c r="BJ127" s="1" cm="1">
        <f t="array" ref="BJ127">(INDEX(_xlfn._xlws.SORT(CHOOSE({1;2;3;4;5;6},BQ127,BR127,L127,AE127,BO127,BP127)),3) + INDEX(_xlfn._xlws.SORT(CHOOSE({1;2;3;4;5;6},BQ127,BR127,L127,AE127,BO127,BP127)),4))/2</f>
        <v>71.28</v>
      </c>
      <c r="BK127">
        <v>9.4822264326069892</v>
      </c>
      <c r="BL127" t="s">
        <v>6117</v>
      </c>
      <c r="BM127" s="1">
        <f>BK127*3*D127</f>
        <v>93.874041682809192</v>
      </c>
      <c r="BN127" s="1">
        <f>BM127-C127</f>
        <v>-0.17595831719080479</v>
      </c>
      <c r="BO127" s="1">
        <f>GK127*3*D127</f>
        <v>58.905000000000001</v>
      </c>
      <c r="BP127" s="1">
        <f>DO127*3*D127</f>
        <v>89.1</v>
      </c>
      <c r="BQ127" s="1">
        <f>FJ127*3*D127</f>
        <v>69.3</v>
      </c>
      <c r="BR127" s="1">
        <f>GL127*3*D127</f>
        <v>64.349999999999994</v>
      </c>
      <c r="BT127">
        <v>34.9</v>
      </c>
      <c r="BU127">
        <v>8.1999999999999993</v>
      </c>
      <c r="BV127" t="s">
        <v>5032</v>
      </c>
      <c r="BW127" t="s">
        <v>5424</v>
      </c>
      <c r="BX127" t="s">
        <v>5425</v>
      </c>
      <c r="BY127" t="s">
        <v>5426</v>
      </c>
      <c r="BZ127" t="s">
        <v>5437</v>
      </c>
      <c r="CA127" t="s">
        <v>2506</v>
      </c>
      <c r="CC127" t="s">
        <v>2758</v>
      </c>
      <c r="CD127" t="s">
        <v>2508</v>
      </c>
      <c r="CE127" t="s">
        <v>2440</v>
      </c>
      <c r="CG127" t="s">
        <v>2761</v>
      </c>
      <c r="CH127" t="s">
        <v>2510</v>
      </c>
      <c r="CI127" t="s">
        <v>2443</v>
      </c>
      <c r="CK127" t="s">
        <v>2795</v>
      </c>
      <c r="CL127" t="s">
        <v>2512</v>
      </c>
      <c r="CM127" t="s">
        <v>2658</v>
      </c>
      <c r="CO127" t="s">
        <v>3083</v>
      </c>
      <c r="CP127" t="s">
        <v>2514</v>
      </c>
      <c r="CQ127" t="s">
        <v>2666</v>
      </c>
      <c r="CS127" t="s">
        <v>2631</v>
      </c>
      <c r="CT127" t="s">
        <v>2524</v>
      </c>
      <c r="CV127">
        <v>9</v>
      </c>
      <c r="CW127">
        <v>9</v>
      </c>
      <c r="CX127">
        <v>9</v>
      </c>
      <c r="CY127">
        <v>9</v>
      </c>
      <c r="CZ127">
        <v>9</v>
      </c>
      <c r="DA127">
        <v>0.1</v>
      </c>
      <c r="DB127">
        <v>0.1</v>
      </c>
      <c r="DC127">
        <v>0.2</v>
      </c>
      <c r="DD127">
        <v>0.3</v>
      </c>
      <c r="DE127">
        <v>0.3</v>
      </c>
      <c r="DF127">
        <v>0.9</v>
      </c>
      <c r="DG127">
        <v>0.9</v>
      </c>
      <c r="DH127">
        <v>1.8</v>
      </c>
      <c r="DI127">
        <v>2.7</v>
      </c>
      <c r="DJ127">
        <v>2.7</v>
      </c>
      <c r="DK127">
        <v>8.1999999999999993</v>
      </c>
      <c r="DL127">
        <v>0</v>
      </c>
      <c r="DM127">
        <v>8.1999999999999993</v>
      </c>
      <c r="DN127">
        <v>9</v>
      </c>
      <c r="DO127">
        <f>AVERAGE(CV127:CZ127)</f>
        <v>9</v>
      </c>
      <c r="DQ127">
        <v>8</v>
      </c>
      <c r="DR127" t="s">
        <v>65</v>
      </c>
      <c r="DS127" t="s">
        <v>66</v>
      </c>
      <c r="DT127" t="s">
        <v>123</v>
      </c>
      <c r="DU127" t="s">
        <v>80</v>
      </c>
      <c r="DV127" t="s">
        <v>124</v>
      </c>
      <c r="DW127" t="s">
        <v>3769</v>
      </c>
      <c r="DX127" t="s">
        <v>3770</v>
      </c>
      <c r="DY127" t="s">
        <v>3771</v>
      </c>
      <c r="DZ127" t="s">
        <v>3772</v>
      </c>
      <c r="EA127" t="s">
        <v>3806</v>
      </c>
      <c r="EB127" t="s">
        <v>3807</v>
      </c>
      <c r="EC127" t="s">
        <v>3775</v>
      </c>
      <c r="ED127" t="s">
        <v>3776</v>
      </c>
      <c r="EE127" t="s">
        <v>3819</v>
      </c>
      <c r="EF127" t="s">
        <v>4104</v>
      </c>
      <c r="EG127" t="s">
        <v>4048</v>
      </c>
      <c r="EH127" t="s">
        <v>4015</v>
      </c>
      <c r="EI127" t="s">
        <v>4105</v>
      </c>
      <c r="EJ127" t="s">
        <v>3813</v>
      </c>
      <c r="EK127" t="s">
        <v>4049</v>
      </c>
      <c r="EL127" t="s">
        <v>3815</v>
      </c>
      <c r="EM127" t="s">
        <v>3816</v>
      </c>
      <c r="EN127" t="s">
        <v>4050</v>
      </c>
      <c r="EO127" t="s">
        <v>4018</v>
      </c>
      <c r="EP127" t="s">
        <v>4051</v>
      </c>
      <c r="EQ127">
        <v>7</v>
      </c>
      <c r="ER127">
        <v>8</v>
      </c>
      <c r="ES127">
        <v>7</v>
      </c>
      <c r="ET127">
        <v>7</v>
      </c>
      <c r="EU127">
        <v>8</v>
      </c>
      <c r="EV127">
        <v>0.1</v>
      </c>
      <c r="EW127">
        <v>0.1</v>
      </c>
      <c r="EX127">
        <v>0.2</v>
      </c>
      <c r="EY127">
        <v>0.3</v>
      </c>
      <c r="EZ127">
        <v>0.3</v>
      </c>
      <c r="FA127">
        <f>EV127*EQ127</f>
        <v>0.70000000000000007</v>
      </c>
      <c r="FB127">
        <f>EW127*ER127</f>
        <v>0.8</v>
      </c>
      <c r="FC127">
        <f>EX127*ES127</f>
        <v>1.4000000000000001</v>
      </c>
      <c r="FD127">
        <f>EY127*ET127</f>
        <v>2.1</v>
      </c>
      <c r="FE127">
        <f>EZ127*EU127</f>
        <v>2.4</v>
      </c>
      <c r="FF127">
        <v>20</v>
      </c>
      <c r="FG127">
        <v>0</v>
      </c>
      <c r="FH127">
        <v>8</v>
      </c>
      <c r="FI127">
        <f>FA127+FB127+FC127+FD127+FE127</f>
        <v>7.4</v>
      </c>
      <c r="FJ127">
        <f>MEDIAN(EQ127:EU127)</f>
        <v>7</v>
      </c>
      <c r="FL127">
        <v>40.479999999999997</v>
      </c>
      <c r="FM127">
        <v>5.8</v>
      </c>
      <c r="FN127" t="s">
        <v>1205</v>
      </c>
      <c r="FO127" t="s">
        <v>1206</v>
      </c>
      <c r="FP127" t="s">
        <v>1207</v>
      </c>
      <c r="FQ127" t="s">
        <v>1208</v>
      </c>
      <c r="FR127" t="s">
        <v>1209</v>
      </c>
      <c r="FS127">
        <v>6</v>
      </c>
      <c r="FT127">
        <v>8</v>
      </c>
      <c r="FU127">
        <v>7</v>
      </c>
      <c r="FV127">
        <v>6.5</v>
      </c>
      <c r="FW127">
        <v>4</v>
      </c>
      <c r="FX127">
        <v>0.1</v>
      </c>
      <c r="FY127">
        <v>0.1</v>
      </c>
      <c r="FZ127">
        <v>0.2</v>
      </c>
      <c r="GA127">
        <v>0.3</v>
      </c>
      <c r="GB127">
        <v>0.3</v>
      </c>
      <c r="GC127">
        <f>FS127*FX127</f>
        <v>0.60000000000000009</v>
      </c>
      <c r="GD127">
        <f>FT127*FY127</f>
        <v>0.8</v>
      </c>
      <c r="GE127">
        <f>FU127*FZ127</f>
        <v>1.4000000000000001</v>
      </c>
      <c r="GF127">
        <f>FV127*GA127</f>
        <v>1.95</v>
      </c>
      <c r="GG127">
        <f>FW127*GB127</f>
        <v>1.2</v>
      </c>
      <c r="GH127">
        <v>5.95</v>
      </c>
      <c r="GI127">
        <v>-0.15</v>
      </c>
      <c r="GJ127">
        <v>5.8</v>
      </c>
      <c r="GK127">
        <f>GC127+GD127+GE127+GF127+GG127</f>
        <v>5.95</v>
      </c>
      <c r="GL127">
        <f>MEDIAN(FS127:FW127)</f>
        <v>6.5</v>
      </c>
    </row>
    <row r="128" spans="1:194" hidden="1" x14ac:dyDescent="0.25">
      <c r="A128">
        <v>127</v>
      </c>
      <c r="B128" t="s">
        <v>2</v>
      </c>
      <c r="C128" s="4">
        <v>85.8</v>
      </c>
      <c r="D128">
        <v>3.3</v>
      </c>
      <c r="E128" s="1">
        <f>C128/3/D128</f>
        <v>8.6666666666666661</v>
      </c>
      <c r="G128">
        <v>36.76</v>
      </c>
      <c r="H128">
        <v>7.65</v>
      </c>
      <c r="I128">
        <f>H128*D128*3</f>
        <v>75.734999999999999</v>
      </c>
      <c r="J128">
        <v>16.54</v>
      </c>
      <c r="K128">
        <v>8.4</v>
      </c>
      <c r="L128" s="3">
        <f>K128*3*D128</f>
        <v>83.160000000000011</v>
      </c>
      <c r="M128">
        <v>3.9</v>
      </c>
      <c r="N128">
        <v>8.5</v>
      </c>
      <c r="O128">
        <f>N128*D128*3</f>
        <v>84.149999999999991</v>
      </c>
      <c r="P128" s="5">
        <v>7.3</v>
      </c>
      <c r="Q128" s="5">
        <f>P128*D128*3</f>
        <v>72.27</v>
      </c>
      <c r="S128" t="s">
        <v>6261</v>
      </c>
      <c r="T128">
        <v>7</v>
      </c>
      <c r="U128" s="8">
        <f>T128*D128*3</f>
        <v>69.3</v>
      </c>
      <c r="V128">
        <v>30.15</v>
      </c>
      <c r="W128">
        <v>8</v>
      </c>
      <c r="X128" s="5">
        <f>W128*D128*3</f>
        <v>79.199999999999989</v>
      </c>
      <c r="Y128">
        <v>9.7899999999999991</v>
      </c>
      <c r="Z128">
        <v>6</v>
      </c>
      <c r="AA128">
        <f>Z128*D128*3</f>
        <v>59.399999999999991</v>
      </c>
      <c r="AC128">
        <v>48.62</v>
      </c>
      <c r="AD128">
        <v>8</v>
      </c>
      <c r="AE128" s="1">
        <f>AD128*3*D128</f>
        <v>79.199999999999989</v>
      </c>
      <c r="AF128">
        <v>9.5399999999999991</v>
      </c>
      <c r="AH128" s="5">
        <f>AG128*D128*3</f>
        <v>0</v>
      </c>
      <c r="AI128" s="13"/>
      <c r="AJ128">
        <v>8</v>
      </c>
      <c r="AK128" s="8">
        <f>AJ128*D128*3</f>
        <v>79.199999999999989</v>
      </c>
      <c r="AL128" s="13"/>
      <c r="AM128">
        <v>30.26</v>
      </c>
      <c r="AN128">
        <v>7.9</v>
      </c>
      <c r="AO128" s="8">
        <f>AN128*D128*3</f>
        <v>78.210000000000008</v>
      </c>
      <c r="AP128">
        <v>13.77</v>
      </c>
      <c r="AQ128">
        <v>10</v>
      </c>
      <c r="AR128">
        <f>AQ128*D128*3</f>
        <v>99</v>
      </c>
      <c r="AT128">
        <v>9</v>
      </c>
      <c r="AU128">
        <f>AT128*D128*3</f>
        <v>89.1</v>
      </c>
      <c r="AW128">
        <v>26.04</v>
      </c>
      <c r="AX128">
        <v>9.3000000000000007</v>
      </c>
      <c r="AY128">
        <f>AX128*D128*3</f>
        <v>92.070000000000007</v>
      </c>
      <c r="AZ128">
        <v>26.04</v>
      </c>
      <c r="BA128">
        <v>9.1999999999999993</v>
      </c>
      <c r="BB128">
        <f>BA128*D128*3</f>
        <v>91.079999999999984</v>
      </c>
      <c r="BD128">
        <v>8.9</v>
      </c>
      <c r="BE128">
        <f>BD128*D128*3</f>
        <v>88.11</v>
      </c>
      <c r="BG128" s="10"/>
      <c r="BH128" s="1">
        <f>CHOOSE(MATCH(MIN(ABS(BP128-C128),ABS(BQ128-C128),ABS(BR128-C128)),CHOOSE({1;2;3},ABS(BP128-C128),ABS(BQ128-C128),ABS(BR128-C128)),0),BP128,BQ128,BR128)</f>
        <v>88.11</v>
      </c>
      <c r="BJ128" s="1" cm="1">
        <f t="array" ref="BJ128">(INDEX(_xlfn._xlws.SORT(CHOOSE({1;2;3;4;5;6},BQ128,BR128,L128,AE128,BO128,BP128)),3) + INDEX(_xlfn._xlws.SORT(CHOOSE({1;2;3;4;5;6},BQ128,BR128,L128,AE128,BO128,BP128)),4))/2</f>
        <v>79.199999999999989</v>
      </c>
      <c r="BK128">
        <v>8.6356442431733598</v>
      </c>
      <c r="BL128" t="s">
        <v>6117</v>
      </c>
      <c r="BM128" s="1">
        <f>BK128*3*D128</f>
        <v>85.492878007416252</v>
      </c>
      <c r="BN128" s="1">
        <f>BM128-C128</f>
        <v>-0.3071219925837454</v>
      </c>
      <c r="BO128" s="1">
        <f>GK128*3*D128</f>
        <v>39.599999999999994</v>
      </c>
      <c r="BP128" s="1">
        <f>DO128*3*D128</f>
        <v>88.11</v>
      </c>
      <c r="BQ128" s="1">
        <f>FJ128*3*D128</f>
        <v>79.199999999999989</v>
      </c>
      <c r="BR128" s="1">
        <f>GL128*3*D128</f>
        <v>44.55</v>
      </c>
      <c r="BT128">
        <v>36.76</v>
      </c>
      <c r="BU128">
        <v>7.65</v>
      </c>
      <c r="BV128" t="s">
        <v>5235</v>
      </c>
      <c r="BW128" t="s">
        <v>5082</v>
      </c>
      <c r="BX128" t="s">
        <v>5057</v>
      </c>
      <c r="BY128" t="s">
        <v>5438</v>
      </c>
      <c r="BZ128" t="s">
        <v>5439</v>
      </c>
      <c r="CA128" t="s">
        <v>2550</v>
      </c>
      <c r="CC128" t="s">
        <v>2634</v>
      </c>
      <c r="CD128" t="s">
        <v>2635</v>
      </c>
      <c r="CE128" t="s">
        <v>2553</v>
      </c>
      <c r="CG128" t="s">
        <v>2634</v>
      </c>
      <c r="CH128" t="s">
        <v>2773</v>
      </c>
      <c r="CI128" t="s">
        <v>3084</v>
      </c>
      <c r="CK128" t="s">
        <v>2634</v>
      </c>
      <c r="CL128" t="s">
        <v>2669</v>
      </c>
      <c r="CM128" t="s">
        <v>2995</v>
      </c>
      <c r="CO128" t="s">
        <v>2634</v>
      </c>
      <c r="CP128" t="s">
        <v>2869</v>
      </c>
      <c r="CQ128" t="s">
        <v>2769</v>
      </c>
      <c r="CR128" t="s">
        <v>2961</v>
      </c>
      <c r="CS128" t="s">
        <v>2634</v>
      </c>
      <c r="CT128" t="s">
        <v>2996</v>
      </c>
      <c r="CV128">
        <v>9</v>
      </c>
      <c r="CW128">
        <v>9</v>
      </c>
      <c r="CX128">
        <v>9</v>
      </c>
      <c r="CY128">
        <v>9</v>
      </c>
      <c r="CZ128">
        <v>8.5</v>
      </c>
      <c r="DA128">
        <v>0.1</v>
      </c>
      <c r="DB128">
        <v>0.1</v>
      </c>
      <c r="DC128">
        <v>0.2</v>
      </c>
      <c r="DD128">
        <v>0.3</v>
      </c>
      <c r="DE128">
        <v>0.3</v>
      </c>
      <c r="DF128">
        <v>0.9</v>
      </c>
      <c r="DG128">
        <v>0.9</v>
      </c>
      <c r="DH128">
        <v>1.8</v>
      </c>
      <c r="DI128">
        <v>2.7</v>
      </c>
      <c r="DJ128">
        <v>2.5499999999999998</v>
      </c>
      <c r="DK128">
        <v>7.65</v>
      </c>
      <c r="DL128">
        <v>0</v>
      </c>
      <c r="DM128">
        <v>7.65</v>
      </c>
      <c r="DN128">
        <v>8.4</v>
      </c>
      <c r="DO128">
        <f>AVERAGE(CV128:CZ128)</f>
        <v>8.9</v>
      </c>
      <c r="DQ128">
        <v>8</v>
      </c>
      <c r="DR128" t="s">
        <v>33</v>
      </c>
      <c r="DS128" t="s">
        <v>223</v>
      </c>
      <c r="DT128" t="s">
        <v>35</v>
      </c>
      <c r="DU128" t="s">
        <v>36</v>
      </c>
      <c r="DV128" t="s">
        <v>200</v>
      </c>
      <c r="DW128" t="s">
        <v>3788</v>
      </c>
      <c r="DX128" t="s">
        <v>3789</v>
      </c>
      <c r="DY128" t="s">
        <v>3790</v>
      </c>
      <c r="DZ128" t="s">
        <v>3791</v>
      </c>
      <c r="EA128" t="s">
        <v>3792</v>
      </c>
      <c r="EB128" t="s">
        <v>3793</v>
      </c>
      <c r="EC128" t="s">
        <v>4261</v>
      </c>
      <c r="ED128" t="s">
        <v>3795</v>
      </c>
      <c r="EE128" t="s">
        <v>3796</v>
      </c>
      <c r="EF128" t="s">
        <v>3797</v>
      </c>
      <c r="EG128" t="s">
        <v>3798</v>
      </c>
      <c r="EH128" t="s">
        <v>3798</v>
      </c>
      <c r="EI128" t="s">
        <v>3799</v>
      </c>
      <c r="EJ128" t="s">
        <v>3800</v>
      </c>
      <c r="EK128" t="s">
        <v>3801</v>
      </c>
      <c r="EL128" t="s">
        <v>3801</v>
      </c>
      <c r="EM128" t="s">
        <v>4227</v>
      </c>
      <c r="EN128" t="s">
        <v>3803</v>
      </c>
      <c r="EO128" t="s">
        <v>4228</v>
      </c>
      <c r="EP128" t="s">
        <v>4229</v>
      </c>
      <c r="EQ128">
        <v>8</v>
      </c>
      <c r="ER128">
        <v>8</v>
      </c>
      <c r="ES128">
        <v>8</v>
      </c>
      <c r="ET128">
        <v>8</v>
      </c>
      <c r="EU128">
        <v>8</v>
      </c>
      <c r="EV128">
        <v>0.1</v>
      </c>
      <c r="EW128">
        <v>0.1</v>
      </c>
      <c r="EX128">
        <v>0.2</v>
      </c>
      <c r="EY128">
        <v>0.3</v>
      </c>
      <c r="EZ128">
        <v>0.3</v>
      </c>
      <c r="FA128">
        <f>EV128*EQ128</f>
        <v>0.8</v>
      </c>
      <c r="FB128">
        <f>EW128*ER128</f>
        <v>0.8</v>
      </c>
      <c r="FC128">
        <f>EX128*ES128</f>
        <v>1.6</v>
      </c>
      <c r="FD128">
        <f>EY128*ET128</f>
        <v>2.4</v>
      </c>
      <c r="FE128">
        <f>EZ128*EU128</f>
        <v>2.4</v>
      </c>
      <c r="FF128">
        <v>16</v>
      </c>
      <c r="FG128">
        <v>0</v>
      </c>
      <c r="FH128">
        <v>8</v>
      </c>
      <c r="FI128">
        <f>FA128+FB128+FC128+FD128+FE128</f>
        <v>8</v>
      </c>
      <c r="FJ128">
        <f>MEDIAN(EQ128:EU128)</f>
        <v>8</v>
      </c>
      <c r="FL128">
        <v>38.78</v>
      </c>
      <c r="FM128">
        <v>3.85</v>
      </c>
      <c r="FN128" t="s">
        <v>1210</v>
      </c>
      <c r="FO128" t="s">
        <v>1211</v>
      </c>
      <c r="FP128" t="s">
        <v>1063</v>
      </c>
      <c r="FQ128" t="s">
        <v>1212</v>
      </c>
      <c r="FR128" t="s">
        <v>1213</v>
      </c>
      <c r="FS128">
        <v>6</v>
      </c>
      <c r="FT128">
        <v>4.5</v>
      </c>
      <c r="FU128">
        <v>3.5</v>
      </c>
      <c r="FV128">
        <v>5</v>
      </c>
      <c r="FW128">
        <v>2.5</v>
      </c>
      <c r="FX128">
        <v>0.1</v>
      </c>
      <c r="FY128">
        <v>0.1</v>
      </c>
      <c r="FZ128">
        <v>0.2</v>
      </c>
      <c r="GA128">
        <v>0.3</v>
      </c>
      <c r="GB128">
        <v>0.3</v>
      </c>
      <c r="GC128">
        <f>FS128*FX128</f>
        <v>0.60000000000000009</v>
      </c>
      <c r="GD128">
        <f>FT128*FY128</f>
        <v>0.45</v>
      </c>
      <c r="GE128">
        <f>FU128*FZ128</f>
        <v>0.70000000000000007</v>
      </c>
      <c r="GF128">
        <f>FV128*GA128</f>
        <v>1.5</v>
      </c>
      <c r="GG128">
        <f>FW128*GB128</f>
        <v>0.75</v>
      </c>
      <c r="GH128">
        <v>3.85</v>
      </c>
      <c r="GI128">
        <v>0</v>
      </c>
      <c r="GJ128">
        <v>3.85</v>
      </c>
      <c r="GK128">
        <f>GC128+GD128+GE128+GF128+GG128</f>
        <v>4</v>
      </c>
      <c r="GL128">
        <f>MEDIAN(FS128:FW128)</f>
        <v>4.5</v>
      </c>
    </row>
    <row r="129" spans="1:194" hidden="1" x14ac:dyDescent="0.25">
      <c r="A129">
        <v>128</v>
      </c>
      <c r="B129" t="s">
        <v>2</v>
      </c>
      <c r="C129" s="4">
        <v>81.599999999999994</v>
      </c>
      <c r="D129">
        <v>3.4</v>
      </c>
      <c r="E129" s="1">
        <f>C129/3/D129</f>
        <v>8</v>
      </c>
      <c r="G129">
        <v>33.950000000000003</v>
      </c>
      <c r="H129">
        <v>8.1</v>
      </c>
      <c r="I129">
        <f>H129*D129*3</f>
        <v>82.62</v>
      </c>
      <c r="J129">
        <v>17.55</v>
      </c>
      <c r="K129">
        <v>8.4</v>
      </c>
      <c r="L129" s="3">
        <f>K129*3*D129</f>
        <v>85.68</v>
      </c>
      <c r="M129">
        <v>5.17</v>
      </c>
      <c r="N129">
        <v>4</v>
      </c>
      <c r="O129">
        <f>N129*D129*3</f>
        <v>40.799999999999997</v>
      </c>
      <c r="P129" s="5">
        <v>8.6999999999999993</v>
      </c>
      <c r="Q129" s="5">
        <f>P129*D129*3</f>
        <v>88.74</v>
      </c>
      <c r="S129" t="s">
        <v>6262</v>
      </c>
      <c r="T129">
        <v>5.2</v>
      </c>
      <c r="U129" s="8">
        <f>T129*D129*3</f>
        <v>53.04</v>
      </c>
      <c r="V129">
        <v>29.91</v>
      </c>
      <c r="W129">
        <v>8.6999999999999993</v>
      </c>
      <c r="X129" s="5">
        <f>W129*D129*3</f>
        <v>88.74</v>
      </c>
      <c r="Y129">
        <v>11.06</v>
      </c>
      <c r="Z129">
        <v>7.8</v>
      </c>
      <c r="AA129">
        <f>Z129*D129*3</f>
        <v>79.56</v>
      </c>
      <c r="AC129">
        <v>48.49</v>
      </c>
      <c r="AD129">
        <v>8</v>
      </c>
      <c r="AE129" s="1">
        <f>AD129*3*D129</f>
        <v>81.599999999999994</v>
      </c>
      <c r="AF129">
        <v>9.5399999999999991</v>
      </c>
      <c r="AH129" s="5">
        <f>AG129*D129*3</f>
        <v>0</v>
      </c>
      <c r="AI129" s="13"/>
      <c r="AJ129">
        <v>7.6</v>
      </c>
      <c r="AK129" s="8">
        <f>AJ129*D129*3</f>
        <v>77.52</v>
      </c>
      <c r="AL129" s="13"/>
      <c r="AM129">
        <v>30.38</v>
      </c>
      <c r="AN129">
        <v>7.2</v>
      </c>
      <c r="AO129" s="8">
        <f>AN129*D129*3</f>
        <v>73.44</v>
      </c>
      <c r="AP129">
        <v>15.19</v>
      </c>
      <c r="AQ129">
        <v>9.5</v>
      </c>
      <c r="AR129">
        <f>AQ129*D129*3</f>
        <v>96.899999999999991</v>
      </c>
      <c r="AT129">
        <v>9.3000000000000007</v>
      </c>
      <c r="AU129">
        <f>AT129*D129*3</f>
        <v>94.86</v>
      </c>
      <c r="AW129">
        <v>24.98</v>
      </c>
      <c r="AX129">
        <v>9.6</v>
      </c>
      <c r="AY129">
        <f>AX129*D129*3</f>
        <v>97.92</v>
      </c>
      <c r="AZ129">
        <v>24.98</v>
      </c>
      <c r="BA129">
        <v>9.6</v>
      </c>
      <c r="BB129">
        <f>BA129*D129*3</f>
        <v>97.92</v>
      </c>
      <c r="BD129">
        <v>8.6</v>
      </c>
      <c r="BE129">
        <f>BD129*D129*3</f>
        <v>87.72</v>
      </c>
      <c r="BG129" s="10"/>
      <c r="BH129" s="1">
        <f>CHOOSE(MATCH(MIN(ABS(BP129-C129),ABS(BQ129-C129),ABS(BR129-C129)),CHOOSE({1;2;3},ABS(BP129-C129),ABS(BQ129-C129),ABS(BR129-C129)),0),BP129,BQ129,BR129)</f>
        <v>81.599999999999994</v>
      </c>
      <c r="BJ129" s="1" cm="1">
        <f t="array" ref="BJ129">(INDEX(_xlfn._xlws.SORT(CHOOSE({1;2;3;4;5;6},BQ129,BR129,L129,AE129,BO129,BP129)),3) + INDEX(_xlfn._xlws.SORT(CHOOSE({1;2;3;4;5;6},BQ129,BR129,L129,AE129,BO129,BP129)),4))/2</f>
        <v>83.64</v>
      </c>
      <c r="BK129">
        <v>7.9915131682140403</v>
      </c>
      <c r="BL129" t="s">
        <v>6117</v>
      </c>
      <c r="BM129" s="1">
        <f>BK129*3*D129</f>
        <v>81.513434315783201</v>
      </c>
      <c r="BN129" s="1">
        <f>BM129-C129</f>
        <v>-8.656568421679367E-2</v>
      </c>
      <c r="BO129" s="1">
        <f>GK129*3*D129</f>
        <v>80.070000000000007</v>
      </c>
      <c r="BP129" s="1">
        <f>DO129*3*D129</f>
        <v>91.8</v>
      </c>
      <c r="BQ129" s="1">
        <f>FJ129*3*D129</f>
        <v>81.599999999999994</v>
      </c>
      <c r="BR129" s="1">
        <f>GL129*3*D129</f>
        <v>86.7</v>
      </c>
      <c r="BT129">
        <v>33.950000000000003</v>
      </c>
      <c r="BU129">
        <v>8.1</v>
      </c>
      <c r="BV129" t="s">
        <v>5003</v>
      </c>
      <c r="BW129" t="s">
        <v>5004</v>
      </c>
      <c r="BX129" t="s">
        <v>5029</v>
      </c>
      <c r="BY129" t="s">
        <v>5030</v>
      </c>
      <c r="BZ129" t="s">
        <v>5031</v>
      </c>
      <c r="CA129" t="s">
        <v>2437</v>
      </c>
      <c r="CC129" t="s">
        <v>2758</v>
      </c>
      <c r="CD129" t="s">
        <v>2508</v>
      </c>
      <c r="CE129" t="s">
        <v>2440</v>
      </c>
      <c r="CG129" t="s">
        <v>2761</v>
      </c>
      <c r="CH129" t="s">
        <v>2510</v>
      </c>
      <c r="CI129" t="s">
        <v>2443</v>
      </c>
      <c r="CK129" t="s">
        <v>2795</v>
      </c>
      <c r="CL129" t="s">
        <v>2512</v>
      </c>
      <c r="CM129" t="s">
        <v>2446</v>
      </c>
      <c r="CO129" t="s">
        <v>2796</v>
      </c>
      <c r="CP129" t="s">
        <v>2514</v>
      </c>
      <c r="CQ129" t="s">
        <v>3085</v>
      </c>
      <c r="CS129" t="s">
        <v>3086</v>
      </c>
      <c r="CT129" t="s">
        <v>2524</v>
      </c>
      <c r="CV129">
        <v>9</v>
      </c>
      <c r="CW129">
        <v>9</v>
      </c>
      <c r="CX129">
        <v>9</v>
      </c>
      <c r="CY129">
        <v>9</v>
      </c>
      <c r="CZ129">
        <v>9</v>
      </c>
      <c r="DA129">
        <v>0.1</v>
      </c>
      <c r="DB129">
        <v>0.1</v>
      </c>
      <c r="DC129">
        <v>0.2</v>
      </c>
      <c r="DD129">
        <v>0.3</v>
      </c>
      <c r="DE129">
        <v>0.3</v>
      </c>
      <c r="DF129">
        <v>0.9</v>
      </c>
      <c r="DG129">
        <v>0.9</v>
      </c>
      <c r="DH129">
        <v>1.8</v>
      </c>
      <c r="DI129">
        <v>2.7</v>
      </c>
      <c r="DJ129">
        <v>2.7</v>
      </c>
      <c r="DK129">
        <v>8.1</v>
      </c>
      <c r="DL129">
        <v>0</v>
      </c>
      <c r="DM129">
        <v>8.1</v>
      </c>
      <c r="DN129">
        <v>8.4</v>
      </c>
      <c r="DO129">
        <f>AVERAGE(CV129:CZ129)</f>
        <v>9</v>
      </c>
      <c r="DQ129" t="s">
        <v>27</v>
      </c>
      <c r="DR129" t="s">
        <v>33</v>
      </c>
      <c r="DS129" t="s">
        <v>86</v>
      </c>
      <c r="DT129" t="s">
        <v>287</v>
      </c>
      <c r="DU129" t="s">
        <v>288</v>
      </c>
      <c r="DV129" t="s">
        <v>289</v>
      </c>
      <c r="DW129" t="s">
        <v>3788</v>
      </c>
      <c r="DX129" t="s">
        <v>3789</v>
      </c>
      <c r="DY129" t="s">
        <v>3790</v>
      </c>
      <c r="DZ129" t="s">
        <v>3992</v>
      </c>
      <c r="EA129" t="s">
        <v>3952</v>
      </c>
      <c r="EB129" t="s">
        <v>3953</v>
      </c>
      <c r="EC129" t="s">
        <v>4449</v>
      </c>
      <c r="ED129" t="s">
        <v>3992</v>
      </c>
      <c r="EE129" t="s">
        <v>4450</v>
      </c>
      <c r="EF129" t="s">
        <v>4451</v>
      </c>
      <c r="EG129" t="s">
        <v>4452</v>
      </c>
      <c r="EH129" t="s">
        <v>3992</v>
      </c>
      <c r="EI129" t="s">
        <v>4453</v>
      </c>
      <c r="EJ129" t="s">
        <v>4454</v>
      </c>
      <c r="EK129" t="s">
        <v>4455</v>
      </c>
      <c r="EL129" t="s">
        <v>3992</v>
      </c>
      <c r="EM129" t="s">
        <v>4456</v>
      </c>
      <c r="EN129" t="s">
        <v>4457</v>
      </c>
      <c r="EO129" t="s">
        <v>4458</v>
      </c>
      <c r="EP129" t="s">
        <v>3992</v>
      </c>
      <c r="EQ129">
        <v>8</v>
      </c>
      <c r="ER129">
        <v>8</v>
      </c>
      <c r="ES129">
        <v>8</v>
      </c>
      <c r="ET129">
        <v>8</v>
      </c>
      <c r="EU129">
        <v>8</v>
      </c>
      <c r="EV129">
        <v>0.1</v>
      </c>
      <c r="EW129">
        <v>0.1</v>
      </c>
      <c r="EX129">
        <v>0.2</v>
      </c>
      <c r="EY129">
        <v>0.3</v>
      </c>
      <c r="EZ129">
        <v>0.3</v>
      </c>
      <c r="FA129">
        <f>EV129*EQ129</f>
        <v>0.8</v>
      </c>
      <c r="FB129">
        <f>EW129*ER129</f>
        <v>0.8</v>
      </c>
      <c r="FC129">
        <f>EX129*ES129</f>
        <v>1.6</v>
      </c>
      <c r="FD129">
        <f>EY129*ET129</f>
        <v>2.4</v>
      </c>
      <c r="FE129">
        <f>EZ129*EU129</f>
        <v>2.4</v>
      </c>
      <c r="FF129">
        <v>16</v>
      </c>
      <c r="FG129">
        <v>0</v>
      </c>
      <c r="FH129">
        <v>8</v>
      </c>
      <c r="FI129">
        <f>FA129+FB129+FC129+FD129+FE129</f>
        <v>8</v>
      </c>
      <c r="FJ129">
        <f>MEDIAN(EQ129:EU129)</f>
        <v>8</v>
      </c>
      <c r="FL129">
        <v>48.56</v>
      </c>
      <c r="FM129">
        <v>8.4</v>
      </c>
      <c r="FN129" t="s">
        <v>1214</v>
      </c>
      <c r="FO129" t="s">
        <v>1215</v>
      </c>
      <c r="FP129" t="s">
        <v>1216</v>
      </c>
      <c r="FQ129" t="s">
        <v>1217</v>
      </c>
      <c r="FR129" t="s">
        <v>1218</v>
      </c>
      <c r="FS129">
        <v>10</v>
      </c>
      <c r="FT129">
        <v>9.5</v>
      </c>
      <c r="FU129">
        <v>8.5</v>
      </c>
      <c r="FV129">
        <v>7.5</v>
      </c>
      <c r="FW129">
        <v>6.5</v>
      </c>
      <c r="FX129">
        <v>0.1</v>
      </c>
      <c r="FY129">
        <v>0.1</v>
      </c>
      <c r="FZ129">
        <v>0.2</v>
      </c>
      <c r="GA129">
        <v>0.3</v>
      </c>
      <c r="GB129">
        <v>0.3</v>
      </c>
      <c r="GC129">
        <f>FS129*FX129</f>
        <v>1</v>
      </c>
      <c r="GD129">
        <f>FT129*FY129</f>
        <v>0.95000000000000007</v>
      </c>
      <c r="GE129">
        <f>FU129*FZ129</f>
        <v>1.7000000000000002</v>
      </c>
      <c r="GF129">
        <f>FV129*GA129</f>
        <v>2.25</v>
      </c>
      <c r="GG129">
        <f>FW129*GB129</f>
        <v>1.95</v>
      </c>
      <c r="GH129">
        <v>8.4</v>
      </c>
      <c r="GJ129">
        <v>8.4</v>
      </c>
      <c r="GK129">
        <f>GC129+GD129+GE129+GF129+GG129</f>
        <v>7.8500000000000005</v>
      </c>
      <c r="GL129">
        <f>MEDIAN(FS129:FW129)</f>
        <v>8.5</v>
      </c>
    </row>
    <row r="130" spans="1:194" hidden="1" x14ac:dyDescent="0.25">
      <c r="A130">
        <v>129</v>
      </c>
      <c r="B130" t="s">
        <v>2</v>
      </c>
      <c r="C130" s="4">
        <v>89.1</v>
      </c>
      <c r="D130">
        <v>3.3</v>
      </c>
      <c r="E130" s="1">
        <f>C130/3/D130</f>
        <v>9</v>
      </c>
      <c r="G130">
        <v>36.369999999999997</v>
      </c>
      <c r="H130">
        <v>8.1</v>
      </c>
      <c r="I130">
        <f>H130*D130*3</f>
        <v>80.19</v>
      </c>
      <c r="J130">
        <v>18</v>
      </c>
      <c r="K130">
        <v>8.4</v>
      </c>
      <c r="L130" s="3">
        <f>K130*3*D130</f>
        <v>83.160000000000011</v>
      </c>
      <c r="M130">
        <v>5.03</v>
      </c>
      <c r="N130">
        <v>4.5</v>
      </c>
      <c r="O130">
        <f>N130*D130*3</f>
        <v>44.55</v>
      </c>
      <c r="P130" s="5">
        <v>6.5</v>
      </c>
      <c r="Q130" s="5">
        <f>P130*D130*3</f>
        <v>64.349999999999994</v>
      </c>
      <c r="S130" t="s">
        <v>6263</v>
      </c>
      <c r="T130">
        <v>4</v>
      </c>
      <c r="U130" s="8">
        <f>T130*D130*3</f>
        <v>39.599999999999994</v>
      </c>
      <c r="V130">
        <v>30.07</v>
      </c>
      <c r="W130">
        <v>6</v>
      </c>
      <c r="X130" s="5">
        <f>W130*D130*3</f>
        <v>59.399999999999991</v>
      </c>
      <c r="Y130">
        <v>9.59</v>
      </c>
      <c r="Z130">
        <v>6</v>
      </c>
      <c r="AA130">
        <f>Z130*D130*3</f>
        <v>59.399999999999991</v>
      </c>
      <c r="AC130">
        <v>44.29</v>
      </c>
      <c r="AD130">
        <v>8</v>
      </c>
      <c r="AE130" s="1">
        <f>AD130*3*D130</f>
        <v>79.199999999999989</v>
      </c>
      <c r="AF130">
        <v>12.15</v>
      </c>
      <c r="AG130" s="5">
        <v>7</v>
      </c>
      <c r="AH130" s="5">
        <f>AG130*D130*3</f>
        <v>69.3</v>
      </c>
      <c r="AI130" s="13"/>
      <c r="AK130" s="8">
        <f>AJ130*D130*3</f>
        <v>0</v>
      </c>
      <c r="AL130" s="13"/>
      <c r="AM130">
        <v>30.16</v>
      </c>
      <c r="AN130">
        <v>7.9</v>
      </c>
      <c r="AO130" s="8">
        <f>AN130*D130*3</f>
        <v>78.210000000000008</v>
      </c>
      <c r="AP130">
        <v>12.31</v>
      </c>
      <c r="AQ130">
        <v>9.1</v>
      </c>
      <c r="AR130">
        <f>AQ130*D130*3</f>
        <v>90.089999999999989</v>
      </c>
      <c r="AT130">
        <v>9</v>
      </c>
      <c r="AU130">
        <f>AT130*D130*3</f>
        <v>89.1</v>
      </c>
      <c r="AW130">
        <v>26.17</v>
      </c>
      <c r="AX130">
        <v>9.1</v>
      </c>
      <c r="AY130">
        <f>AX130*D130*3</f>
        <v>90.089999999999989</v>
      </c>
      <c r="AZ130">
        <v>26.17</v>
      </c>
      <c r="BA130">
        <v>9</v>
      </c>
      <c r="BB130">
        <f>BA130*D130*3</f>
        <v>89.1</v>
      </c>
      <c r="BD130">
        <v>8.9</v>
      </c>
      <c r="BE130">
        <f>BD130*D130*3</f>
        <v>88.11</v>
      </c>
      <c r="BG130" s="10"/>
      <c r="BH130" s="1">
        <f>CHOOSE(MATCH(MIN(ABS(BP130-C130),ABS(BQ130-C130),ABS(BR130-C130)),CHOOSE({1;2;3},ABS(BP130-C130),ABS(BQ130-C130),ABS(BR130-C130)),0),BP130,BQ130,BR130)</f>
        <v>89.1</v>
      </c>
      <c r="BJ130" s="1" cm="1">
        <f t="array" ref="BJ130">(INDEX(_xlfn._xlws.SORT(CHOOSE({1;2;3;4;5;6},BQ130,BR130,L130,AE130,BO130,BP130)),3) + INDEX(_xlfn._xlws.SORT(CHOOSE({1;2;3;4;5;6},BQ130,BR130,L130,AE130,BO130,BP130)),4))/2</f>
        <v>79.199999999999989</v>
      </c>
      <c r="BK130">
        <v>8.9915738931946407</v>
      </c>
      <c r="BL130" t="s">
        <v>6117</v>
      </c>
      <c r="BM130" s="1">
        <f>BK130*3*D130</f>
        <v>89.016581542626938</v>
      </c>
      <c r="BN130" s="1">
        <f>BM130-C130</f>
        <v>-8.3418457373056754E-2</v>
      </c>
      <c r="BO130" s="1">
        <f>GK130*3*D130</f>
        <v>41.580000000000005</v>
      </c>
      <c r="BP130" s="1">
        <f>DO130*3*D130</f>
        <v>89.1</v>
      </c>
      <c r="BQ130" s="1">
        <f>FJ130*3*D130</f>
        <v>79.199999999999989</v>
      </c>
      <c r="BR130" s="1">
        <f>GL130*3*D130</f>
        <v>39.599999999999994</v>
      </c>
      <c r="BT130">
        <v>36.369999999999997</v>
      </c>
      <c r="BU130">
        <v>8.1</v>
      </c>
      <c r="BV130" t="s">
        <v>5440</v>
      </c>
      <c r="BW130" t="s">
        <v>5441</v>
      </c>
      <c r="BX130" t="s">
        <v>5442</v>
      </c>
      <c r="BY130" t="s">
        <v>5443</v>
      </c>
      <c r="BZ130" t="s">
        <v>5089</v>
      </c>
      <c r="CA130" t="s">
        <v>3067</v>
      </c>
      <c r="CC130" t="s">
        <v>3087</v>
      </c>
      <c r="CD130" t="s">
        <v>3088</v>
      </c>
      <c r="CE130" t="s">
        <v>3089</v>
      </c>
      <c r="CG130" t="s">
        <v>3090</v>
      </c>
      <c r="CH130" t="s">
        <v>3091</v>
      </c>
      <c r="CI130" t="s">
        <v>3092</v>
      </c>
      <c r="CK130" t="s">
        <v>3093</v>
      </c>
      <c r="CL130" t="s">
        <v>3094</v>
      </c>
      <c r="CM130" t="s">
        <v>3095</v>
      </c>
      <c r="CO130" t="s">
        <v>3096</v>
      </c>
      <c r="CP130" t="s">
        <v>3097</v>
      </c>
      <c r="CQ130" t="s">
        <v>3098</v>
      </c>
      <c r="CS130" t="s">
        <v>3099</v>
      </c>
      <c r="CT130" t="s">
        <v>3100</v>
      </c>
      <c r="CV130">
        <v>9</v>
      </c>
      <c r="CW130">
        <v>9</v>
      </c>
      <c r="CX130">
        <v>9</v>
      </c>
      <c r="CY130">
        <v>9</v>
      </c>
      <c r="CZ130">
        <v>9</v>
      </c>
      <c r="DA130">
        <v>0.1</v>
      </c>
      <c r="DB130">
        <v>0.1</v>
      </c>
      <c r="DC130">
        <v>0.2</v>
      </c>
      <c r="DD130">
        <v>0.3</v>
      </c>
      <c r="DE130">
        <v>0.3</v>
      </c>
      <c r="DF130">
        <v>0.9</v>
      </c>
      <c r="DG130">
        <v>0.9</v>
      </c>
      <c r="DH130">
        <v>1.8</v>
      </c>
      <c r="DI130">
        <v>2.7</v>
      </c>
      <c r="DJ130">
        <v>2.7</v>
      </c>
      <c r="DK130">
        <v>8.1</v>
      </c>
      <c r="DL130">
        <v>0</v>
      </c>
      <c r="DM130">
        <v>8.1</v>
      </c>
      <c r="DN130">
        <v>8.4</v>
      </c>
      <c r="DO130">
        <f>AVERAGE(CV130:CZ130)</f>
        <v>9</v>
      </c>
      <c r="DQ130">
        <v>8</v>
      </c>
      <c r="DR130" t="s">
        <v>65</v>
      </c>
      <c r="DS130" t="s">
        <v>66</v>
      </c>
      <c r="DT130" t="s">
        <v>67</v>
      </c>
      <c r="DU130" t="s">
        <v>294</v>
      </c>
      <c r="DV130" t="s">
        <v>295</v>
      </c>
      <c r="DW130" t="s">
        <v>3769</v>
      </c>
      <c r="DX130" t="s">
        <v>3789</v>
      </c>
      <c r="DY130" t="s">
        <v>3826</v>
      </c>
      <c r="DZ130" t="s">
        <v>3827</v>
      </c>
      <c r="EA130" t="s">
        <v>3828</v>
      </c>
      <c r="EB130" t="s">
        <v>3793</v>
      </c>
      <c r="EC130" t="s">
        <v>3829</v>
      </c>
      <c r="ED130" t="s">
        <v>3827</v>
      </c>
      <c r="EE130" t="s">
        <v>4102</v>
      </c>
      <c r="EF130" t="s">
        <v>3797</v>
      </c>
      <c r="EG130" t="s">
        <v>3831</v>
      </c>
      <c r="EH130" t="s">
        <v>3827</v>
      </c>
      <c r="EI130" t="s">
        <v>4460</v>
      </c>
      <c r="EJ130" t="s">
        <v>3800</v>
      </c>
      <c r="EK130" t="s">
        <v>3833</v>
      </c>
      <c r="EL130" t="s">
        <v>3827</v>
      </c>
      <c r="EM130" t="s">
        <v>4461</v>
      </c>
      <c r="EN130" t="s">
        <v>3803</v>
      </c>
      <c r="EO130" t="s">
        <v>3835</v>
      </c>
      <c r="EP130" t="s">
        <v>3827</v>
      </c>
      <c r="EQ130">
        <v>8</v>
      </c>
      <c r="ER130">
        <v>8</v>
      </c>
      <c r="ES130">
        <v>8</v>
      </c>
      <c r="ET130">
        <v>8</v>
      </c>
      <c r="EU130">
        <v>8</v>
      </c>
      <c r="EV130">
        <v>0.1</v>
      </c>
      <c r="EW130">
        <v>0.1</v>
      </c>
      <c r="EX130">
        <v>0.2</v>
      </c>
      <c r="EY130">
        <v>0.3</v>
      </c>
      <c r="EZ130">
        <v>0.3</v>
      </c>
      <c r="FA130">
        <f>EV130*EQ130</f>
        <v>0.8</v>
      </c>
      <c r="FB130">
        <f>EW130*ER130</f>
        <v>0.8</v>
      </c>
      <c r="FC130">
        <f>EX130*ES130</f>
        <v>1.6</v>
      </c>
      <c r="FD130">
        <f>EY130*ET130</f>
        <v>2.4</v>
      </c>
      <c r="FE130">
        <f>EZ130*EU130</f>
        <v>2.4</v>
      </c>
      <c r="FF130">
        <v>17</v>
      </c>
      <c r="FG130">
        <v>0</v>
      </c>
      <c r="FH130">
        <v>8</v>
      </c>
      <c r="FI130">
        <f>FA130+FB130+FC130+FD130+FE130</f>
        <v>8</v>
      </c>
      <c r="FJ130">
        <f>MEDIAN(EQ130:EU130)</f>
        <v>8</v>
      </c>
      <c r="FL130">
        <v>38.67</v>
      </c>
      <c r="FM130">
        <v>4</v>
      </c>
      <c r="FN130" t="s">
        <v>1219</v>
      </c>
      <c r="FO130" t="s">
        <v>1220</v>
      </c>
      <c r="FP130" t="s">
        <v>1221</v>
      </c>
      <c r="FQ130" t="s">
        <v>1222</v>
      </c>
      <c r="FR130" t="s">
        <v>1223</v>
      </c>
      <c r="FS130">
        <v>5</v>
      </c>
      <c r="FT130">
        <v>4</v>
      </c>
      <c r="FU130">
        <v>3</v>
      </c>
      <c r="FV130">
        <v>2</v>
      </c>
      <c r="FW130">
        <v>7</v>
      </c>
      <c r="FX130">
        <v>0.1</v>
      </c>
      <c r="FY130">
        <v>0.1</v>
      </c>
      <c r="FZ130">
        <v>0.2</v>
      </c>
      <c r="GA130">
        <v>0.3</v>
      </c>
      <c r="GB130">
        <v>0.3</v>
      </c>
      <c r="GC130">
        <f>FS130*FX130</f>
        <v>0.5</v>
      </c>
      <c r="GD130">
        <f>FT130*FY130</f>
        <v>0.4</v>
      </c>
      <c r="GE130">
        <f>FU130*FZ130</f>
        <v>0.60000000000000009</v>
      </c>
      <c r="GF130">
        <f>FV130*GA130</f>
        <v>0.6</v>
      </c>
      <c r="GG130">
        <f>FW130*GB130</f>
        <v>2.1</v>
      </c>
      <c r="GH130">
        <v>3.8</v>
      </c>
      <c r="GI130">
        <v>0.2</v>
      </c>
      <c r="GJ130">
        <v>4</v>
      </c>
      <c r="GK130">
        <f>GC130+GD130+GE130+GF130+GG130</f>
        <v>4.2</v>
      </c>
      <c r="GL130">
        <f>MEDIAN(FS130:FW130)</f>
        <v>4</v>
      </c>
    </row>
    <row r="131" spans="1:194" hidden="1" x14ac:dyDescent="0.25">
      <c r="A131">
        <v>130</v>
      </c>
      <c r="B131" t="s">
        <v>2</v>
      </c>
      <c r="C131" s="4">
        <v>88.8</v>
      </c>
      <c r="D131">
        <v>3.7</v>
      </c>
      <c r="E131" s="1">
        <f>C131/3/D131</f>
        <v>7.9999999999999991</v>
      </c>
      <c r="G131">
        <v>81.349999999999994</v>
      </c>
      <c r="H131">
        <v>8.1999999999999993</v>
      </c>
      <c r="I131">
        <f>H131*D131*3</f>
        <v>91.02</v>
      </c>
      <c r="J131">
        <v>18.21</v>
      </c>
      <c r="K131">
        <v>8.4</v>
      </c>
      <c r="L131" s="3">
        <f>K131*3*D131</f>
        <v>93.240000000000009</v>
      </c>
      <c r="M131">
        <v>5.1100000000000003</v>
      </c>
      <c r="N131">
        <v>5</v>
      </c>
      <c r="O131">
        <f>N131*D131*3</f>
        <v>55.5</v>
      </c>
      <c r="P131" s="5">
        <v>8.8000000000000007</v>
      </c>
      <c r="Q131" s="5">
        <f>P131*D131*3</f>
        <v>97.68</v>
      </c>
      <c r="S131" t="s">
        <v>6264</v>
      </c>
      <c r="T131">
        <v>6.7</v>
      </c>
      <c r="U131" s="8">
        <f>T131*D131*3</f>
        <v>74.37</v>
      </c>
      <c r="V131">
        <v>31.32</v>
      </c>
      <c r="W131">
        <v>8.4</v>
      </c>
      <c r="X131" s="5">
        <f>W131*D131*3</f>
        <v>93.240000000000009</v>
      </c>
      <c r="Y131">
        <v>9.74</v>
      </c>
      <c r="Z131">
        <v>7.8</v>
      </c>
      <c r="AA131">
        <f>Z131*D131*3</f>
        <v>86.58</v>
      </c>
      <c r="AC131">
        <v>47.89</v>
      </c>
      <c r="AD131">
        <v>7.9</v>
      </c>
      <c r="AE131" s="1">
        <f>AD131*3*D131</f>
        <v>87.690000000000012</v>
      </c>
      <c r="AF131">
        <v>11.91</v>
      </c>
      <c r="AG131" s="5">
        <v>7</v>
      </c>
      <c r="AH131" s="5">
        <f>AG131*D131*3</f>
        <v>77.7</v>
      </c>
      <c r="AI131" s="13"/>
      <c r="AJ131">
        <v>3.2</v>
      </c>
      <c r="AK131" s="8">
        <f>AJ131*D131*3</f>
        <v>35.520000000000003</v>
      </c>
      <c r="AL131" s="13"/>
      <c r="AM131">
        <v>30.87</v>
      </c>
      <c r="AN131">
        <v>7.6</v>
      </c>
      <c r="AO131" s="8">
        <f>AN131*D131*3</f>
        <v>84.36</v>
      </c>
      <c r="AP131">
        <v>13.52</v>
      </c>
      <c r="AQ131">
        <v>9.3000000000000007</v>
      </c>
      <c r="AR131">
        <f>AQ131*D131*3</f>
        <v>103.23000000000002</v>
      </c>
      <c r="AT131">
        <v>8.6</v>
      </c>
      <c r="AU131">
        <f>AT131*D131*3</f>
        <v>95.460000000000008</v>
      </c>
      <c r="AW131">
        <v>23.62</v>
      </c>
      <c r="AX131">
        <v>9.3000000000000007</v>
      </c>
      <c r="AY131">
        <f>AX131*D131*3</f>
        <v>103.23000000000002</v>
      </c>
      <c r="AZ131">
        <v>23.62</v>
      </c>
      <c r="BA131">
        <v>9.6999999999999993</v>
      </c>
      <c r="BB131">
        <f>BA131*D131*3</f>
        <v>107.67</v>
      </c>
      <c r="BD131">
        <v>9</v>
      </c>
      <c r="BE131">
        <f>BD131*D131*3</f>
        <v>99.9</v>
      </c>
      <c r="BG131" s="10"/>
      <c r="BH131" s="1">
        <f>CHOOSE(MATCH(MIN(ABS(BP131-C131),ABS(BQ131-C131),ABS(BR131-C131)),CHOOSE({1;2;3},ABS(BP131-C131),ABS(BQ131-C131),ABS(BR131-C131)),0),BP131,BQ131,BR131)</f>
        <v>88.800000000000011</v>
      </c>
      <c r="BJ131" s="1" cm="1">
        <f t="array" ref="BJ131">(INDEX(_xlfn._xlws.SORT(CHOOSE({1;2;3;4;5;6},BQ131,BR131,L131,AE131,BO131,BP131)),3) + INDEX(_xlfn._xlws.SORT(CHOOSE({1;2;3;4;5;6},BQ131,BR131,L131,AE131,BO131,BP131)),4))/2</f>
        <v>94.627500000000012</v>
      </c>
      <c r="BK131">
        <v>7.9849668382461303</v>
      </c>
      <c r="BL131" t="s">
        <v>6117</v>
      </c>
      <c r="BM131" s="1">
        <f>BK131*3*D131</f>
        <v>88.63313190453205</v>
      </c>
      <c r="BN131" s="1">
        <f>BM131-C131</f>
        <v>-0.16686809546794734</v>
      </c>
      <c r="BO131" s="1">
        <f>GK131*3*D131</f>
        <v>96.015000000000015</v>
      </c>
      <c r="BP131" s="1">
        <f>DO131*3*D131</f>
        <v>99.9</v>
      </c>
      <c r="BQ131" s="1">
        <f>FJ131*3*D131</f>
        <v>88.800000000000011</v>
      </c>
      <c r="BR131" s="1">
        <f>GL131*3*D131</f>
        <v>111</v>
      </c>
      <c r="BT131">
        <v>81.349999999999994</v>
      </c>
      <c r="BU131">
        <v>8.1999999999999993</v>
      </c>
      <c r="BV131" t="s">
        <v>5393</v>
      </c>
      <c r="BW131" t="s">
        <v>4987</v>
      </c>
      <c r="BX131" t="s">
        <v>5444</v>
      </c>
      <c r="BY131" t="s">
        <v>5445</v>
      </c>
      <c r="BZ131" t="s">
        <v>5446</v>
      </c>
      <c r="CA131" t="s">
        <v>2563</v>
      </c>
      <c r="CC131" t="s">
        <v>3101</v>
      </c>
      <c r="CD131" t="s">
        <v>3102</v>
      </c>
      <c r="CE131" t="s">
        <v>2565</v>
      </c>
      <c r="CG131" t="s">
        <v>3103</v>
      </c>
      <c r="CH131" t="s">
        <v>3104</v>
      </c>
      <c r="CI131" t="s">
        <v>2496</v>
      </c>
      <c r="CK131" t="s">
        <v>3105</v>
      </c>
      <c r="CL131" t="s">
        <v>3106</v>
      </c>
      <c r="CM131" t="s">
        <v>2670</v>
      </c>
      <c r="CO131" t="s">
        <v>3107</v>
      </c>
      <c r="CP131" t="s">
        <v>3108</v>
      </c>
      <c r="CQ131" t="s">
        <v>3109</v>
      </c>
      <c r="CS131" t="s">
        <v>3110</v>
      </c>
      <c r="CT131" t="s">
        <v>3111</v>
      </c>
      <c r="CV131">
        <v>9</v>
      </c>
      <c r="CW131">
        <v>9</v>
      </c>
      <c r="CX131">
        <v>9</v>
      </c>
      <c r="CY131">
        <v>9</v>
      </c>
      <c r="CZ131">
        <v>9</v>
      </c>
      <c r="DA131">
        <v>0.1</v>
      </c>
      <c r="DB131">
        <v>0.1</v>
      </c>
      <c r="DC131">
        <v>0.2</v>
      </c>
      <c r="DD131">
        <v>0.3</v>
      </c>
      <c r="DE131">
        <v>0.3</v>
      </c>
      <c r="DF131">
        <v>0.9</v>
      </c>
      <c r="DG131">
        <v>0.9</v>
      </c>
      <c r="DH131">
        <v>1.8</v>
      </c>
      <c r="DI131">
        <v>2.7</v>
      </c>
      <c r="DJ131">
        <v>2.7</v>
      </c>
      <c r="DK131">
        <v>8.1999999999999993</v>
      </c>
      <c r="DL131">
        <v>0</v>
      </c>
      <c r="DM131">
        <v>8.1999999999999993</v>
      </c>
      <c r="DN131">
        <v>8.4</v>
      </c>
      <c r="DO131">
        <f>AVERAGE(CV131:CZ131)</f>
        <v>9</v>
      </c>
      <c r="DQ131">
        <v>15</v>
      </c>
      <c r="DR131" t="s">
        <v>28</v>
      </c>
      <c r="DS131" t="s">
        <v>43</v>
      </c>
      <c r="DT131" t="s">
        <v>227</v>
      </c>
      <c r="DU131" t="s">
        <v>228</v>
      </c>
      <c r="DV131" t="s">
        <v>229</v>
      </c>
      <c r="DW131" t="s">
        <v>3805</v>
      </c>
      <c r="DX131" t="s">
        <v>3770</v>
      </c>
      <c r="DY131" t="s">
        <v>3771</v>
      </c>
      <c r="DZ131" t="s">
        <v>3772</v>
      </c>
      <c r="EA131" t="s">
        <v>3806</v>
      </c>
      <c r="EB131" t="s">
        <v>3807</v>
      </c>
      <c r="EC131" t="s">
        <v>3775</v>
      </c>
      <c r="ED131" t="s">
        <v>3776</v>
      </c>
      <c r="EE131" t="s">
        <v>3946</v>
      </c>
      <c r="EF131" t="s">
        <v>3809</v>
      </c>
      <c r="EG131" t="s">
        <v>3810</v>
      </c>
      <c r="EH131" t="s">
        <v>3811</v>
      </c>
      <c r="EI131" t="s">
        <v>3947</v>
      </c>
      <c r="EJ131" t="s">
        <v>3813</v>
      </c>
      <c r="EK131" t="s">
        <v>3948</v>
      </c>
      <c r="EL131" t="s">
        <v>3815</v>
      </c>
      <c r="EM131" t="s">
        <v>3949</v>
      </c>
      <c r="EN131" t="s">
        <v>3809</v>
      </c>
      <c r="EO131" t="s">
        <v>3950</v>
      </c>
      <c r="EP131" t="s">
        <v>3818</v>
      </c>
      <c r="EQ131">
        <v>7</v>
      </c>
      <c r="ER131">
        <v>8</v>
      </c>
      <c r="ES131">
        <v>8</v>
      </c>
      <c r="ET131">
        <v>8</v>
      </c>
      <c r="EU131">
        <v>8</v>
      </c>
      <c r="EV131">
        <v>0.1</v>
      </c>
      <c r="EW131">
        <v>0.1</v>
      </c>
      <c r="EX131">
        <v>0.2</v>
      </c>
      <c r="EY131">
        <v>0.3</v>
      </c>
      <c r="EZ131">
        <v>0.3</v>
      </c>
      <c r="FA131">
        <f>EV131*EQ131</f>
        <v>0.70000000000000007</v>
      </c>
      <c r="FB131">
        <f>EW131*ER131</f>
        <v>0.8</v>
      </c>
      <c r="FC131">
        <f>EX131*ES131</f>
        <v>1.6</v>
      </c>
      <c r="FD131">
        <f>EY131*ET131</f>
        <v>2.4</v>
      </c>
      <c r="FE131">
        <f>EZ131*EU131</f>
        <v>2.4</v>
      </c>
      <c r="FF131">
        <v>15</v>
      </c>
      <c r="FG131">
        <v>0</v>
      </c>
      <c r="FH131">
        <v>15</v>
      </c>
      <c r="FI131">
        <f>FA131+FB131+FC131+FD131+FE131</f>
        <v>7.9</v>
      </c>
      <c r="FJ131">
        <f>MEDIAN(EQ131:EU131)</f>
        <v>8</v>
      </c>
      <c r="FL131">
        <v>73.16</v>
      </c>
      <c r="FM131">
        <v>10</v>
      </c>
      <c r="FN131" t="s">
        <v>1150</v>
      </c>
      <c r="FO131" t="s">
        <v>1224</v>
      </c>
      <c r="FP131" t="s">
        <v>1225</v>
      </c>
      <c r="FQ131" t="s">
        <v>1226</v>
      </c>
      <c r="FR131" t="s">
        <v>1227</v>
      </c>
      <c r="FS131">
        <v>10</v>
      </c>
      <c r="FT131">
        <v>10</v>
      </c>
      <c r="FU131">
        <v>10</v>
      </c>
      <c r="FV131">
        <v>8.5</v>
      </c>
      <c r="FW131">
        <v>7</v>
      </c>
      <c r="FX131">
        <v>0.1</v>
      </c>
      <c r="FY131">
        <v>0.1</v>
      </c>
      <c r="FZ131">
        <v>0.2</v>
      </c>
      <c r="GA131">
        <v>0.3</v>
      </c>
      <c r="GB131">
        <v>0.3</v>
      </c>
      <c r="GC131">
        <f>FS131*FX131</f>
        <v>1</v>
      </c>
      <c r="GD131">
        <f>FT131*FY131</f>
        <v>1</v>
      </c>
      <c r="GE131">
        <f>FU131*FZ131</f>
        <v>2</v>
      </c>
      <c r="GF131">
        <f>FV131*GA131</f>
        <v>2.5499999999999998</v>
      </c>
      <c r="GG131">
        <f>FW131*GB131</f>
        <v>2.1</v>
      </c>
      <c r="GH131">
        <v>9.65</v>
      </c>
      <c r="GI131">
        <v>0.45</v>
      </c>
      <c r="GJ131">
        <v>10</v>
      </c>
      <c r="GK131">
        <f>GC131+GD131+GE131+GF131+GG131</f>
        <v>8.65</v>
      </c>
      <c r="GL131">
        <f>MEDIAN(FS131:FW131)</f>
        <v>10</v>
      </c>
    </row>
    <row r="132" spans="1:194" hidden="1" x14ac:dyDescent="0.25">
      <c r="A132">
        <v>131</v>
      </c>
      <c r="B132" t="s">
        <v>2</v>
      </c>
      <c r="C132" s="4">
        <v>81</v>
      </c>
      <c r="D132">
        <v>3.6</v>
      </c>
      <c r="E132" s="1">
        <f>C132/3/D132</f>
        <v>7.5</v>
      </c>
      <c r="G132">
        <v>37.42</v>
      </c>
      <c r="H132">
        <v>8</v>
      </c>
      <c r="I132">
        <f>H132*D132*3</f>
        <v>86.4</v>
      </c>
      <c r="J132">
        <v>17.72</v>
      </c>
      <c r="K132">
        <v>8.4</v>
      </c>
      <c r="L132" s="3">
        <f>K132*3*D132</f>
        <v>90.720000000000013</v>
      </c>
      <c r="M132">
        <v>4.5199999999999996</v>
      </c>
      <c r="N132">
        <v>5.5</v>
      </c>
      <c r="O132">
        <f>N132*D132*3</f>
        <v>59.400000000000006</v>
      </c>
      <c r="P132" s="5">
        <v>7.8</v>
      </c>
      <c r="Q132" s="5">
        <f>P132*D132*3</f>
        <v>84.24</v>
      </c>
      <c r="S132" t="s">
        <v>6265</v>
      </c>
      <c r="T132">
        <v>5.4</v>
      </c>
      <c r="U132" s="8">
        <f>T132*D132*3</f>
        <v>58.320000000000007</v>
      </c>
      <c r="V132">
        <v>30.23</v>
      </c>
      <c r="W132">
        <v>8.6999999999999993</v>
      </c>
      <c r="X132" s="5">
        <f>W132*D132*3</f>
        <v>93.96</v>
      </c>
      <c r="Y132">
        <v>12.66</v>
      </c>
      <c r="Z132">
        <v>7.6</v>
      </c>
      <c r="AA132">
        <f>Z132*D132*3</f>
        <v>82.08</v>
      </c>
      <c r="AC132">
        <v>46.23</v>
      </c>
      <c r="AD132">
        <v>8</v>
      </c>
      <c r="AE132" s="1">
        <f>AD132*3*D132</f>
        <v>86.4</v>
      </c>
      <c r="AF132">
        <v>11.88</v>
      </c>
      <c r="AG132" s="5">
        <v>7</v>
      </c>
      <c r="AH132" s="5">
        <f>AG132*D132*3</f>
        <v>75.599999999999994</v>
      </c>
      <c r="AI132" s="13"/>
      <c r="AJ132">
        <v>8.1999999999999993</v>
      </c>
      <c r="AK132" s="8">
        <f>AJ132*D132*3</f>
        <v>88.56</v>
      </c>
      <c r="AL132" s="13"/>
      <c r="AM132">
        <v>30.47</v>
      </c>
      <c r="AN132">
        <v>7.4</v>
      </c>
      <c r="AO132" s="8">
        <f>AN132*D132*3</f>
        <v>79.92</v>
      </c>
      <c r="AP132">
        <v>14.64</v>
      </c>
      <c r="AQ132">
        <v>10</v>
      </c>
      <c r="AR132">
        <f>AQ132*D132*3</f>
        <v>108</v>
      </c>
      <c r="AT132">
        <v>8.3000000000000007</v>
      </c>
      <c r="AU132">
        <f>AT132*D132*3</f>
        <v>89.640000000000015</v>
      </c>
      <c r="AW132">
        <v>22.39</v>
      </c>
      <c r="AX132">
        <v>9.4</v>
      </c>
      <c r="AY132">
        <f>AX132*D132*3</f>
        <v>101.52000000000001</v>
      </c>
      <c r="AZ132">
        <v>22.39</v>
      </c>
      <c r="BA132">
        <v>7.8</v>
      </c>
      <c r="BB132">
        <f>BA132*D132*3</f>
        <v>84.24</v>
      </c>
      <c r="BD132">
        <v>8.6</v>
      </c>
      <c r="BE132">
        <f>BD132*D132*3</f>
        <v>92.88</v>
      </c>
      <c r="BG132" s="10"/>
      <c r="BH132" s="1">
        <f>CHOOSE(MATCH(MIN(ABS(BP132-C132),ABS(BQ132-C132),ABS(BR132-C132)),CHOOSE({1;2;3},ABS(BP132-C132),ABS(BQ132-C132),ABS(BR132-C132)),0),BP132,BQ132,BR132)</f>
        <v>86.4</v>
      </c>
      <c r="BJ132" s="1" cm="1">
        <f t="array" ref="BJ132">(INDEX(_xlfn._xlws.SORT(CHOOSE({1;2;3;4;5;6},BQ132,BR132,L132,AE132,BO132,BP132)),3) + INDEX(_xlfn._xlws.SORT(CHOOSE({1;2;3;4;5;6},BQ132,BR132,L132,AE132,BO132,BP132)),4))/2</f>
        <v>86.4</v>
      </c>
      <c r="BK132">
        <v>7.4814682843004796</v>
      </c>
      <c r="BL132" t="s">
        <v>6117</v>
      </c>
      <c r="BM132" s="1">
        <f>BK132*3*D132</f>
        <v>80.799857470445176</v>
      </c>
      <c r="BN132" s="1">
        <f>BM132-C132</f>
        <v>-0.20014252955482448</v>
      </c>
      <c r="BO132" s="1">
        <f>GK132*3*D132</f>
        <v>64.8</v>
      </c>
      <c r="BP132" s="1">
        <f>DO132*3*D132</f>
        <v>97.2</v>
      </c>
      <c r="BQ132" s="1">
        <f>FJ132*3*D132</f>
        <v>86.4</v>
      </c>
      <c r="BR132" s="1">
        <f>GL132*3*D132</f>
        <v>70.2</v>
      </c>
      <c r="BT132">
        <v>37.42</v>
      </c>
      <c r="BU132">
        <v>8</v>
      </c>
      <c r="BV132" t="s">
        <v>5003</v>
      </c>
      <c r="BW132" t="s">
        <v>5004</v>
      </c>
      <c r="BX132" t="s">
        <v>5005</v>
      </c>
      <c r="BY132" t="s">
        <v>5092</v>
      </c>
      <c r="BZ132" t="s">
        <v>5292</v>
      </c>
      <c r="CA132" t="s">
        <v>2437</v>
      </c>
      <c r="CC132" t="s">
        <v>2438</v>
      </c>
      <c r="CD132" t="s">
        <v>2439</v>
      </c>
      <c r="CE132" t="s">
        <v>2440</v>
      </c>
      <c r="CG132" t="s">
        <v>2441</v>
      </c>
      <c r="CH132" t="s">
        <v>2442</v>
      </c>
      <c r="CI132" t="s">
        <v>2535</v>
      </c>
      <c r="CK132" t="s">
        <v>2444</v>
      </c>
      <c r="CL132" t="s">
        <v>2445</v>
      </c>
      <c r="CM132" t="s">
        <v>2446</v>
      </c>
      <c r="CO132" t="s">
        <v>2447</v>
      </c>
      <c r="CP132" t="s">
        <v>2448</v>
      </c>
      <c r="CQ132" t="s">
        <v>2666</v>
      </c>
      <c r="CS132" t="s">
        <v>2450</v>
      </c>
      <c r="CT132" t="s">
        <v>2451</v>
      </c>
      <c r="CV132">
        <v>9</v>
      </c>
      <c r="CW132">
        <v>9</v>
      </c>
      <c r="CX132">
        <v>9</v>
      </c>
      <c r="CY132">
        <v>9</v>
      </c>
      <c r="CZ132">
        <v>9</v>
      </c>
      <c r="DA132">
        <v>0.1</v>
      </c>
      <c r="DB132">
        <v>0.1</v>
      </c>
      <c r="DC132">
        <v>0.2</v>
      </c>
      <c r="DD132">
        <v>0.3</v>
      </c>
      <c r="DE132">
        <v>0.3</v>
      </c>
      <c r="DF132">
        <v>0.9</v>
      </c>
      <c r="DG132">
        <v>0.9</v>
      </c>
      <c r="DH132">
        <v>1.8</v>
      </c>
      <c r="DI132">
        <v>2.7</v>
      </c>
      <c r="DJ132">
        <v>2.7</v>
      </c>
      <c r="DK132">
        <v>8</v>
      </c>
      <c r="DL132">
        <v>0</v>
      </c>
      <c r="DM132">
        <v>8</v>
      </c>
      <c r="DN132">
        <v>8.4</v>
      </c>
      <c r="DO132">
        <f>AVERAGE(CV132:CZ132)</f>
        <v>9</v>
      </c>
      <c r="DQ132" t="s">
        <v>27</v>
      </c>
      <c r="DR132" t="s">
        <v>296</v>
      </c>
      <c r="DS132" t="s">
        <v>297</v>
      </c>
      <c r="DT132" t="s">
        <v>298</v>
      </c>
      <c r="DU132" t="s">
        <v>299</v>
      </c>
      <c r="DV132" t="s">
        <v>300</v>
      </c>
      <c r="DW132" t="s">
        <v>4462</v>
      </c>
      <c r="DX132" t="s">
        <v>3789</v>
      </c>
      <c r="DY132" t="s">
        <v>4312</v>
      </c>
      <c r="DZ132" t="s">
        <v>4313</v>
      </c>
      <c r="EA132" t="s">
        <v>3792</v>
      </c>
      <c r="EB132" t="s">
        <v>3793</v>
      </c>
      <c r="EC132" t="s">
        <v>4314</v>
      </c>
      <c r="ED132" t="s">
        <v>4463</v>
      </c>
      <c r="EE132" t="s">
        <v>4277</v>
      </c>
      <c r="EF132" t="s">
        <v>3797</v>
      </c>
      <c r="EG132" t="s">
        <v>4316</v>
      </c>
      <c r="EH132" t="s">
        <v>4464</v>
      </c>
      <c r="EI132" t="s">
        <v>4096</v>
      </c>
      <c r="EJ132" t="s">
        <v>3800</v>
      </c>
      <c r="EK132" t="s">
        <v>4318</v>
      </c>
      <c r="EL132" t="s">
        <v>4465</v>
      </c>
      <c r="EM132" t="s">
        <v>4466</v>
      </c>
      <c r="EN132" t="s">
        <v>3803</v>
      </c>
      <c r="EO132" t="s">
        <v>4321</v>
      </c>
      <c r="EP132" t="s">
        <v>4467</v>
      </c>
      <c r="EQ132">
        <v>8</v>
      </c>
      <c r="ER132">
        <v>8</v>
      </c>
      <c r="ES132">
        <v>8</v>
      </c>
      <c r="ET132">
        <v>8</v>
      </c>
      <c r="EU132">
        <v>8</v>
      </c>
      <c r="EV132">
        <v>0.1</v>
      </c>
      <c r="EW132">
        <v>0.1</v>
      </c>
      <c r="EX132">
        <v>0.2</v>
      </c>
      <c r="EY132">
        <v>0.3</v>
      </c>
      <c r="EZ132">
        <v>0.3</v>
      </c>
      <c r="FA132">
        <f>EV132*EQ132</f>
        <v>0.8</v>
      </c>
      <c r="FB132">
        <f>EW132*ER132</f>
        <v>0.8</v>
      </c>
      <c r="FC132">
        <f>EX132*ES132</f>
        <v>1.6</v>
      </c>
      <c r="FD132">
        <f>EY132*ET132</f>
        <v>2.4</v>
      </c>
      <c r="FE132">
        <f>EZ132*EU132</f>
        <v>2.4</v>
      </c>
      <c r="FF132">
        <v>16</v>
      </c>
      <c r="FG132">
        <v>0</v>
      </c>
      <c r="FH132">
        <v>8</v>
      </c>
      <c r="FI132">
        <f>FA132+FB132+FC132+FD132+FE132</f>
        <v>8</v>
      </c>
      <c r="FJ132">
        <f>MEDIAN(EQ132:EU132)</f>
        <v>8</v>
      </c>
      <c r="FL132">
        <v>38.159999999999997</v>
      </c>
      <c r="FM132">
        <v>6.4</v>
      </c>
      <c r="FN132" t="s">
        <v>1228</v>
      </c>
      <c r="FO132" t="s">
        <v>1229</v>
      </c>
      <c r="FP132" t="s">
        <v>1230</v>
      </c>
      <c r="FQ132" t="s">
        <v>1231</v>
      </c>
      <c r="FR132" t="s">
        <v>1232</v>
      </c>
      <c r="FS132">
        <v>6.5</v>
      </c>
      <c r="FT132">
        <v>8</v>
      </c>
      <c r="FU132">
        <v>7</v>
      </c>
      <c r="FV132">
        <v>6</v>
      </c>
      <c r="FW132">
        <v>4.5</v>
      </c>
      <c r="FX132">
        <v>0.1</v>
      </c>
      <c r="FY132">
        <v>0.1</v>
      </c>
      <c r="FZ132">
        <v>0.2</v>
      </c>
      <c r="GA132">
        <v>0.3</v>
      </c>
      <c r="GB132">
        <v>0.3</v>
      </c>
      <c r="GC132">
        <f>FS132*FX132</f>
        <v>0.65</v>
      </c>
      <c r="GD132">
        <f>FT132*FY132</f>
        <v>0.8</v>
      </c>
      <c r="GE132">
        <f>FU132*FZ132</f>
        <v>1.4000000000000001</v>
      </c>
      <c r="GF132">
        <f>FV132*GA132</f>
        <v>1.7999999999999998</v>
      </c>
      <c r="GG132">
        <f>FW132*GB132</f>
        <v>1.3499999999999999</v>
      </c>
      <c r="GH132">
        <v>5.95</v>
      </c>
      <c r="GI132">
        <v>0.05</v>
      </c>
      <c r="GJ132">
        <v>6.4</v>
      </c>
      <c r="GK132">
        <f>GC132+GD132+GE132+GF132+GG132</f>
        <v>6</v>
      </c>
      <c r="GL132">
        <f>MEDIAN(FS132:FW132)</f>
        <v>6.5</v>
      </c>
    </row>
    <row r="133" spans="1:194" hidden="1" x14ac:dyDescent="0.25">
      <c r="A133">
        <v>132</v>
      </c>
      <c r="B133" t="s">
        <v>2</v>
      </c>
      <c r="C133" s="4">
        <v>78.400000000000006</v>
      </c>
      <c r="D133">
        <v>3.2</v>
      </c>
      <c r="E133" s="1">
        <f>C133/3/D133</f>
        <v>8.1666666666666679</v>
      </c>
      <c r="G133">
        <v>38.380000000000003</v>
      </c>
      <c r="H133">
        <v>8.4</v>
      </c>
      <c r="I133">
        <f>H133*D133*3</f>
        <v>80.640000000000015</v>
      </c>
      <c r="J133">
        <v>16.399999999999999</v>
      </c>
      <c r="K133">
        <v>8.4</v>
      </c>
      <c r="L133" s="3">
        <f>K133*3*D133</f>
        <v>80.640000000000015</v>
      </c>
      <c r="M133">
        <v>4.47</v>
      </c>
      <c r="N133">
        <v>3</v>
      </c>
      <c r="O133">
        <f>N133*D133*3</f>
        <v>28.800000000000004</v>
      </c>
      <c r="P133" s="5">
        <v>6.5</v>
      </c>
      <c r="Q133" s="5">
        <f>P133*D133*3</f>
        <v>62.400000000000006</v>
      </c>
      <c r="S133" t="s">
        <v>6266</v>
      </c>
      <c r="T133">
        <v>5.3</v>
      </c>
      <c r="U133" s="8">
        <f>T133*D133*3</f>
        <v>50.88</v>
      </c>
      <c r="V133">
        <v>31.1</v>
      </c>
      <c r="W133">
        <v>8.4</v>
      </c>
      <c r="X133" s="5">
        <f>W133*D133*3</f>
        <v>80.640000000000015</v>
      </c>
      <c r="Y133">
        <v>8.9600000000000009</v>
      </c>
      <c r="Z133">
        <v>7.5</v>
      </c>
      <c r="AA133">
        <f>Z133*D133*3</f>
        <v>72</v>
      </c>
      <c r="AC133">
        <v>45.24</v>
      </c>
      <c r="AD133">
        <v>8</v>
      </c>
      <c r="AE133" s="1">
        <f>AD133*3*D133</f>
        <v>76.800000000000011</v>
      </c>
      <c r="AF133">
        <v>11.97</v>
      </c>
      <c r="AG133" s="5">
        <v>7</v>
      </c>
      <c r="AH133" s="5">
        <f>AG133*D133*3</f>
        <v>67.2</v>
      </c>
      <c r="AI133" s="13"/>
      <c r="AK133" s="8">
        <f>AJ133*D133*3</f>
        <v>0</v>
      </c>
      <c r="AL133" s="13"/>
      <c r="AM133">
        <v>31.2</v>
      </c>
      <c r="AN133">
        <v>7.9</v>
      </c>
      <c r="AO133" s="8">
        <f>AN133*D133*3</f>
        <v>75.84</v>
      </c>
      <c r="AP133">
        <v>12.24</v>
      </c>
      <c r="AQ133">
        <v>10</v>
      </c>
      <c r="AR133">
        <f>AQ133*D133*3</f>
        <v>96</v>
      </c>
      <c r="AT133">
        <v>9</v>
      </c>
      <c r="AU133">
        <f>AT133*D133*3</f>
        <v>86.4</v>
      </c>
      <c r="AW133">
        <v>23.29</v>
      </c>
      <c r="AX133">
        <v>9.1</v>
      </c>
      <c r="AY133">
        <f>AX133*D133*3</f>
        <v>87.36</v>
      </c>
      <c r="AZ133">
        <v>23.29</v>
      </c>
      <c r="BA133">
        <v>8.6999999999999993</v>
      </c>
      <c r="BB133">
        <f>BA133*D133*3</f>
        <v>83.52</v>
      </c>
      <c r="BD133">
        <v>8.6</v>
      </c>
      <c r="BE133">
        <f>BD133*D133*3</f>
        <v>82.56</v>
      </c>
      <c r="BG133" s="10"/>
      <c r="BH133" s="1">
        <f>CHOOSE(MATCH(MIN(ABS(BP133-C133),ABS(BQ133-C133),ABS(BR133-C133)),CHOOSE({1;2;3},ABS(BP133-C133),ABS(BQ133-C133),ABS(BR133-C133)),0),BP133,BQ133,BR133)</f>
        <v>76.800000000000011</v>
      </c>
      <c r="BJ133" s="1" cm="1">
        <f t="array" ref="BJ133">(INDEX(_xlfn._xlws.SORT(CHOOSE({1;2;3;4;5;6},BQ133,BR133,L133,AE133,BO133,BP133)),3) + INDEX(_xlfn._xlws.SORT(CHOOSE({1;2;3;4;5;6},BQ133,BR133,L133,AE133,BO133,BP133)),4))/2</f>
        <v>76.800000000000011</v>
      </c>
      <c r="BK133">
        <v>8.1674015317691993</v>
      </c>
      <c r="BL133" t="s">
        <v>6117</v>
      </c>
      <c r="BM133" s="1">
        <f>BK133*3*D133</f>
        <v>78.407054704984319</v>
      </c>
      <c r="BN133" s="1">
        <f>BM133-C133</f>
        <v>7.0547049843128207E-3</v>
      </c>
      <c r="BO133" s="1">
        <f>GK133*3*D133</f>
        <v>50.400000000000006</v>
      </c>
      <c r="BP133" s="1">
        <f>DO133*3*D133</f>
        <v>82.56</v>
      </c>
      <c r="BQ133" s="1">
        <f>FJ133*3*D133</f>
        <v>76.800000000000011</v>
      </c>
      <c r="BR133" s="1">
        <f>GL133*3*D133</f>
        <v>38.400000000000006</v>
      </c>
      <c r="BT133">
        <v>38.380000000000003</v>
      </c>
      <c r="BU133">
        <v>8.4</v>
      </c>
      <c r="BV133" t="s">
        <v>5042</v>
      </c>
      <c r="BW133" t="s">
        <v>4992</v>
      </c>
      <c r="BX133" t="s">
        <v>5238</v>
      </c>
      <c r="BY133" t="s">
        <v>5447</v>
      </c>
      <c r="BZ133" t="s">
        <v>5448</v>
      </c>
      <c r="CA133" t="s">
        <v>2420</v>
      </c>
      <c r="CC133" t="s">
        <v>2491</v>
      </c>
      <c r="CD133" t="s">
        <v>2492</v>
      </c>
      <c r="CE133" t="s">
        <v>2572</v>
      </c>
      <c r="CG133" t="s">
        <v>2573</v>
      </c>
      <c r="CH133" t="s">
        <v>2574</v>
      </c>
      <c r="CI133" t="s">
        <v>2575</v>
      </c>
      <c r="CJ133" t="s">
        <v>2427</v>
      </c>
      <c r="CK133" t="s">
        <v>2576</v>
      </c>
      <c r="CL133" t="s">
        <v>2729</v>
      </c>
      <c r="CM133" t="s">
        <v>3112</v>
      </c>
      <c r="CO133" t="s">
        <v>3113</v>
      </c>
      <c r="CP133" t="s">
        <v>3114</v>
      </c>
      <c r="CQ133" t="s">
        <v>2582</v>
      </c>
      <c r="CR133" t="s">
        <v>3115</v>
      </c>
      <c r="CS133" t="s">
        <v>3116</v>
      </c>
      <c r="CT133" t="s">
        <v>3117</v>
      </c>
      <c r="CV133">
        <v>9</v>
      </c>
      <c r="CW133">
        <v>9</v>
      </c>
      <c r="CX133">
        <v>8</v>
      </c>
      <c r="CY133">
        <v>9</v>
      </c>
      <c r="CZ133">
        <v>8</v>
      </c>
      <c r="DA133">
        <v>0.1</v>
      </c>
      <c r="DB133">
        <v>0.1</v>
      </c>
      <c r="DC133">
        <v>0.2</v>
      </c>
      <c r="DD133">
        <v>0.3</v>
      </c>
      <c r="DE133">
        <v>0.3</v>
      </c>
      <c r="DF133">
        <v>0.9</v>
      </c>
      <c r="DG133">
        <v>0.9</v>
      </c>
      <c r="DH133">
        <v>1.6</v>
      </c>
      <c r="DI133">
        <v>2.7</v>
      </c>
      <c r="DJ133">
        <v>2.4</v>
      </c>
      <c r="DK133">
        <v>8.4</v>
      </c>
      <c r="DL133">
        <v>0</v>
      </c>
      <c r="DM133">
        <v>8.4</v>
      </c>
      <c r="DN133">
        <v>8.4</v>
      </c>
      <c r="DO133">
        <f>AVERAGE(CV133:CZ133)</f>
        <v>8.6</v>
      </c>
      <c r="DQ133" t="s">
        <v>27</v>
      </c>
      <c r="DR133" t="s">
        <v>301</v>
      </c>
      <c r="DS133" t="s">
        <v>302</v>
      </c>
      <c r="DT133" t="s">
        <v>303</v>
      </c>
      <c r="DU133" t="s">
        <v>304</v>
      </c>
      <c r="DV133" t="s">
        <v>305</v>
      </c>
      <c r="DW133" t="s">
        <v>3788</v>
      </c>
      <c r="DX133" t="s">
        <v>3789</v>
      </c>
      <c r="DY133" t="s">
        <v>3974</v>
      </c>
      <c r="DZ133" t="s">
        <v>3975</v>
      </c>
      <c r="EA133" t="s">
        <v>3934</v>
      </c>
      <c r="EB133" t="s">
        <v>3793</v>
      </c>
      <c r="EC133" t="s">
        <v>3976</v>
      </c>
      <c r="ED133" t="s">
        <v>4154</v>
      </c>
      <c r="EE133" t="s">
        <v>3978</v>
      </c>
      <c r="EF133" t="s">
        <v>3797</v>
      </c>
      <c r="EG133" t="s">
        <v>4155</v>
      </c>
      <c r="EH133" t="s">
        <v>4156</v>
      </c>
      <c r="EI133" t="s">
        <v>3981</v>
      </c>
      <c r="EJ133" t="s">
        <v>3800</v>
      </c>
      <c r="EK133" t="s">
        <v>3982</v>
      </c>
      <c r="EL133" t="s">
        <v>4157</v>
      </c>
      <c r="EM133" t="s">
        <v>4158</v>
      </c>
      <c r="EN133" t="s">
        <v>3803</v>
      </c>
      <c r="EO133" t="s">
        <v>3985</v>
      </c>
      <c r="EP133" t="s">
        <v>4159</v>
      </c>
      <c r="EQ133">
        <v>8</v>
      </c>
      <c r="ER133">
        <v>8</v>
      </c>
      <c r="ES133">
        <v>8</v>
      </c>
      <c r="ET133">
        <v>8</v>
      </c>
      <c r="EU133">
        <v>8</v>
      </c>
      <c r="EV133">
        <v>0.1</v>
      </c>
      <c r="EW133">
        <v>0.1</v>
      </c>
      <c r="EX133">
        <v>0.2</v>
      </c>
      <c r="EY133">
        <v>0.3</v>
      </c>
      <c r="EZ133">
        <v>0.3</v>
      </c>
      <c r="FA133">
        <f>EV133*EQ133</f>
        <v>0.8</v>
      </c>
      <c r="FB133">
        <f>EW133*ER133</f>
        <v>0.8</v>
      </c>
      <c r="FC133">
        <f>EX133*ES133</f>
        <v>1.6</v>
      </c>
      <c r="FD133">
        <f>EY133*ET133</f>
        <v>2.4</v>
      </c>
      <c r="FE133">
        <f>EZ133*EU133</f>
        <v>2.4</v>
      </c>
      <c r="FF133">
        <v>16</v>
      </c>
      <c r="FG133">
        <v>0</v>
      </c>
      <c r="FH133">
        <v>8</v>
      </c>
      <c r="FI133">
        <f>FA133+FB133+FC133+FD133+FE133</f>
        <v>8</v>
      </c>
      <c r="FJ133">
        <f>MEDIAN(EQ133:EU133)</f>
        <v>8</v>
      </c>
      <c r="FL133">
        <v>43.41</v>
      </c>
      <c r="FN133" t="s">
        <v>1233</v>
      </c>
      <c r="FO133" t="s">
        <v>1234</v>
      </c>
      <c r="FP133" t="s">
        <v>1235</v>
      </c>
      <c r="FQ133" t="s">
        <v>1236</v>
      </c>
      <c r="FR133" t="s">
        <v>1237</v>
      </c>
      <c r="FS133">
        <v>2.5</v>
      </c>
      <c r="FT133">
        <v>3</v>
      </c>
      <c r="FU133">
        <v>4</v>
      </c>
      <c r="FV133">
        <v>6</v>
      </c>
      <c r="FW133">
        <v>7</v>
      </c>
      <c r="FX133">
        <v>0.1</v>
      </c>
      <c r="FY133">
        <v>0.1</v>
      </c>
      <c r="FZ133">
        <v>0.2</v>
      </c>
      <c r="GA133">
        <v>0.3</v>
      </c>
      <c r="GB133">
        <v>0.3</v>
      </c>
      <c r="GC133">
        <f>FS133*FX133</f>
        <v>0.25</v>
      </c>
      <c r="GD133">
        <f>FT133*FY133</f>
        <v>0.30000000000000004</v>
      </c>
      <c r="GE133">
        <f>FU133*FZ133</f>
        <v>0.8</v>
      </c>
      <c r="GF133">
        <f>FV133*GA133</f>
        <v>1.7999999999999998</v>
      </c>
      <c r="GG133">
        <f>FW133*GB133</f>
        <v>2.1</v>
      </c>
      <c r="GH133">
        <v>9</v>
      </c>
      <c r="GJ133">
        <v>9</v>
      </c>
      <c r="GK133">
        <f>GC133+GD133+GE133+GF133+GG133</f>
        <v>5.25</v>
      </c>
      <c r="GL133">
        <f>MEDIAN(FS133:FW133)</f>
        <v>4</v>
      </c>
    </row>
    <row r="134" spans="1:194" x14ac:dyDescent="0.25">
      <c r="A134">
        <v>135</v>
      </c>
      <c r="B134" t="s">
        <v>2</v>
      </c>
      <c r="C134" s="4">
        <v>83.2</v>
      </c>
      <c r="D134">
        <v>3.2</v>
      </c>
      <c r="E134" s="1">
        <f>C134/3/D134</f>
        <v>8.6666666666666661</v>
      </c>
      <c r="G134">
        <v>37.32</v>
      </c>
      <c r="H134">
        <v>8</v>
      </c>
      <c r="I134">
        <f>H134*D134*3</f>
        <v>76.800000000000011</v>
      </c>
      <c r="J134">
        <v>18.04</v>
      </c>
      <c r="K134">
        <v>8.4</v>
      </c>
      <c r="L134" s="3">
        <f>K134*3*D134</f>
        <v>80.640000000000015</v>
      </c>
      <c r="M134">
        <v>5</v>
      </c>
      <c r="N134">
        <v>5.5</v>
      </c>
      <c r="O134">
        <f>N134*D134*3</f>
        <v>52.800000000000004</v>
      </c>
      <c r="P134" s="5">
        <v>7.2</v>
      </c>
      <c r="Q134" s="5">
        <f>P134*D134*3</f>
        <v>69.12</v>
      </c>
      <c r="S134" t="s">
        <v>6269</v>
      </c>
      <c r="T134">
        <v>7.2</v>
      </c>
      <c r="U134" s="8">
        <f>T134*D134*3</f>
        <v>69.12</v>
      </c>
      <c r="V134">
        <v>30.66</v>
      </c>
      <c r="W134">
        <v>9</v>
      </c>
      <c r="X134" s="5">
        <f>W134*D134*3</f>
        <v>86.4</v>
      </c>
      <c r="Y134">
        <v>12.08</v>
      </c>
      <c r="Z134">
        <v>7.5</v>
      </c>
      <c r="AA134">
        <f>Z134*D134*3</f>
        <v>72</v>
      </c>
      <c r="AC134">
        <v>44.85</v>
      </c>
      <c r="AD134">
        <v>8</v>
      </c>
      <c r="AE134" s="1">
        <f>AD134*3*D134</f>
        <v>76.800000000000011</v>
      </c>
      <c r="AF134">
        <v>11.84</v>
      </c>
      <c r="AG134" s="5">
        <v>7</v>
      </c>
      <c r="AH134" s="5">
        <f>AG134*D134*3</f>
        <v>67.2</v>
      </c>
      <c r="AI134" s="13"/>
      <c r="AJ134">
        <v>8.6999999999999993</v>
      </c>
      <c r="AK134" s="8">
        <f>AJ134*D134*3</f>
        <v>83.52</v>
      </c>
      <c r="AL134" s="13"/>
      <c r="AM134">
        <v>31.75</v>
      </c>
      <c r="AN134">
        <v>7.7</v>
      </c>
      <c r="AO134" s="8">
        <f>AN134*D134*3</f>
        <v>73.92</v>
      </c>
      <c r="AP134">
        <v>14.59</v>
      </c>
      <c r="AQ134">
        <v>9.5</v>
      </c>
      <c r="AR134">
        <f>AQ134*D134*3</f>
        <v>91.2</v>
      </c>
      <c r="AT134">
        <v>8.6</v>
      </c>
      <c r="AU134">
        <f>AT134*D134*3</f>
        <v>82.56</v>
      </c>
      <c r="AW134">
        <v>24.36</v>
      </c>
      <c r="AX134">
        <v>9.4</v>
      </c>
      <c r="AY134">
        <f>AX134*D134*3</f>
        <v>90.240000000000009</v>
      </c>
      <c r="AZ134">
        <v>24.36</v>
      </c>
      <c r="BA134">
        <v>9.1</v>
      </c>
      <c r="BB134">
        <f>BA134*D134*3</f>
        <v>87.36</v>
      </c>
      <c r="BD134">
        <v>8.5</v>
      </c>
      <c r="BE134">
        <f>BD134*D134*3</f>
        <v>81.600000000000009</v>
      </c>
      <c r="BG134" s="10"/>
      <c r="BH134" s="1">
        <f>CHOOSE(MATCH(MIN(ABS(BP134-C134),ABS(BQ134-C134),ABS(BR134-C134)),CHOOSE({1;2;3},ABS(BP134-C134),ABS(BQ134-C134),ABS(BR134-C134)),0),BP134,BQ134,BR134)</f>
        <v>86.4</v>
      </c>
      <c r="BJ134" s="1" cm="1">
        <f t="array" ref="BJ134">(INDEX(_xlfn._xlws.SORT(CHOOSE({1;2;3;4;5;6},BQ134,BR134,L134,AE134,BO134,BP134)),3) + INDEX(_xlfn._xlws.SORT(CHOOSE({1;2;3;4;5;6},BQ134,BR134,L134,AE134,BO134,BP134)),4))/2</f>
        <v>76.800000000000011</v>
      </c>
      <c r="BK134">
        <v>8.2588759912322107</v>
      </c>
      <c r="BL134" s="11" t="s">
        <v>6116</v>
      </c>
      <c r="BM134" s="1">
        <f>BK134*3*D134</f>
        <v>79.285209515829237</v>
      </c>
      <c r="BN134" s="1">
        <f>BM134-C134</f>
        <v>-3.9147904841707657</v>
      </c>
      <c r="BO134" s="1">
        <f>GK134*3*D134</f>
        <v>39.36</v>
      </c>
      <c r="BP134" s="1">
        <f>DO134*3*D134</f>
        <v>86.4</v>
      </c>
      <c r="BQ134" s="1">
        <f>FJ134*3*D134</f>
        <v>76.800000000000011</v>
      </c>
      <c r="BR134" s="1">
        <f>GL134*3*D134</f>
        <v>48</v>
      </c>
      <c r="BT134">
        <v>37.32</v>
      </c>
      <c r="BU134">
        <v>8</v>
      </c>
      <c r="BV134" t="s">
        <v>5003</v>
      </c>
      <c r="BW134" t="s">
        <v>5139</v>
      </c>
      <c r="BX134" t="s">
        <v>5140</v>
      </c>
      <c r="BY134" t="s">
        <v>5141</v>
      </c>
      <c r="BZ134" t="s">
        <v>5457</v>
      </c>
      <c r="CA134" t="s">
        <v>2437</v>
      </c>
      <c r="CC134" t="s">
        <v>2438</v>
      </c>
      <c r="CD134" t="s">
        <v>2439</v>
      </c>
      <c r="CE134" t="s">
        <v>2440</v>
      </c>
      <c r="CG134" t="s">
        <v>2441</v>
      </c>
      <c r="CH134" t="s">
        <v>2442</v>
      </c>
      <c r="CI134" t="s">
        <v>2535</v>
      </c>
      <c r="CK134" t="s">
        <v>2444</v>
      </c>
      <c r="CL134" t="s">
        <v>2445</v>
      </c>
      <c r="CM134" t="s">
        <v>2446</v>
      </c>
      <c r="CO134" t="s">
        <v>2447</v>
      </c>
      <c r="CP134" t="s">
        <v>2448</v>
      </c>
      <c r="CQ134" t="s">
        <v>2666</v>
      </c>
      <c r="CS134" t="s">
        <v>2450</v>
      </c>
      <c r="CT134" t="s">
        <v>2451</v>
      </c>
      <c r="CV134">
        <v>9</v>
      </c>
      <c r="CW134">
        <v>9</v>
      </c>
      <c r="CX134">
        <v>9</v>
      </c>
      <c r="CY134">
        <v>9</v>
      </c>
      <c r="CZ134">
        <v>9</v>
      </c>
      <c r="DA134">
        <v>0.1</v>
      </c>
      <c r="DB134">
        <v>0.1</v>
      </c>
      <c r="DC134">
        <v>0.2</v>
      </c>
      <c r="DD134">
        <v>0.3</v>
      </c>
      <c r="DE134">
        <v>0.3</v>
      </c>
      <c r="DF134">
        <v>0.9</v>
      </c>
      <c r="DG134">
        <v>0.9</v>
      </c>
      <c r="DH134">
        <v>1.8</v>
      </c>
      <c r="DI134">
        <v>2.7</v>
      </c>
      <c r="DJ134">
        <v>2.7</v>
      </c>
      <c r="DK134">
        <v>8</v>
      </c>
      <c r="DL134">
        <v>0</v>
      </c>
      <c r="DM134">
        <v>8</v>
      </c>
      <c r="DN134">
        <v>8.4</v>
      </c>
      <c r="DO134">
        <f>AVERAGE(CV134:CZ134)</f>
        <v>9</v>
      </c>
      <c r="DQ134">
        <v>8</v>
      </c>
      <c r="DR134" t="s">
        <v>195</v>
      </c>
      <c r="DS134" t="s">
        <v>196</v>
      </c>
      <c r="DT134" t="s">
        <v>311</v>
      </c>
      <c r="DU134" t="s">
        <v>198</v>
      </c>
      <c r="DV134" t="s">
        <v>312</v>
      </c>
      <c r="DW134" t="s">
        <v>4208</v>
      </c>
      <c r="DX134" t="s">
        <v>4209</v>
      </c>
      <c r="DY134" t="s">
        <v>4210</v>
      </c>
      <c r="DZ134" t="s">
        <v>4211</v>
      </c>
      <c r="EA134" t="s">
        <v>4212</v>
      </c>
      <c r="EB134" t="s">
        <v>4213</v>
      </c>
      <c r="EC134" t="s">
        <v>4214</v>
      </c>
      <c r="ED134" t="s">
        <v>4488</v>
      </c>
      <c r="EE134" t="s">
        <v>4489</v>
      </c>
      <c r="EF134" t="s">
        <v>4216</v>
      </c>
      <c r="EG134" t="s">
        <v>4490</v>
      </c>
      <c r="EH134" t="s">
        <v>4491</v>
      </c>
      <c r="EI134" t="s">
        <v>4219</v>
      </c>
      <c r="EJ134" t="s">
        <v>4220</v>
      </c>
      <c r="EK134" t="s">
        <v>4221</v>
      </c>
      <c r="EL134" t="s">
        <v>4492</v>
      </c>
      <c r="EM134" t="s">
        <v>3971</v>
      </c>
      <c r="EN134" t="s">
        <v>4493</v>
      </c>
      <c r="EO134" t="s">
        <v>4494</v>
      </c>
      <c r="EP134" t="s">
        <v>4495</v>
      </c>
      <c r="EQ134">
        <v>8</v>
      </c>
      <c r="ER134">
        <v>8</v>
      </c>
      <c r="ES134">
        <v>8</v>
      </c>
      <c r="ET134">
        <v>8</v>
      </c>
      <c r="EU134">
        <v>8</v>
      </c>
      <c r="EV134">
        <v>0.1</v>
      </c>
      <c r="EW134">
        <v>0.1</v>
      </c>
      <c r="EX134">
        <v>0.2</v>
      </c>
      <c r="EY134">
        <v>0.3</v>
      </c>
      <c r="EZ134">
        <v>0.3</v>
      </c>
      <c r="FA134">
        <f>EV134*EQ134</f>
        <v>0.8</v>
      </c>
      <c r="FB134">
        <f>EW134*ER134</f>
        <v>0.8</v>
      </c>
      <c r="FC134">
        <f>EX134*ES134</f>
        <v>1.6</v>
      </c>
      <c r="FD134">
        <f>EY134*ET134</f>
        <v>2.4</v>
      </c>
      <c r="FE134">
        <f>EZ134*EU134</f>
        <v>2.4</v>
      </c>
      <c r="FF134">
        <v>16</v>
      </c>
      <c r="FG134">
        <v>0</v>
      </c>
      <c r="FH134">
        <v>8</v>
      </c>
      <c r="FI134">
        <f>FA134+FB134+FC134+FD134+FE134</f>
        <v>8</v>
      </c>
      <c r="FJ134">
        <f>MEDIAN(EQ134:EU134)</f>
        <v>8</v>
      </c>
      <c r="FL134">
        <v>36.61</v>
      </c>
      <c r="FM134">
        <v>5.5</v>
      </c>
      <c r="FN134" t="s">
        <v>1248</v>
      </c>
      <c r="FO134" t="s">
        <v>1249</v>
      </c>
      <c r="FP134" t="s">
        <v>1250</v>
      </c>
      <c r="FQ134" t="s">
        <v>1251</v>
      </c>
      <c r="FR134" t="s">
        <v>1252</v>
      </c>
      <c r="FS134">
        <v>6</v>
      </c>
      <c r="FT134">
        <v>7</v>
      </c>
      <c r="FU134">
        <v>5</v>
      </c>
      <c r="FV134">
        <v>4</v>
      </c>
      <c r="FW134">
        <v>2</v>
      </c>
      <c r="FX134">
        <v>0.1</v>
      </c>
      <c r="FY134">
        <v>0.1</v>
      </c>
      <c r="FZ134">
        <v>0.2</v>
      </c>
      <c r="GA134">
        <v>0.3</v>
      </c>
      <c r="GB134">
        <v>0.3</v>
      </c>
      <c r="GC134">
        <f>FS134*FX134</f>
        <v>0.60000000000000009</v>
      </c>
      <c r="GD134">
        <f>FT134*FY134</f>
        <v>0.70000000000000007</v>
      </c>
      <c r="GE134">
        <f>FU134*FZ134</f>
        <v>1</v>
      </c>
      <c r="GF134">
        <f>FV134*GA134</f>
        <v>1.2</v>
      </c>
      <c r="GG134">
        <f>FW134*GB134</f>
        <v>0.6</v>
      </c>
      <c r="GH134">
        <v>6</v>
      </c>
      <c r="GI134">
        <v>-0.5</v>
      </c>
      <c r="GJ134">
        <v>5.5</v>
      </c>
      <c r="GK134">
        <f>GC134+GD134+GE134+GF134+GG134</f>
        <v>4.0999999999999996</v>
      </c>
      <c r="GL134">
        <f>MEDIAN(FS134:FW134)</f>
        <v>5</v>
      </c>
    </row>
    <row r="135" spans="1:194" x14ac:dyDescent="0.25">
      <c r="A135">
        <v>46</v>
      </c>
      <c r="B135" t="s">
        <v>2</v>
      </c>
      <c r="C135" s="4">
        <v>90.75</v>
      </c>
      <c r="D135">
        <v>3.3</v>
      </c>
      <c r="E135" s="1">
        <f>C135/3/D135</f>
        <v>9.1666666666666679</v>
      </c>
      <c r="G135">
        <v>40.21</v>
      </c>
      <c r="H135">
        <v>4.8</v>
      </c>
      <c r="I135">
        <f>H135*D135*3</f>
        <v>47.519999999999996</v>
      </c>
      <c r="J135">
        <v>17.420000000000002</v>
      </c>
      <c r="K135">
        <v>8.4</v>
      </c>
      <c r="L135" s="3">
        <f>K135*3*D135</f>
        <v>83.160000000000011</v>
      </c>
      <c r="M135">
        <v>4.74</v>
      </c>
      <c r="N135">
        <v>4</v>
      </c>
      <c r="O135">
        <f>N135*D135*3</f>
        <v>39.599999999999994</v>
      </c>
      <c r="P135" s="5">
        <v>7.9</v>
      </c>
      <c r="Q135" s="5">
        <f>P135*D135*3</f>
        <v>78.210000000000008</v>
      </c>
      <c r="S135" t="s">
        <v>6184</v>
      </c>
      <c r="T135">
        <v>6.7</v>
      </c>
      <c r="U135" s="8">
        <f>T135*D135*3</f>
        <v>66.33</v>
      </c>
      <c r="V135">
        <v>47.19</v>
      </c>
      <c r="W135">
        <v>8.4</v>
      </c>
      <c r="X135" s="5">
        <f>W135*D135*3</f>
        <v>83.16</v>
      </c>
      <c r="Y135">
        <v>11.84</v>
      </c>
      <c r="Z135">
        <v>7.5</v>
      </c>
      <c r="AA135">
        <f>Z135*D135*3</f>
        <v>74.25</v>
      </c>
      <c r="AC135">
        <v>49.36</v>
      </c>
      <c r="AD135">
        <v>8</v>
      </c>
      <c r="AE135" s="1">
        <f>AD135*3*D135</f>
        <v>79.199999999999989</v>
      </c>
      <c r="AF135">
        <v>11.81</v>
      </c>
      <c r="AG135" s="5">
        <v>7</v>
      </c>
      <c r="AH135" s="5">
        <f>AG135*D135*3</f>
        <v>69.3</v>
      </c>
      <c r="AI135" s="13"/>
      <c r="AK135" s="8">
        <f>AJ135*D135*3</f>
        <v>0</v>
      </c>
      <c r="AL135" s="13"/>
      <c r="AM135">
        <v>31.64</v>
      </c>
      <c r="AN135">
        <v>6.9</v>
      </c>
      <c r="AO135" s="8">
        <f>AN135*D135*3</f>
        <v>68.31</v>
      </c>
      <c r="AP135">
        <v>12.75</v>
      </c>
      <c r="AQ135">
        <v>10</v>
      </c>
      <c r="AR135">
        <f>AQ135*D135*3</f>
        <v>99</v>
      </c>
      <c r="AS135">
        <v>10.28</v>
      </c>
      <c r="AT135">
        <v>8.8000000000000007</v>
      </c>
      <c r="AU135">
        <f>AT135*D135*3</f>
        <v>87.12</v>
      </c>
      <c r="AW135">
        <v>25.42</v>
      </c>
      <c r="AX135">
        <v>9.1</v>
      </c>
      <c r="AY135">
        <f>AX135*D135*3</f>
        <v>90.089999999999989</v>
      </c>
      <c r="AZ135">
        <v>25.42</v>
      </c>
      <c r="BA135">
        <v>9</v>
      </c>
      <c r="BB135">
        <f>BA135*D135*3</f>
        <v>89.1</v>
      </c>
      <c r="BD135">
        <v>8.9</v>
      </c>
      <c r="BE135">
        <f>BD135*D135*3</f>
        <v>88.11</v>
      </c>
      <c r="BG135" s="10"/>
      <c r="BH135" s="1">
        <f>CHOOSE(MATCH(MIN(ABS(BP135-C135),ABS(BQ135-C135),ABS(BR135-C135)),CHOOSE({1;2;3},ABS(BP135-C135),ABS(BQ135-C135),ABS(BR135-C135)),0),BP135,BQ135,BR135)</f>
        <v>79.199999999999989</v>
      </c>
      <c r="BJ135" s="1" cm="1">
        <f t="array" ref="BJ135">(INDEX(_xlfn._xlws.SORT(CHOOSE({1;2;3;4;5;6},BQ135,BR135,L135,AE135,BO135,BP135)),3) + INDEX(_xlfn._xlws.SORT(CHOOSE({1;2;3;4;5;6},BQ135,BR135,L135,AE135,BO135,BP135)),4))/2</f>
        <v>69.3</v>
      </c>
      <c r="BK135">
        <v>8.8154951062303901</v>
      </c>
      <c r="BL135" s="11" t="s">
        <v>6116</v>
      </c>
      <c r="BM135" s="1">
        <f>BK135*3*D135</f>
        <v>87.273401551680863</v>
      </c>
      <c r="BN135" s="1">
        <f>BM135-C135</f>
        <v>-3.4765984483191374</v>
      </c>
      <c r="BO135" s="1">
        <f>GK135*3*D135</f>
        <v>54.449999999999996</v>
      </c>
      <c r="BP135" s="1">
        <f>DO135*3*D135</f>
        <v>59.4</v>
      </c>
      <c r="BQ135" s="1">
        <f>FJ135*3*D135</f>
        <v>79.199999999999989</v>
      </c>
      <c r="BR135" s="1">
        <f>GL135*3*D135</f>
        <v>44.55</v>
      </c>
      <c r="BT135">
        <v>40.21</v>
      </c>
      <c r="BU135">
        <v>4.8</v>
      </c>
      <c r="BV135" t="s">
        <v>5163</v>
      </c>
      <c r="BW135" t="s">
        <v>5164</v>
      </c>
      <c r="BX135" t="s">
        <v>5052</v>
      </c>
      <c r="BY135" t="s">
        <v>5165</v>
      </c>
      <c r="BZ135" t="s">
        <v>5166</v>
      </c>
      <c r="CA135" t="s">
        <v>2420</v>
      </c>
      <c r="CC135" t="s">
        <v>2743</v>
      </c>
      <c r="CD135" t="s">
        <v>2744</v>
      </c>
      <c r="CE135" t="s">
        <v>2745</v>
      </c>
      <c r="CG135" t="s">
        <v>2684</v>
      </c>
      <c r="CH135" t="s">
        <v>2527</v>
      </c>
      <c r="CI135" t="s">
        <v>2746</v>
      </c>
      <c r="CJ135" t="s">
        <v>2747</v>
      </c>
      <c r="CK135" t="s">
        <v>2748</v>
      </c>
      <c r="CL135" t="s">
        <v>2749</v>
      </c>
      <c r="CM135" t="s">
        <v>2750</v>
      </c>
      <c r="CN135" t="s">
        <v>2751</v>
      </c>
      <c r="CO135" t="s">
        <v>2752</v>
      </c>
      <c r="CP135" t="s">
        <v>2753</v>
      </c>
      <c r="CQ135" t="s">
        <v>2754</v>
      </c>
      <c r="CR135" t="s">
        <v>2755</v>
      </c>
      <c r="CS135" t="s">
        <v>2756</v>
      </c>
      <c r="CT135" t="s">
        <v>2757</v>
      </c>
      <c r="CV135">
        <v>9</v>
      </c>
      <c r="CW135">
        <v>9</v>
      </c>
      <c r="CX135">
        <v>6</v>
      </c>
      <c r="CY135">
        <v>4</v>
      </c>
      <c r="CZ135">
        <v>2</v>
      </c>
      <c r="DA135">
        <v>0.1</v>
      </c>
      <c r="DB135">
        <v>0.1</v>
      </c>
      <c r="DC135">
        <v>0.2</v>
      </c>
      <c r="DD135">
        <v>0.3</v>
      </c>
      <c r="DE135">
        <v>0.3</v>
      </c>
      <c r="DF135">
        <v>0.9</v>
      </c>
      <c r="DG135">
        <v>0.9</v>
      </c>
      <c r="DH135">
        <v>1.2</v>
      </c>
      <c r="DI135">
        <v>1.2</v>
      </c>
      <c r="DJ135">
        <v>0.6</v>
      </c>
      <c r="DK135">
        <v>4.8</v>
      </c>
      <c r="DL135">
        <v>0</v>
      </c>
      <c r="DM135">
        <v>4.8</v>
      </c>
      <c r="DN135">
        <v>8.4</v>
      </c>
      <c r="DO135">
        <f>AVERAGE(CV135:CZ135)</f>
        <v>6</v>
      </c>
      <c r="DQ135" t="s">
        <v>27</v>
      </c>
      <c r="DR135" t="s">
        <v>52</v>
      </c>
      <c r="DS135" t="s">
        <v>61</v>
      </c>
      <c r="DT135" t="s">
        <v>159</v>
      </c>
      <c r="DU135" t="s">
        <v>71</v>
      </c>
      <c r="DV135" t="s">
        <v>160</v>
      </c>
      <c r="DW135" t="s">
        <v>3836</v>
      </c>
      <c r="DX135" t="s">
        <v>3858</v>
      </c>
      <c r="DY135" t="s">
        <v>4119</v>
      </c>
      <c r="DZ135" t="s">
        <v>4120</v>
      </c>
      <c r="EA135" t="s">
        <v>3860</v>
      </c>
      <c r="EB135" t="s">
        <v>4121</v>
      </c>
      <c r="EC135" t="s">
        <v>4122</v>
      </c>
      <c r="ED135" t="s">
        <v>4123</v>
      </c>
      <c r="EE135" t="s">
        <v>3863</v>
      </c>
      <c r="EF135" t="s">
        <v>4124</v>
      </c>
      <c r="EG135" t="s">
        <v>4125</v>
      </c>
      <c r="EH135" t="s">
        <v>4126</v>
      </c>
      <c r="EI135" t="s">
        <v>3879</v>
      </c>
      <c r="EJ135" t="s">
        <v>4127</v>
      </c>
      <c r="EK135" t="s">
        <v>4128</v>
      </c>
      <c r="EL135" t="s">
        <v>4129</v>
      </c>
      <c r="EM135" t="s">
        <v>3907</v>
      </c>
      <c r="EN135" t="s">
        <v>4130</v>
      </c>
      <c r="EO135" t="s">
        <v>4131</v>
      </c>
      <c r="EP135" t="s">
        <v>4132</v>
      </c>
      <c r="EQ135">
        <v>8</v>
      </c>
      <c r="ER135">
        <v>8</v>
      </c>
      <c r="ES135">
        <v>8</v>
      </c>
      <c r="ET135">
        <v>8</v>
      </c>
      <c r="EU135">
        <v>8</v>
      </c>
      <c r="EV135">
        <v>0.1</v>
      </c>
      <c r="EW135">
        <v>0.1</v>
      </c>
      <c r="EX135">
        <v>0.2</v>
      </c>
      <c r="EY135">
        <v>0.3</v>
      </c>
      <c r="EZ135">
        <v>0.3</v>
      </c>
      <c r="FA135">
        <f>EV135*EQ135</f>
        <v>0.8</v>
      </c>
      <c r="FB135">
        <f>EW135*ER135</f>
        <v>0.8</v>
      </c>
      <c r="FC135">
        <f>EX135*ES135</f>
        <v>1.6</v>
      </c>
      <c r="FD135">
        <f>EY135*ET135</f>
        <v>2.4</v>
      </c>
      <c r="FE135">
        <f>EZ135*EU135</f>
        <v>2.4</v>
      </c>
      <c r="FF135">
        <v>16</v>
      </c>
      <c r="FG135">
        <v>0</v>
      </c>
      <c r="FH135">
        <v>9</v>
      </c>
      <c r="FI135">
        <f>FA135+FB135+FC135+FD135+FE135</f>
        <v>8</v>
      </c>
      <c r="FJ135">
        <f>MEDIAN(EQ135:EU135)</f>
        <v>8</v>
      </c>
      <c r="FL135">
        <v>39.42</v>
      </c>
      <c r="FM135">
        <v>8</v>
      </c>
      <c r="FN135" t="s">
        <v>824</v>
      </c>
      <c r="FO135" t="s">
        <v>825</v>
      </c>
      <c r="FP135" t="s">
        <v>826</v>
      </c>
      <c r="FQ135" t="s">
        <v>827</v>
      </c>
      <c r="FR135" t="s">
        <v>828</v>
      </c>
      <c r="FS135">
        <v>4.5</v>
      </c>
      <c r="FT135">
        <v>3.5</v>
      </c>
      <c r="FU135">
        <v>2.5</v>
      </c>
      <c r="FV135">
        <v>6.5</v>
      </c>
      <c r="FW135">
        <v>7.5</v>
      </c>
      <c r="FX135">
        <v>0.1</v>
      </c>
      <c r="FY135">
        <v>0.1</v>
      </c>
      <c r="FZ135">
        <v>0.2</v>
      </c>
      <c r="GA135">
        <v>0.3</v>
      </c>
      <c r="GB135">
        <v>0.3</v>
      </c>
      <c r="GC135">
        <f>FS135*FX135</f>
        <v>0.45</v>
      </c>
      <c r="GD135">
        <f>FT135*FY135</f>
        <v>0.35000000000000003</v>
      </c>
      <c r="GE135">
        <f>FU135*FZ135</f>
        <v>0.5</v>
      </c>
      <c r="GF135">
        <f>FV135*GA135</f>
        <v>1.95</v>
      </c>
      <c r="GG135">
        <f>FW135*GB135</f>
        <v>2.25</v>
      </c>
      <c r="GH135">
        <v>8</v>
      </c>
      <c r="GI135">
        <v>0</v>
      </c>
      <c r="GJ135">
        <v>8</v>
      </c>
      <c r="GK135">
        <f>GC135+GD135+GE135+GF135+GG135</f>
        <v>5.5</v>
      </c>
      <c r="GL135">
        <f>MEDIAN(FS135:FW135)</f>
        <v>4.5</v>
      </c>
    </row>
    <row r="136" spans="1:194" x14ac:dyDescent="0.25">
      <c r="A136" s="11">
        <v>4</v>
      </c>
      <c r="B136" t="s">
        <v>2</v>
      </c>
      <c r="C136" s="4">
        <v>76.5</v>
      </c>
      <c r="D136">
        <v>3</v>
      </c>
      <c r="E136" s="1">
        <f>C136/3/D136</f>
        <v>8.5</v>
      </c>
      <c r="G136">
        <v>72.7</v>
      </c>
      <c r="H136">
        <v>8.6999999999999993</v>
      </c>
      <c r="I136">
        <f>H136*D136*3</f>
        <v>78.3</v>
      </c>
      <c r="J136">
        <v>16.72</v>
      </c>
      <c r="K136">
        <v>8.4</v>
      </c>
      <c r="L136" s="3">
        <f>K136*3*D136</f>
        <v>75.600000000000009</v>
      </c>
      <c r="M136">
        <v>4.1500000000000004</v>
      </c>
      <c r="N136">
        <v>8.9</v>
      </c>
      <c r="O136">
        <f>N136*D136*3</f>
        <v>80.100000000000009</v>
      </c>
      <c r="P136" s="5">
        <v>8.1999999999999993</v>
      </c>
      <c r="Q136" s="5">
        <f>P136*D136*3</f>
        <v>73.8</v>
      </c>
      <c r="S136" t="s">
        <v>6142</v>
      </c>
      <c r="T136">
        <v>7.2</v>
      </c>
      <c r="U136" s="8">
        <f>T136*D136*3</f>
        <v>64.800000000000011</v>
      </c>
      <c r="V136">
        <v>35.880000000000003</v>
      </c>
      <c r="W136">
        <v>8.4</v>
      </c>
      <c r="X136" s="5">
        <f>W136*D136*3</f>
        <v>75.600000000000009</v>
      </c>
      <c r="Y136">
        <v>9.5399999999999991</v>
      </c>
      <c r="Z136">
        <v>6</v>
      </c>
      <c r="AA136">
        <f>Z136*D136*3</f>
        <v>54</v>
      </c>
      <c r="AC136">
        <v>47.87</v>
      </c>
      <c r="AD136">
        <v>7.9</v>
      </c>
      <c r="AE136" s="1">
        <f>AD136*3*D136</f>
        <v>71.100000000000009</v>
      </c>
      <c r="AF136">
        <v>11.94</v>
      </c>
      <c r="AG136" s="5">
        <v>7</v>
      </c>
      <c r="AH136" s="5">
        <f>AG136*D136*3</f>
        <v>63</v>
      </c>
      <c r="AI136" s="13"/>
      <c r="AJ136">
        <v>8.1999999999999993</v>
      </c>
      <c r="AK136" s="8">
        <f>AJ136*D136*3</f>
        <v>73.8</v>
      </c>
      <c r="AL136" s="13"/>
      <c r="AM136">
        <v>30.24</v>
      </c>
      <c r="AN136">
        <v>7.5</v>
      </c>
      <c r="AO136" s="8">
        <f>AN136*D136*3</f>
        <v>67.5</v>
      </c>
      <c r="AP136">
        <v>13.36</v>
      </c>
      <c r="AQ136">
        <v>10</v>
      </c>
      <c r="AR136">
        <f>AQ136*D136*3</f>
        <v>90</v>
      </c>
      <c r="AS136">
        <v>10.53</v>
      </c>
      <c r="AT136">
        <v>9</v>
      </c>
      <c r="AU136">
        <f>AT136*D136*3</f>
        <v>81</v>
      </c>
      <c r="AW136">
        <v>25.58</v>
      </c>
      <c r="AX136">
        <v>8.8000000000000007</v>
      </c>
      <c r="AY136">
        <f>AX136*D136*3</f>
        <v>79.2</v>
      </c>
      <c r="AZ136">
        <v>25.58</v>
      </c>
      <c r="BA136">
        <v>9.1</v>
      </c>
      <c r="BB136">
        <f>BA136*D136*3</f>
        <v>81.899999999999991</v>
      </c>
      <c r="BD136">
        <v>9</v>
      </c>
      <c r="BE136">
        <f>BD136*D136*3</f>
        <v>81</v>
      </c>
      <c r="BG136" s="10"/>
      <c r="BH136" s="1">
        <f>CHOOSE(MATCH(MIN(ABS(BP136-C136),ABS(BQ136-C136),ABS(BR136-C136)),CHOOSE({1;2;3},ABS(BP136-C136),ABS(BQ136-C136),ABS(BR136-C136)),0),BP136,BQ136,BR136)</f>
        <v>79.2</v>
      </c>
      <c r="BJ136" s="1" cm="1">
        <f t="array" ref="BJ136">(INDEX(_xlfn._xlws.SORT(CHOOSE({1;2;3;4;5;6},BQ136,BR136,L136,AE136,BO136,BP136)),3) + INDEX(_xlfn._xlws.SORT(CHOOSE({1;2;3;4;5;6},BQ136,BR136,L136,AE136,BO136,BP136)),4))/2</f>
        <v>76.050000000000011</v>
      </c>
      <c r="BK136">
        <v>8.1164464461133896</v>
      </c>
      <c r="BL136" s="11" t="s">
        <v>6116</v>
      </c>
      <c r="BM136" s="1">
        <f>BK136*3*D136</f>
        <v>73.048018015020503</v>
      </c>
      <c r="BN136" s="1">
        <f>BM136-C136</f>
        <v>-3.451981984979497</v>
      </c>
      <c r="BO136" s="1">
        <f>GK136*3*D136</f>
        <v>76.5</v>
      </c>
      <c r="BP136" s="1">
        <f>DO136*3*D136</f>
        <v>79.2</v>
      </c>
      <c r="BQ136" s="1">
        <f>FJ136*3*D136</f>
        <v>72</v>
      </c>
      <c r="BR136" s="1">
        <f>GL136*3*D136</f>
        <v>90</v>
      </c>
      <c r="BT136">
        <v>72.7</v>
      </c>
      <c r="BU136">
        <v>8.6999999999999993</v>
      </c>
      <c r="BV136" t="s">
        <v>4991</v>
      </c>
      <c r="BW136" t="s">
        <v>4992</v>
      </c>
      <c r="BX136" t="s">
        <v>4993</v>
      </c>
      <c r="BY136" t="s">
        <v>4994</v>
      </c>
      <c r="BZ136" t="s">
        <v>4985</v>
      </c>
      <c r="CA136" t="s">
        <v>2469</v>
      </c>
      <c r="CC136" t="s">
        <v>2470</v>
      </c>
      <c r="CD136" t="s">
        <v>2470</v>
      </c>
      <c r="CE136" t="s">
        <v>2471</v>
      </c>
      <c r="CG136" t="s">
        <v>2472</v>
      </c>
      <c r="CH136" t="s">
        <v>2472</v>
      </c>
      <c r="CI136" t="s">
        <v>2473</v>
      </c>
      <c r="CK136" t="s">
        <v>2474</v>
      </c>
      <c r="CL136" t="s">
        <v>2474</v>
      </c>
      <c r="CM136" t="s">
        <v>2475</v>
      </c>
      <c r="CO136" t="s">
        <v>2476</v>
      </c>
      <c r="CP136" t="s">
        <v>2476</v>
      </c>
      <c r="CQ136" t="s">
        <v>2477</v>
      </c>
      <c r="CR136" t="s">
        <v>2478</v>
      </c>
      <c r="CS136" t="s">
        <v>2479</v>
      </c>
      <c r="CT136" t="s">
        <v>2479</v>
      </c>
      <c r="CV136">
        <v>9</v>
      </c>
      <c r="CW136">
        <v>9</v>
      </c>
      <c r="CX136">
        <v>9</v>
      </c>
      <c r="CY136">
        <v>9</v>
      </c>
      <c r="CZ136">
        <v>8</v>
      </c>
      <c r="DA136">
        <v>0.1</v>
      </c>
      <c r="DB136">
        <v>0.1</v>
      </c>
      <c r="DC136">
        <v>0.2</v>
      </c>
      <c r="DD136">
        <v>0.3</v>
      </c>
      <c r="DE136">
        <v>0.3</v>
      </c>
      <c r="DF136">
        <v>0.9</v>
      </c>
      <c r="DG136">
        <v>0.9</v>
      </c>
      <c r="DH136">
        <v>1.8</v>
      </c>
      <c r="DI136">
        <v>2.7</v>
      </c>
      <c r="DJ136">
        <v>2.4</v>
      </c>
      <c r="DK136">
        <v>8.6999999999999993</v>
      </c>
      <c r="DL136">
        <v>0</v>
      </c>
      <c r="DM136">
        <v>8.6999999999999993</v>
      </c>
      <c r="DN136">
        <v>8.4</v>
      </c>
      <c r="DO136">
        <f>AVERAGE(CV136:CZ136)</f>
        <v>8.8000000000000007</v>
      </c>
      <c r="DQ136">
        <v>15</v>
      </c>
      <c r="DR136" t="s">
        <v>28</v>
      </c>
      <c r="DS136" t="s">
        <v>43</v>
      </c>
      <c r="DT136" t="s">
        <v>44</v>
      </c>
      <c r="DU136" t="s">
        <v>45</v>
      </c>
      <c r="DV136" t="s">
        <v>46</v>
      </c>
      <c r="DW136" t="s">
        <v>3769</v>
      </c>
      <c r="DX136" t="s">
        <v>3770</v>
      </c>
      <c r="DY136" t="s">
        <v>3771</v>
      </c>
      <c r="DZ136" t="s">
        <v>3772</v>
      </c>
      <c r="EA136" t="s">
        <v>3806</v>
      </c>
      <c r="EB136" t="s">
        <v>3807</v>
      </c>
      <c r="EC136" t="s">
        <v>3775</v>
      </c>
      <c r="ED136" t="s">
        <v>3776</v>
      </c>
      <c r="EE136" t="s">
        <v>3819</v>
      </c>
      <c r="EF136" t="s">
        <v>3809</v>
      </c>
      <c r="EG136" t="s">
        <v>3810</v>
      </c>
      <c r="EH136" t="s">
        <v>3811</v>
      </c>
      <c r="EI136" t="s">
        <v>3820</v>
      </c>
      <c r="EJ136" t="s">
        <v>3813</v>
      </c>
      <c r="EK136" t="s">
        <v>3821</v>
      </c>
      <c r="EL136" t="s">
        <v>3822</v>
      </c>
      <c r="EM136" t="s">
        <v>3816</v>
      </c>
      <c r="EN136" t="s">
        <v>3823</v>
      </c>
      <c r="EO136" t="s">
        <v>3824</v>
      </c>
      <c r="EP136" t="s">
        <v>3825</v>
      </c>
      <c r="EQ136">
        <v>7</v>
      </c>
      <c r="ER136">
        <v>8</v>
      </c>
      <c r="ES136">
        <v>8</v>
      </c>
      <c r="ET136">
        <v>8</v>
      </c>
      <c r="EU136">
        <v>8</v>
      </c>
      <c r="EV136">
        <v>0.1</v>
      </c>
      <c r="EW136">
        <v>0.1</v>
      </c>
      <c r="EX136">
        <v>0.2</v>
      </c>
      <c r="EY136">
        <v>0.3</v>
      </c>
      <c r="EZ136">
        <v>0.3</v>
      </c>
      <c r="FA136">
        <f>EV136*EQ136</f>
        <v>0.70000000000000007</v>
      </c>
      <c r="FB136">
        <f>EW136*ER136</f>
        <v>0.8</v>
      </c>
      <c r="FC136">
        <f>EX136*ES136</f>
        <v>1.6</v>
      </c>
      <c r="FD136">
        <f>EY136*ET136</f>
        <v>2.4</v>
      </c>
      <c r="FE136">
        <f>EZ136*EU136</f>
        <v>2.4</v>
      </c>
      <c r="FF136">
        <v>15</v>
      </c>
      <c r="FG136">
        <v>0</v>
      </c>
      <c r="FH136">
        <v>15</v>
      </c>
      <c r="FI136">
        <f>FA136+FB136+FC136+FD136+FE136</f>
        <v>7.9</v>
      </c>
      <c r="FJ136">
        <f>MEDIAN(EQ136:EU136)</f>
        <v>8</v>
      </c>
      <c r="FL136">
        <v>76.38</v>
      </c>
      <c r="FM136">
        <v>7.4</v>
      </c>
      <c r="FN136" t="s">
        <v>617</v>
      </c>
      <c r="FO136" t="s">
        <v>618</v>
      </c>
      <c r="FP136" t="s">
        <v>619</v>
      </c>
      <c r="FQ136" t="s">
        <v>620</v>
      </c>
      <c r="FR136" t="s">
        <v>621</v>
      </c>
      <c r="FS136">
        <v>10</v>
      </c>
      <c r="FT136">
        <v>10</v>
      </c>
      <c r="FU136">
        <v>10</v>
      </c>
      <c r="FV136">
        <v>8.5</v>
      </c>
      <c r="FW136">
        <v>6.5</v>
      </c>
      <c r="FX136">
        <v>0.1</v>
      </c>
      <c r="FY136">
        <v>0.1</v>
      </c>
      <c r="FZ136">
        <v>0.2</v>
      </c>
      <c r="GA136">
        <v>0.3</v>
      </c>
      <c r="GB136">
        <v>0.3</v>
      </c>
      <c r="GC136">
        <f>FS136*FX136</f>
        <v>1</v>
      </c>
      <c r="GD136">
        <f>FT136*FY136</f>
        <v>1</v>
      </c>
      <c r="GE136">
        <f>FU136*FZ136</f>
        <v>2</v>
      </c>
      <c r="GF136">
        <f>FV136*GA136</f>
        <v>2.5499999999999998</v>
      </c>
      <c r="GG136">
        <f>FW136*GB136</f>
        <v>1.95</v>
      </c>
      <c r="GH136">
        <v>7.45</v>
      </c>
      <c r="GI136">
        <v>0</v>
      </c>
      <c r="GJ136">
        <v>7.4</v>
      </c>
      <c r="GK136">
        <f>GC136+GD136+GE136+GF136+GG136</f>
        <v>8.5</v>
      </c>
      <c r="GL136">
        <f>MEDIAN(FS136:FW136)</f>
        <v>10</v>
      </c>
    </row>
    <row r="137" spans="1:194" x14ac:dyDescent="0.25">
      <c r="A137">
        <v>353</v>
      </c>
      <c r="B137" t="s">
        <v>2</v>
      </c>
      <c r="C137" s="4">
        <v>84.6</v>
      </c>
      <c r="D137">
        <v>3.6</v>
      </c>
      <c r="E137" s="1">
        <f>C137/3/D137</f>
        <v>7.833333333333333</v>
      </c>
      <c r="G137">
        <v>38.85</v>
      </c>
      <c r="H137">
        <v>8.4</v>
      </c>
      <c r="I137">
        <f>H137*D137*3</f>
        <v>90.72</v>
      </c>
      <c r="J137">
        <v>18.41</v>
      </c>
      <c r="K137">
        <v>8.4</v>
      </c>
      <c r="L137" s="3">
        <f>K137*3*D137</f>
        <v>90.720000000000013</v>
      </c>
      <c r="M137">
        <v>5.71</v>
      </c>
      <c r="N137">
        <v>6</v>
      </c>
      <c r="O137">
        <f>N137*D137*3</f>
        <v>64.800000000000011</v>
      </c>
      <c r="P137" s="5">
        <v>7.9</v>
      </c>
      <c r="Q137" s="5">
        <f>P137*D137*3</f>
        <v>85.320000000000007</v>
      </c>
      <c r="S137" t="s">
        <v>6475</v>
      </c>
      <c r="T137">
        <v>3.2</v>
      </c>
      <c r="U137" s="8">
        <f>T137*D137*3</f>
        <v>34.56</v>
      </c>
      <c r="V137">
        <v>59.18</v>
      </c>
      <c r="W137">
        <v>8.4</v>
      </c>
      <c r="X137" s="5">
        <f>W137*D137*3</f>
        <v>90.72</v>
      </c>
      <c r="Y137">
        <v>11.91</v>
      </c>
      <c r="Z137">
        <v>7.5</v>
      </c>
      <c r="AA137">
        <f>Z137*D137*3</f>
        <v>81</v>
      </c>
      <c r="AC137">
        <v>138.41</v>
      </c>
      <c r="AD137">
        <v>8</v>
      </c>
      <c r="AE137" s="1">
        <f>AD137*3*D137</f>
        <v>86.4</v>
      </c>
      <c r="AF137">
        <v>12.01</v>
      </c>
      <c r="AG137" s="5">
        <v>7</v>
      </c>
      <c r="AH137" s="5">
        <f>AG137*D137*3</f>
        <v>75.599999999999994</v>
      </c>
      <c r="AI137" s="13"/>
      <c r="AK137" s="8">
        <f>AJ137*D137*3</f>
        <v>0</v>
      </c>
      <c r="AL137" s="13"/>
      <c r="AM137">
        <v>31.35</v>
      </c>
      <c r="AN137">
        <v>5.2</v>
      </c>
      <c r="AO137" s="8">
        <f>AN137*D137*3</f>
        <v>56.160000000000011</v>
      </c>
      <c r="AP137">
        <v>12.23</v>
      </c>
      <c r="AQ137">
        <v>10</v>
      </c>
      <c r="AR137">
        <f>AQ137*D137*3</f>
        <v>108</v>
      </c>
      <c r="AT137">
        <v>9</v>
      </c>
      <c r="AU137">
        <f>AT137*D137*3</f>
        <v>97.199999999999989</v>
      </c>
      <c r="AX137">
        <v>8.8000000000000007</v>
      </c>
      <c r="AY137">
        <f>AX137*D137*3</f>
        <v>95.04</v>
      </c>
      <c r="BA137">
        <v>9.4</v>
      </c>
      <c r="BB137">
        <f>BA137*D137*3</f>
        <v>101.52000000000001</v>
      </c>
      <c r="BC137">
        <v>25.79</v>
      </c>
      <c r="BD137">
        <v>8.9</v>
      </c>
      <c r="BE137">
        <f>BD137*D137*3</f>
        <v>96.12</v>
      </c>
      <c r="BG137" s="10"/>
      <c r="BH137" s="1">
        <f>CHOOSE(MATCH(MIN(ABS(BP137-C137),ABS(BQ137-C137),ABS(BR137-C137)),CHOOSE({1;2;3},ABS(BP137-C137),ABS(BQ137-C137),ABS(BR137-C137)),0),BP137,BQ137,BR137)</f>
        <v>86.4</v>
      </c>
      <c r="BJ137" s="1" cm="1">
        <f t="array" ref="BJ137">(INDEX(_xlfn._xlws.SORT(CHOOSE({1;2;3;4;5;6},BQ137,BR137,L137,AE137,BO137,BP137)),3) + INDEX(_xlfn._xlws.SORT(CHOOSE({1;2;3;4;5;6},BQ137,BR137,L137,AE137,BO137,BP137)),4))/2</f>
        <v>86.4</v>
      </c>
      <c r="BK137">
        <v>7.5670990796956801</v>
      </c>
      <c r="BL137" s="11" t="s">
        <v>6116</v>
      </c>
      <c r="BM137" s="1">
        <f>BK137*3*D137</f>
        <v>81.72467006071335</v>
      </c>
      <c r="BN137" s="1">
        <f>BM137-C137</f>
        <v>-2.8753299392866438</v>
      </c>
      <c r="BO137" s="1">
        <f>GK137*3*D137</f>
        <v>69.120000000000019</v>
      </c>
      <c r="BP137" s="1">
        <f>DO137*3*D137</f>
        <v>92.88</v>
      </c>
      <c r="BQ137" s="1">
        <f>FJ137*3*D137</f>
        <v>86.4</v>
      </c>
      <c r="BR137" s="1">
        <f>GL137*3*D137</f>
        <v>81</v>
      </c>
      <c r="BT137">
        <v>38.85</v>
      </c>
      <c r="BU137">
        <v>8.4</v>
      </c>
      <c r="BV137" t="s">
        <v>6047</v>
      </c>
      <c r="BW137" t="s">
        <v>5004</v>
      </c>
      <c r="BX137" t="s">
        <v>5540</v>
      </c>
      <c r="BY137" t="s">
        <v>5749</v>
      </c>
      <c r="BZ137" t="s">
        <v>5591</v>
      </c>
      <c r="CA137" t="s">
        <v>2420</v>
      </c>
      <c r="CC137" t="s">
        <v>2525</v>
      </c>
      <c r="CD137" t="s">
        <v>2627</v>
      </c>
      <c r="CE137" t="s">
        <v>2423</v>
      </c>
      <c r="CG137" t="s">
        <v>3699</v>
      </c>
      <c r="CH137" t="s">
        <v>2495</v>
      </c>
      <c r="CI137" t="s">
        <v>2426</v>
      </c>
      <c r="CJ137" t="s">
        <v>2427</v>
      </c>
      <c r="CK137" t="s">
        <v>2529</v>
      </c>
      <c r="CL137" t="s">
        <v>3344</v>
      </c>
      <c r="CM137" t="s">
        <v>2430</v>
      </c>
      <c r="CO137" t="s">
        <v>2531</v>
      </c>
      <c r="CP137" t="s">
        <v>3700</v>
      </c>
      <c r="CQ137" t="s">
        <v>2920</v>
      </c>
      <c r="CR137" t="s">
        <v>2434</v>
      </c>
      <c r="CS137" t="s">
        <v>2532</v>
      </c>
      <c r="CT137" t="s">
        <v>3701</v>
      </c>
      <c r="CV137">
        <v>9</v>
      </c>
      <c r="CW137">
        <v>9</v>
      </c>
      <c r="CX137">
        <v>8</v>
      </c>
      <c r="CY137">
        <v>9</v>
      </c>
      <c r="CZ137">
        <v>8</v>
      </c>
      <c r="DA137">
        <v>0.1</v>
      </c>
      <c r="DB137">
        <v>0.1</v>
      </c>
      <c r="DC137">
        <v>0.2</v>
      </c>
      <c r="DD137">
        <v>0.3</v>
      </c>
      <c r="DE137">
        <v>0.3</v>
      </c>
      <c r="DF137">
        <v>0.9</v>
      </c>
      <c r="DG137">
        <v>0.9</v>
      </c>
      <c r="DH137">
        <v>1.6</v>
      </c>
      <c r="DI137">
        <v>2.7</v>
      </c>
      <c r="DJ137">
        <v>2.4</v>
      </c>
      <c r="DK137">
        <v>8.4</v>
      </c>
      <c r="DL137">
        <v>0</v>
      </c>
      <c r="DM137">
        <v>8.4</v>
      </c>
      <c r="DN137">
        <v>8.4</v>
      </c>
      <c r="DO137">
        <f>AVERAGE(CV137:CZ137)</f>
        <v>8.6</v>
      </c>
      <c r="DQ137">
        <v>8</v>
      </c>
      <c r="DR137" t="s">
        <v>33</v>
      </c>
      <c r="DS137" t="s">
        <v>187</v>
      </c>
      <c r="DT137" t="s">
        <v>188</v>
      </c>
      <c r="DU137" t="s">
        <v>189</v>
      </c>
      <c r="DV137" t="s">
        <v>190</v>
      </c>
      <c r="DW137" t="s">
        <v>3788</v>
      </c>
      <c r="DX137" t="s">
        <v>3789</v>
      </c>
      <c r="DY137" t="s">
        <v>3790</v>
      </c>
      <c r="DZ137" t="s">
        <v>3933</v>
      </c>
      <c r="EA137" t="s">
        <v>3792</v>
      </c>
      <c r="EB137" t="s">
        <v>3793</v>
      </c>
      <c r="EC137" t="s">
        <v>4189</v>
      </c>
      <c r="ED137" t="s">
        <v>4190</v>
      </c>
      <c r="EE137" t="s">
        <v>4191</v>
      </c>
      <c r="EF137" t="s">
        <v>3797</v>
      </c>
      <c r="EG137" t="s">
        <v>4192</v>
      </c>
      <c r="EH137" t="s">
        <v>4193</v>
      </c>
      <c r="EI137" t="s">
        <v>4194</v>
      </c>
      <c r="EJ137" t="s">
        <v>3800</v>
      </c>
      <c r="EK137" t="s">
        <v>4195</v>
      </c>
      <c r="EL137" t="s">
        <v>4196</v>
      </c>
      <c r="EM137" t="s">
        <v>3943</v>
      </c>
      <c r="EN137" t="s">
        <v>3803</v>
      </c>
      <c r="EO137" t="s">
        <v>4197</v>
      </c>
      <c r="EP137" t="s">
        <v>4198</v>
      </c>
      <c r="EQ137">
        <v>8</v>
      </c>
      <c r="ER137">
        <v>8</v>
      </c>
      <c r="ES137">
        <v>8</v>
      </c>
      <c r="ET137">
        <v>8</v>
      </c>
      <c r="EU137">
        <v>8</v>
      </c>
      <c r="EV137">
        <v>0.1</v>
      </c>
      <c r="EW137">
        <v>0.1</v>
      </c>
      <c r="EX137">
        <v>0.2</v>
      </c>
      <c r="EY137">
        <v>0.3</v>
      </c>
      <c r="EZ137">
        <v>0.3</v>
      </c>
      <c r="FA137">
        <f>EV137*EQ137</f>
        <v>0.8</v>
      </c>
      <c r="FB137">
        <f>EW137*ER137</f>
        <v>0.8</v>
      </c>
      <c r="FC137">
        <f>EX137*ES137</f>
        <v>1.6</v>
      </c>
      <c r="FD137">
        <f>EY137*ET137</f>
        <v>2.4</v>
      </c>
      <c r="FE137">
        <f>EZ137*EU137</f>
        <v>2.4</v>
      </c>
      <c r="FF137">
        <v>16</v>
      </c>
      <c r="FG137">
        <v>0</v>
      </c>
      <c r="FH137">
        <v>8</v>
      </c>
      <c r="FI137">
        <f>FA137+FB137+FC137+FD137+FE137</f>
        <v>8</v>
      </c>
      <c r="FJ137">
        <f>MEDIAN(EQ137:EU137)</f>
        <v>8</v>
      </c>
      <c r="FL137">
        <v>40.130000000000003</v>
      </c>
      <c r="FM137">
        <v>5.5</v>
      </c>
      <c r="FN137" t="s">
        <v>2277</v>
      </c>
      <c r="FO137" t="s">
        <v>2278</v>
      </c>
      <c r="FP137" t="s">
        <v>2279</v>
      </c>
      <c r="FQ137" t="s">
        <v>2280</v>
      </c>
      <c r="FR137" t="s">
        <v>2281</v>
      </c>
      <c r="FS137">
        <v>9</v>
      </c>
      <c r="FT137">
        <v>8.5</v>
      </c>
      <c r="FU137">
        <v>7.5</v>
      </c>
      <c r="FV137">
        <v>6.5</v>
      </c>
      <c r="FW137">
        <v>4</v>
      </c>
      <c r="FX137">
        <v>0.1</v>
      </c>
      <c r="FY137">
        <v>0.1</v>
      </c>
      <c r="FZ137">
        <v>0.2</v>
      </c>
      <c r="GA137">
        <v>0.3</v>
      </c>
      <c r="GB137">
        <v>0.3</v>
      </c>
      <c r="GC137">
        <f>FS137*FX137</f>
        <v>0.9</v>
      </c>
      <c r="GD137">
        <f>FT137*FY137</f>
        <v>0.85000000000000009</v>
      </c>
      <c r="GE137">
        <f>FU137*FZ137</f>
        <v>1.5</v>
      </c>
      <c r="GF137">
        <f>FV137*GA137</f>
        <v>1.95</v>
      </c>
      <c r="GG137">
        <f>FW137*GB137</f>
        <v>1.2</v>
      </c>
      <c r="GH137">
        <v>5.5</v>
      </c>
      <c r="GI137">
        <v>0</v>
      </c>
      <c r="GJ137">
        <v>5.5</v>
      </c>
      <c r="GK137">
        <f>GC137+GD137+GE137+GF137+GG137</f>
        <v>6.4</v>
      </c>
      <c r="GL137">
        <f>MEDIAN(FS137:FW137)</f>
        <v>7.5</v>
      </c>
    </row>
    <row r="138" spans="1:194" hidden="1" x14ac:dyDescent="0.25">
      <c r="A138">
        <v>137</v>
      </c>
      <c r="B138" t="s">
        <v>2</v>
      </c>
      <c r="C138" s="4">
        <v>89.1</v>
      </c>
      <c r="D138">
        <v>3.3</v>
      </c>
      <c r="E138" s="1">
        <f>C138/3/D138</f>
        <v>9</v>
      </c>
      <c r="G138">
        <v>40.04</v>
      </c>
      <c r="H138">
        <v>8.1999999999999993</v>
      </c>
      <c r="I138">
        <f>H138*D138*3</f>
        <v>81.179999999999978</v>
      </c>
      <c r="J138">
        <v>16.38</v>
      </c>
      <c r="K138">
        <v>8.4</v>
      </c>
      <c r="L138" s="3">
        <f>K138*3*D138</f>
        <v>83.160000000000011</v>
      </c>
      <c r="M138">
        <v>4.67</v>
      </c>
      <c r="N138">
        <v>7.8</v>
      </c>
      <c r="O138">
        <f>N138*D138*3</f>
        <v>77.22</v>
      </c>
      <c r="P138" s="5">
        <v>6.5</v>
      </c>
      <c r="Q138" s="5">
        <f>P138*D138*3</f>
        <v>64.349999999999994</v>
      </c>
      <c r="S138" t="s">
        <v>6271</v>
      </c>
      <c r="T138">
        <v>6.6</v>
      </c>
      <c r="U138" s="8">
        <f>T138*D138*3</f>
        <v>65.339999999999989</v>
      </c>
      <c r="V138">
        <v>31.73</v>
      </c>
      <c r="W138">
        <v>8.4</v>
      </c>
      <c r="X138" s="5">
        <f>W138*D138*3</f>
        <v>83.16</v>
      </c>
      <c r="Y138">
        <v>9.65</v>
      </c>
      <c r="Z138">
        <v>7.5</v>
      </c>
      <c r="AA138">
        <f>Z138*D138*3</f>
        <v>74.25</v>
      </c>
      <c r="AC138">
        <v>45.59</v>
      </c>
      <c r="AD138">
        <v>7.4</v>
      </c>
      <c r="AE138" s="1">
        <f>AD138*3*D138</f>
        <v>73.260000000000005</v>
      </c>
      <c r="AF138">
        <v>11.86</v>
      </c>
      <c r="AG138" s="5">
        <v>7</v>
      </c>
      <c r="AH138" s="5">
        <f>AG138*D138*3</f>
        <v>69.3</v>
      </c>
      <c r="AI138" s="13"/>
      <c r="AJ138">
        <v>7.2</v>
      </c>
      <c r="AK138" s="8">
        <f>AJ138*D138*3</f>
        <v>71.28</v>
      </c>
      <c r="AL138" s="13"/>
      <c r="AM138">
        <v>30.8</v>
      </c>
      <c r="AN138">
        <v>7.3</v>
      </c>
      <c r="AO138" s="8">
        <f>AN138*D138*3</f>
        <v>72.27</v>
      </c>
      <c r="AP138">
        <v>13.93</v>
      </c>
      <c r="AQ138">
        <v>9.1999999999999993</v>
      </c>
      <c r="AR138">
        <f>AQ138*D138*3</f>
        <v>91.079999999999984</v>
      </c>
      <c r="AT138">
        <v>9</v>
      </c>
      <c r="AU138">
        <f>AT138*D138*3</f>
        <v>89.1</v>
      </c>
      <c r="AW138">
        <v>27.8</v>
      </c>
      <c r="AX138">
        <v>9.1999999999999993</v>
      </c>
      <c r="AY138">
        <f>AX138*D138*3</f>
        <v>91.079999999999984</v>
      </c>
      <c r="AZ138">
        <v>27.8</v>
      </c>
      <c r="BA138">
        <v>9.1999999999999993</v>
      </c>
      <c r="BB138">
        <f>BA138*D138*3</f>
        <v>91.079999999999984</v>
      </c>
      <c r="BD138">
        <v>9</v>
      </c>
      <c r="BE138">
        <f>BD138*D138*3</f>
        <v>89.1</v>
      </c>
      <c r="BG138" s="10"/>
      <c r="BH138" s="1">
        <f>CHOOSE(MATCH(MIN(ABS(BP138-C138),ABS(BQ138-C138),ABS(BR138-C138)),CHOOSE({1;2;3},ABS(BP138-C138),ABS(BQ138-C138),ABS(BR138-C138)),0),BP138,BQ138,BR138)</f>
        <v>89.1</v>
      </c>
      <c r="BJ138" s="1" cm="1">
        <f t="array" ref="BJ138">(INDEX(_xlfn._xlws.SORT(CHOOSE({1;2;3;4;5;6},BQ138,BR138,L138,AE138,BO138,BP138)),3) + INDEX(_xlfn._xlws.SORT(CHOOSE({1;2;3;4;5;6},BQ138,BR138,L138,AE138,BO138,BP138)),4))/2</f>
        <v>75.487499999999997</v>
      </c>
      <c r="BK138">
        <v>9.0181885471235308</v>
      </c>
      <c r="BL138" t="s">
        <v>6117</v>
      </c>
      <c r="BM138" s="1">
        <f>BK138*3*D138</f>
        <v>89.280066616522959</v>
      </c>
      <c r="BN138" s="1">
        <f>BM138-C138</f>
        <v>0.1800666165229643</v>
      </c>
      <c r="BO138" s="1">
        <f>GK138*3*D138</f>
        <v>76.724999999999994</v>
      </c>
      <c r="BP138" s="1">
        <f>DO138*3*D138</f>
        <v>89.1</v>
      </c>
      <c r="BQ138" s="1">
        <f>FJ138*3*D138</f>
        <v>69.3</v>
      </c>
      <c r="BR138" s="1">
        <f>GL138*3*D138</f>
        <v>74.25</v>
      </c>
      <c r="BT138">
        <v>40.04</v>
      </c>
      <c r="BU138">
        <v>8.1999999999999993</v>
      </c>
      <c r="BV138" t="s">
        <v>5463</v>
      </c>
      <c r="BW138" t="s">
        <v>5056</v>
      </c>
      <c r="BX138" t="s">
        <v>5057</v>
      </c>
      <c r="BY138" t="s">
        <v>5464</v>
      </c>
      <c r="BZ138" t="s">
        <v>5091</v>
      </c>
      <c r="CA138" t="s">
        <v>2723</v>
      </c>
      <c r="CC138" t="s">
        <v>2438</v>
      </c>
      <c r="CD138" t="s">
        <v>2439</v>
      </c>
      <c r="CE138" t="s">
        <v>2440</v>
      </c>
      <c r="CG138" t="s">
        <v>2647</v>
      </c>
      <c r="CH138" t="s">
        <v>2648</v>
      </c>
      <c r="CI138" t="s">
        <v>2535</v>
      </c>
      <c r="CK138" t="s">
        <v>2649</v>
      </c>
      <c r="CL138" t="s">
        <v>2650</v>
      </c>
      <c r="CM138" t="s">
        <v>2446</v>
      </c>
      <c r="CO138" t="s">
        <v>2651</v>
      </c>
      <c r="CP138" t="s">
        <v>2652</v>
      </c>
      <c r="CQ138" t="s">
        <v>2538</v>
      </c>
      <c r="CS138" t="s">
        <v>3138</v>
      </c>
      <c r="CT138" t="s">
        <v>3139</v>
      </c>
      <c r="CV138">
        <v>9</v>
      </c>
      <c r="CW138">
        <v>9</v>
      </c>
      <c r="CX138">
        <v>9</v>
      </c>
      <c r="CY138">
        <v>9</v>
      </c>
      <c r="CZ138">
        <v>9</v>
      </c>
      <c r="DA138">
        <v>0.1</v>
      </c>
      <c r="DB138">
        <v>0.1</v>
      </c>
      <c r="DC138">
        <v>0.2</v>
      </c>
      <c r="DD138">
        <v>0.3</v>
      </c>
      <c r="DE138">
        <v>0.3</v>
      </c>
      <c r="DF138">
        <v>0.9</v>
      </c>
      <c r="DG138">
        <v>0.9</v>
      </c>
      <c r="DH138">
        <v>1.8</v>
      </c>
      <c r="DI138">
        <v>2.7</v>
      </c>
      <c r="DJ138">
        <v>2.7</v>
      </c>
      <c r="DK138">
        <v>8.1999999999999993</v>
      </c>
      <c r="DL138">
        <v>0</v>
      </c>
      <c r="DM138">
        <v>8.1999999999999993</v>
      </c>
      <c r="DN138">
        <v>8.4</v>
      </c>
      <c r="DO138">
        <f>AVERAGE(CV138:CZ138)</f>
        <v>9</v>
      </c>
      <c r="DQ138">
        <v>8</v>
      </c>
      <c r="DR138" t="s">
        <v>65</v>
      </c>
      <c r="DS138" t="s">
        <v>66</v>
      </c>
      <c r="DT138" t="s">
        <v>123</v>
      </c>
      <c r="DU138" t="s">
        <v>80</v>
      </c>
      <c r="DV138" t="s">
        <v>124</v>
      </c>
      <c r="DW138" t="s">
        <v>3769</v>
      </c>
      <c r="DX138" t="s">
        <v>3770</v>
      </c>
      <c r="DY138" t="s">
        <v>3771</v>
      </c>
      <c r="DZ138" t="s">
        <v>3772</v>
      </c>
      <c r="EA138" t="s">
        <v>3806</v>
      </c>
      <c r="EB138" t="s">
        <v>3807</v>
      </c>
      <c r="EC138" t="s">
        <v>3775</v>
      </c>
      <c r="ED138" t="s">
        <v>3776</v>
      </c>
      <c r="EE138" t="s">
        <v>3819</v>
      </c>
      <c r="EF138" t="s">
        <v>4104</v>
      </c>
      <c r="EG138" t="s">
        <v>4048</v>
      </c>
      <c r="EH138" t="s">
        <v>4015</v>
      </c>
      <c r="EI138" t="s">
        <v>4105</v>
      </c>
      <c r="EJ138" t="s">
        <v>3813</v>
      </c>
      <c r="EK138" t="s">
        <v>4049</v>
      </c>
      <c r="EL138" t="s">
        <v>3815</v>
      </c>
      <c r="EM138" t="s">
        <v>3816</v>
      </c>
      <c r="EN138" t="s">
        <v>4050</v>
      </c>
      <c r="EO138" t="s">
        <v>4018</v>
      </c>
      <c r="EP138" t="s">
        <v>4051</v>
      </c>
      <c r="EQ138">
        <v>7</v>
      </c>
      <c r="ER138">
        <v>8</v>
      </c>
      <c r="ES138">
        <v>7</v>
      </c>
      <c r="ET138">
        <v>7</v>
      </c>
      <c r="EU138">
        <v>8</v>
      </c>
      <c r="EV138">
        <v>0.1</v>
      </c>
      <c r="EW138">
        <v>0.1</v>
      </c>
      <c r="EX138">
        <v>0.2</v>
      </c>
      <c r="EY138">
        <v>0.3</v>
      </c>
      <c r="EZ138">
        <v>0.3</v>
      </c>
      <c r="FA138">
        <f>EV138*EQ138</f>
        <v>0.70000000000000007</v>
      </c>
      <c r="FB138">
        <f>EW138*ER138</f>
        <v>0.8</v>
      </c>
      <c r="FC138">
        <f>EX138*ES138</f>
        <v>1.4000000000000001</v>
      </c>
      <c r="FD138">
        <f>EY138*ET138</f>
        <v>2.1</v>
      </c>
      <c r="FE138">
        <f>EZ138*EU138</f>
        <v>2.4</v>
      </c>
      <c r="FF138">
        <v>20</v>
      </c>
      <c r="FG138">
        <v>0</v>
      </c>
      <c r="FH138">
        <v>8</v>
      </c>
      <c r="FI138">
        <f>FA138+FB138+FC138+FD138+FE138</f>
        <v>7.4</v>
      </c>
      <c r="FJ138">
        <f>MEDIAN(EQ138:EU138)</f>
        <v>7</v>
      </c>
      <c r="FL138">
        <v>41.36</v>
      </c>
      <c r="FM138">
        <v>7.4</v>
      </c>
      <c r="FN138" t="s">
        <v>1258</v>
      </c>
      <c r="FO138" t="s">
        <v>1259</v>
      </c>
      <c r="FP138" t="s">
        <v>1260</v>
      </c>
      <c r="FQ138" t="s">
        <v>1261</v>
      </c>
      <c r="FR138" t="s">
        <v>1262</v>
      </c>
      <c r="FS138">
        <v>7</v>
      </c>
      <c r="FT138">
        <v>8</v>
      </c>
      <c r="FU138">
        <v>6.5</v>
      </c>
      <c r="FV138">
        <v>9</v>
      </c>
      <c r="FW138">
        <v>7.5</v>
      </c>
      <c r="FX138">
        <v>0.1</v>
      </c>
      <c r="FY138">
        <v>0.1</v>
      </c>
      <c r="FZ138">
        <v>0.2</v>
      </c>
      <c r="GA138">
        <v>0.3</v>
      </c>
      <c r="GB138">
        <v>0.3</v>
      </c>
      <c r="GC138">
        <f>FS138*FX138</f>
        <v>0.70000000000000007</v>
      </c>
      <c r="GD138">
        <f>FT138*FY138</f>
        <v>0.8</v>
      </c>
      <c r="GE138">
        <f>FU138*FZ138</f>
        <v>1.3</v>
      </c>
      <c r="GF138">
        <f>FV138*GA138</f>
        <v>2.6999999999999997</v>
      </c>
      <c r="GG138">
        <f>FW138*GB138</f>
        <v>2.25</v>
      </c>
      <c r="GH138">
        <v>7.45</v>
      </c>
      <c r="GI138">
        <v>0</v>
      </c>
      <c r="GJ138">
        <v>7.4</v>
      </c>
      <c r="GK138">
        <f>GC138+GD138+GE138+GF138+GG138</f>
        <v>7.75</v>
      </c>
      <c r="GL138">
        <f>MEDIAN(FS138:FW138)</f>
        <v>7.5</v>
      </c>
    </row>
    <row r="139" spans="1:194" hidden="1" x14ac:dyDescent="0.25">
      <c r="A139">
        <v>138</v>
      </c>
      <c r="B139" t="s">
        <v>2</v>
      </c>
      <c r="C139" s="4">
        <v>89.1</v>
      </c>
      <c r="D139">
        <v>3.3</v>
      </c>
      <c r="E139" s="1">
        <f>C139/3/D139</f>
        <v>9</v>
      </c>
      <c r="G139">
        <v>34.729999999999997</v>
      </c>
      <c r="H139">
        <v>7.4</v>
      </c>
      <c r="I139">
        <f>H139*D139*3</f>
        <v>73.259999999999991</v>
      </c>
      <c r="J139">
        <v>17.53</v>
      </c>
      <c r="K139">
        <v>9</v>
      </c>
      <c r="L139" s="3">
        <f>K139*3*D139</f>
        <v>89.1</v>
      </c>
      <c r="M139">
        <v>5.09</v>
      </c>
      <c r="N139">
        <v>5</v>
      </c>
      <c r="O139">
        <f>N139*D139*3</f>
        <v>49.5</v>
      </c>
      <c r="P139" s="5">
        <v>7.2</v>
      </c>
      <c r="Q139" s="5">
        <f>P139*D139*3</f>
        <v>71.28</v>
      </c>
      <c r="S139" t="s">
        <v>6272</v>
      </c>
      <c r="T139">
        <v>5.3</v>
      </c>
      <c r="U139" s="8">
        <f>T139*D139*3</f>
        <v>52.47</v>
      </c>
      <c r="V139">
        <v>31.29</v>
      </c>
      <c r="W139">
        <v>8</v>
      </c>
      <c r="X139" s="5">
        <f>W139*D139*3</f>
        <v>79.199999999999989</v>
      </c>
      <c r="Y139">
        <v>11.21</v>
      </c>
      <c r="Z139">
        <v>7.5</v>
      </c>
      <c r="AA139">
        <f>Z139*D139*3</f>
        <v>74.25</v>
      </c>
      <c r="AC139">
        <v>46.96</v>
      </c>
      <c r="AD139">
        <v>8</v>
      </c>
      <c r="AE139" s="1">
        <f>AD139*3*D139</f>
        <v>79.199999999999989</v>
      </c>
      <c r="AF139">
        <v>11.84</v>
      </c>
      <c r="AG139" s="5">
        <v>7</v>
      </c>
      <c r="AH139" s="5">
        <f>AG139*D139*3</f>
        <v>69.3</v>
      </c>
      <c r="AI139" s="13"/>
      <c r="AJ139">
        <v>2.7</v>
      </c>
      <c r="AK139" s="8">
        <f>AJ139*D139*3</f>
        <v>26.73</v>
      </c>
      <c r="AL139" s="13"/>
      <c r="AM139">
        <v>30.37</v>
      </c>
      <c r="AN139">
        <v>7.2</v>
      </c>
      <c r="AO139" s="8">
        <f>AN139*D139*3</f>
        <v>71.28</v>
      </c>
      <c r="AP139">
        <v>15.06</v>
      </c>
      <c r="AQ139">
        <v>10</v>
      </c>
      <c r="AR139">
        <f>AQ139*D139*3</f>
        <v>99</v>
      </c>
      <c r="AT139">
        <v>7.2</v>
      </c>
      <c r="AU139">
        <f>AT139*D139*3</f>
        <v>71.28</v>
      </c>
      <c r="AW139">
        <v>26.62</v>
      </c>
      <c r="AX139">
        <v>9.3000000000000007</v>
      </c>
      <c r="AY139">
        <f>AX139*D139*3</f>
        <v>92.070000000000007</v>
      </c>
      <c r="AZ139">
        <v>26.62</v>
      </c>
      <c r="BA139">
        <v>9.1</v>
      </c>
      <c r="BB139">
        <f>BA139*D139*3</f>
        <v>90.089999999999989</v>
      </c>
      <c r="BD139">
        <v>9</v>
      </c>
      <c r="BE139">
        <f>BD139*D139*3</f>
        <v>89.1</v>
      </c>
      <c r="BG139" s="10"/>
      <c r="BH139" s="1">
        <f>CHOOSE(MATCH(MIN(ABS(BP139-C139),ABS(BQ139-C139),ABS(BR139-C139)),CHOOSE({1;2;3},ABS(BP139-C139),ABS(BQ139-C139),ABS(BR139-C139)),0),BP139,BQ139,BR139)</f>
        <v>85.139999999999986</v>
      </c>
      <c r="BJ139" s="1" cm="1">
        <f t="array" ref="BJ139">(INDEX(_xlfn._xlws.SORT(CHOOSE({1;2;3;4;5;6},BQ139,BR139,L139,AE139,BO139,BP139)),3) + INDEX(_xlfn._xlws.SORT(CHOOSE({1;2;3;4;5;6},BQ139,BR139,L139,AE139,BO139,BP139)),4))/2</f>
        <v>79.199999999999989</v>
      </c>
      <c r="BK139">
        <v>9.0137014108333506</v>
      </c>
      <c r="BL139" t="s">
        <v>6117</v>
      </c>
      <c r="BM139" s="1">
        <f>BK139*3*D139</f>
        <v>89.235643967250169</v>
      </c>
      <c r="BN139" s="1">
        <f>BM139-C139</f>
        <v>0.13564396725017502</v>
      </c>
      <c r="BO139" s="1">
        <f>GK139*3*D139</f>
        <v>49.5</v>
      </c>
      <c r="BP139" s="1">
        <f>DO139*3*D139</f>
        <v>85.139999999999986</v>
      </c>
      <c r="BQ139" s="1">
        <f>FJ139*3*D139</f>
        <v>79.199999999999989</v>
      </c>
      <c r="BR139" s="1">
        <f>GL139*3*D139</f>
        <v>39.599999999999994</v>
      </c>
      <c r="BT139">
        <v>34.729999999999997</v>
      </c>
      <c r="BU139">
        <v>7.4</v>
      </c>
      <c r="BV139" t="s">
        <v>5114</v>
      </c>
      <c r="BW139" t="s">
        <v>5288</v>
      </c>
      <c r="BX139" t="s">
        <v>5465</v>
      </c>
      <c r="BY139" t="s">
        <v>5466</v>
      </c>
      <c r="BZ139" t="s">
        <v>5467</v>
      </c>
      <c r="CA139" t="s">
        <v>2550</v>
      </c>
      <c r="CC139" t="s">
        <v>2634</v>
      </c>
      <c r="CD139" t="s">
        <v>3031</v>
      </c>
      <c r="CE139" t="s">
        <v>2553</v>
      </c>
      <c r="CG139" t="s">
        <v>2634</v>
      </c>
      <c r="CH139" t="s">
        <v>2773</v>
      </c>
      <c r="CI139" t="s">
        <v>2774</v>
      </c>
      <c r="CK139" t="s">
        <v>2634</v>
      </c>
      <c r="CL139" t="s">
        <v>2775</v>
      </c>
      <c r="CM139" t="s">
        <v>2595</v>
      </c>
      <c r="CO139" t="s">
        <v>2634</v>
      </c>
      <c r="CP139" t="s">
        <v>2776</v>
      </c>
      <c r="CQ139" t="s">
        <v>2777</v>
      </c>
      <c r="CR139" t="s">
        <v>2778</v>
      </c>
      <c r="CS139" t="s">
        <v>3032</v>
      </c>
      <c r="CT139" t="s">
        <v>3033</v>
      </c>
      <c r="CV139">
        <v>9</v>
      </c>
      <c r="CW139">
        <v>9</v>
      </c>
      <c r="CX139">
        <v>9</v>
      </c>
      <c r="CY139">
        <v>9</v>
      </c>
      <c r="CZ139">
        <v>7</v>
      </c>
      <c r="DA139">
        <v>0.1</v>
      </c>
      <c r="DB139">
        <v>0.1</v>
      </c>
      <c r="DC139">
        <v>0.2</v>
      </c>
      <c r="DD139">
        <v>0.3</v>
      </c>
      <c r="DE139">
        <v>0.3</v>
      </c>
      <c r="DF139">
        <v>0.9</v>
      </c>
      <c r="DG139">
        <v>0.9</v>
      </c>
      <c r="DH139">
        <v>1.8</v>
      </c>
      <c r="DI139">
        <v>2.7</v>
      </c>
      <c r="DJ139">
        <v>2.1</v>
      </c>
      <c r="DK139">
        <v>7.4</v>
      </c>
      <c r="DL139">
        <v>0</v>
      </c>
      <c r="DM139">
        <v>7.4</v>
      </c>
      <c r="DN139">
        <v>9</v>
      </c>
      <c r="DO139">
        <f>AVERAGE(CV139:CZ139)</f>
        <v>8.6</v>
      </c>
      <c r="DQ139">
        <v>8</v>
      </c>
      <c r="DR139" t="s">
        <v>47</v>
      </c>
      <c r="DS139" t="s">
        <v>48</v>
      </c>
      <c r="DT139" t="s">
        <v>49</v>
      </c>
      <c r="DU139" t="s">
        <v>179</v>
      </c>
      <c r="DV139" t="s">
        <v>51</v>
      </c>
      <c r="DW139" t="s">
        <v>3769</v>
      </c>
      <c r="DX139" t="s">
        <v>4186</v>
      </c>
      <c r="DY139" t="s">
        <v>3826</v>
      </c>
      <c r="DZ139" t="s">
        <v>3827</v>
      </c>
      <c r="EA139" t="s">
        <v>3828</v>
      </c>
      <c r="EB139" t="s">
        <v>3793</v>
      </c>
      <c r="EC139" t="s">
        <v>3829</v>
      </c>
      <c r="ED139" t="s">
        <v>3827</v>
      </c>
      <c r="EE139" t="s">
        <v>3830</v>
      </c>
      <c r="EF139" t="s">
        <v>3797</v>
      </c>
      <c r="EG139" t="s">
        <v>3831</v>
      </c>
      <c r="EH139" t="s">
        <v>3827</v>
      </c>
      <c r="EI139" t="s">
        <v>3832</v>
      </c>
      <c r="EJ139" t="s">
        <v>3800</v>
      </c>
      <c r="EK139" t="s">
        <v>3833</v>
      </c>
      <c r="EL139" t="s">
        <v>3827</v>
      </c>
      <c r="EM139" t="s">
        <v>3834</v>
      </c>
      <c r="EN139" t="s">
        <v>3803</v>
      </c>
      <c r="EO139" t="s">
        <v>3835</v>
      </c>
      <c r="EP139" t="s">
        <v>3827</v>
      </c>
      <c r="EQ139">
        <v>8</v>
      </c>
      <c r="ER139">
        <v>8</v>
      </c>
      <c r="ES139">
        <v>8</v>
      </c>
      <c r="ET139">
        <v>8</v>
      </c>
      <c r="EU139">
        <v>8</v>
      </c>
      <c r="EV139">
        <v>0.1</v>
      </c>
      <c r="EW139">
        <v>0.1</v>
      </c>
      <c r="EX139">
        <v>0.2</v>
      </c>
      <c r="EY139">
        <v>0.3</v>
      </c>
      <c r="EZ139">
        <v>0.3</v>
      </c>
      <c r="FA139">
        <f>EV139*EQ139</f>
        <v>0.8</v>
      </c>
      <c r="FB139">
        <f>EW139*ER139</f>
        <v>0.8</v>
      </c>
      <c r="FC139">
        <f>EX139*ES139</f>
        <v>1.6</v>
      </c>
      <c r="FD139">
        <f>EY139*ET139</f>
        <v>2.4</v>
      </c>
      <c r="FE139">
        <f>EZ139*EU139</f>
        <v>2.4</v>
      </c>
      <c r="FF139">
        <v>16</v>
      </c>
      <c r="FG139">
        <v>0</v>
      </c>
      <c r="FH139">
        <v>8</v>
      </c>
      <c r="FI139">
        <f>FA139+FB139+FC139+FD139+FE139</f>
        <v>8</v>
      </c>
      <c r="FJ139">
        <f>MEDIAN(EQ139:EU139)</f>
        <v>8</v>
      </c>
      <c r="FL139">
        <v>38.520000000000003</v>
      </c>
      <c r="FM139">
        <v>9</v>
      </c>
      <c r="FN139" t="s">
        <v>1263</v>
      </c>
      <c r="FO139" t="s">
        <v>1018</v>
      </c>
      <c r="FP139" t="s">
        <v>1264</v>
      </c>
      <c r="FQ139" t="s">
        <v>606</v>
      </c>
      <c r="FR139" t="s">
        <v>1265</v>
      </c>
      <c r="FS139">
        <v>4</v>
      </c>
      <c r="FT139">
        <v>3</v>
      </c>
      <c r="FU139">
        <v>2</v>
      </c>
      <c r="FV139">
        <v>6</v>
      </c>
      <c r="FW139">
        <v>7</v>
      </c>
      <c r="FX139">
        <v>0.1</v>
      </c>
      <c r="FY139">
        <v>0.1</v>
      </c>
      <c r="FZ139">
        <v>0.2</v>
      </c>
      <c r="GA139">
        <v>0.3</v>
      </c>
      <c r="GB139">
        <v>0.3</v>
      </c>
      <c r="GC139">
        <f>FS139*FX139</f>
        <v>0.4</v>
      </c>
      <c r="GD139">
        <f>FT139*FY139</f>
        <v>0.30000000000000004</v>
      </c>
      <c r="GE139">
        <f>FU139*FZ139</f>
        <v>0.4</v>
      </c>
      <c r="GF139">
        <f>FV139*GA139</f>
        <v>1.7999999999999998</v>
      </c>
      <c r="GG139">
        <f>FW139*GB139</f>
        <v>2.1</v>
      </c>
      <c r="GH139">
        <v>9</v>
      </c>
      <c r="GI139">
        <v>0</v>
      </c>
      <c r="GJ139">
        <v>9</v>
      </c>
      <c r="GK139">
        <f>GC139+GD139+GE139+GF139+GG139</f>
        <v>5</v>
      </c>
      <c r="GL139">
        <f>MEDIAN(FS139:FW139)</f>
        <v>4</v>
      </c>
    </row>
    <row r="140" spans="1:194" hidden="1" x14ac:dyDescent="0.25">
      <c r="A140">
        <v>139</v>
      </c>
      <c r="B140" t="s">
        <v>2</v>
      </c>
      <c r="C140" s="4">
        <v>81</v>
      </c>
      <c r="D140">
        <v>3.6</v>
      </c>
      <c r="E140" s="1">
        <f>C140/3/D140</f>
        <v>7.5</v>
      </c>
      <c r="G140">
        <v>38.54</v>
      </c>
      <c r="H140">
        <v>8.1999999999999993</v>
      </c>
      <c r="I140">
        <f>H140*D140*3</f>
        <v>88.56</v>
      </c>
      <c r="J140">
        <v>18.22</v>
      </c>
      <c r="K140">
        <v>9</v>
      </c>
      <c r="L140" s="3">
        <f>K140*3*D140</f>
        <v>97.2</v>
      </c>
      <c r="M140">
        <v>5.49</v>
      </c>
      <c r="N140">
        <v>5.4</v>
      </c>
      <c r="O140">
        <f>N140*D140*3</f>
        <v>58.320000000000007</v>
      </c>
      <c r="P140" s="5">
        <v>7.8</v>
      </c>
      <c r="Q140" s="5">
        <f>P140*D140*3</f>
        <v>84.24</v>
      </c>
      <c r="S140" t="s">
        <v>6273</v>
      </c>
      <c r="T140">
        <v>7</v>
      </c>
      <c r="U140" s="8">
        <f>T140*D140*3</f>
        <v>75.599999999999994</v>
      </c>
      <c r="V140">
        <v>30.88</v>
      </c>
      <c r="W140">
        <v>9</v>
      </c>
      <c r="X140" s="5">
        <f>W140*D140*3</f>
        <v>97.199999999999989</v>
      </c>
      <c r="Y140">
        <v>10.99</v>
      </c>
      <c r="Z140">
        <v>7.8</v>
      </c>
      <c r="AA140">
        <f>Z140*D140*3</f>
        <v>84.24</v>
      </c>
      <c r="AC140">
        <v>52.9</v>
      </c>
      <c r="AD140">
        <v>7.1</v>
      </c>
      <c r="AE140" s="1">
        <f>AD140*3*D140</f>
        <v>76.679999999999993</v>
      </c>
      <c r="AF140">
        <v>12.32</v>
      </c>
      <c r="AG140" s="5">
        <v>7</v>
      </c>
      <c r="AH140" s="5">
        <f>AG140*D140*3</f>
        <v>75.599999999999994</v>
      </c>
      <c r="AI140" s="13"/>
      <c r="AJ140">
        <v>2.7</v>
      </c>
      <c r="AK140" s="8">
        <f>AJ140*D140*3</f>
        <v>29.160000000000004</v>
      </c>
      <c r="AL140" s="13"/>
      <c r="AM140">
        <v>31.53</v>
      </c>
      <c r="AN140">
        <v>7.7</v>
      </c>
      <c r="AO140" s="8">
        <f>AN140*D140*3</f>
        <v>83.160000000000011</v>
      </c>
      <c r="AP140">
        <v>15.01</v>
      </c>
      <c r="AQ140">
        <v>9</v>
      </c>
      <c r="AR140">
        <f>AQ140*D140*3</f>
        <v>97.199999999999989</v>
      </c>
      <c r="AT140">
        <v>9.1999999999999993</v>
      </c>
      <c r="AU140">
        <f>AT140*D140*3</f>
        <v>99.359999999999985</v>
      </c>
      <c r="AW140">
        <v>22.93</v>
      </c>
      <c r="AX140">
        <v>9.6</v>
      </c>
      <c r="AY140">
        <f>AX140*D140*3</f>
        <v>103.68</v>
      </c>
      <c r="AZ140">
        <v>22.93</v>
      </c>
      <c r="BA140">
        <v>8.4</v>
      </c>
      <c r="BB140">
        <f>BA140*D140*3</f>
        <v>90.72</v>
      </c>
      <c r="BD140">
        <v>8.6999999999999993</v>
      </c>
      <c r="BE140">
        <f>BD140*D140*3</f>
        <v>93.96</v>
      </c>
      <c r="BG140" s="10"/>
      <c r="BH140" s="1">
        <f>CHOOSE(MATCH(MIN(ABS(BP140-C140),ABS(BQ140-C140),ABS(BR140-C140)),CHOOSE({1;2;3},ABS(BP140-C140),ABS(BQ140-C140),ABS(BR140-C140)),0),BP140,BQ140,BR140)</f>
        <v>75.600000000000009</v>
      </c>
      <c r="BJ140" s="1" cm="1">
        <f t="array" ref="BJ140">(INDEX(_xlfn._xlws.SORT(CHOOSE({1;2;3;4;5;6},BQ140,BR140,L140,AE140,BO140,BP140)),3) + INDEX(_xlfn._xlws.SORT(CHOOSE({1;2;3;4;5;6},BQ140,BR140,L140,AE140,BO140,BP140)),4))/2</f>
        <v>76.14</v>
      </c>
      <c r="BK140">
        <v>7.4441161302896797</v>
      </c>
      <c r="BL140" t="s">
        <v>6117</v>
      </c>
      <c r="BM140" s="1">
        <f>BK140*3*D140</f>
        <v>80.396454207128542</v>
      </c>
      <c r="BN140" s="1">
        <f>BM140-C140</f>
        <v>-0.60354579287145782</v>
      </c>
      <c r="BO140" s="1">
        <f>GK140*3*D140</f>
        <v>10.8</v>
      </c>
      <c r="BP140" s="1">
        <f>DO140*3*D140</f>
        <v>97.2</v>
      </c>
      <c r="BQ140" s="1">
        <f>FJ140*3*D140</f>
        <v>75.600000000000009</v>
      </c>
      <c r="BR140" s="1">
        <f>GL140*3*D140</f>
        <v>10.8</v>
      </c>
      <c r="BT140">
        <v>38.54</v>
      </c>
      <c r="BU140">
        <v>8.1999999999999993</v>
      </c>
      <c r="BV140" t="s">
        <v>5468</v>
      </c>
      <c r="BW140" t="s">
        <v>5469</v>
      </c>
      <c r="BX140" t="s">
        <v>5470</v>
      </c>
      <c r="BY140" t="s">
        <v>5471</v>
      </c>
      <c r="BZ140" t="s">
        <v>5472</v>
      </c>
      <c r="CA140" t="s">
        <v>2437</v>
      </c>
      <c r="CC140" t="s">
        <v>2438</v>
      </c>
      <c r="CD140" t="s">
        <v>2439</v>
      </c>
      <c r="CE140" t="s">
        <v>2440</v>
      </c>
      <c r="CG140" t="s">
        <v>2647</v>
      </c>
      <c r="CH140" t="s">
        <v>2648</v>
      </c>
      <c r="CI140" t="s">
        <v>2535</v>
      </c>
      <c r="CK140" t="s">
        <v>2649</v>
      </c>
      <c r="CL140" t="s">
        <v>2650</v>
      </c>
      <c r="CM140" t="s">
        <v>2658</v>
      </c>
      <c r="CO140" t="s">
        <v>3140</v>
      </c>
      <c r="CP140" t="s">
        <v>3141</v>
      </c>
      <c r="CQ140" t="s">
        <v>2666</v>
      </c>
      <c r="CS140" t="s">
        <v>3142</v>
      </c>
      <c r="CT140" t="s">
        <v>3143</v>
      </c>
      <c r="CV140">
        <v>9</v>
      </c>
      <c r="CW140">
        <v>9</v>
      </c>
      <c r="CX140">
        <v>9</v>
      </c>
      <c r="CY140">
        <v>9</v>
      </c>
      <c r="CZ140">
        <v>9</v>
      </c>
      <c r="DA140">
        <v>0.1</v>
      </c>
      <c r="DB140">
        <v>0.1</v>
      </c>
      <c r="DC140">
        <v>0.2</v>
      </c>
      <c r="DD140">
        <v>0.3</v>
      </c>
      <c r="DE140">
        <v>0.3</v>
      </c>
      <c r="DF140">
        <v>0.9</v>
      </c>
      <c r="DG140">
        <v>0.9</v>
      </c>
      <c r="DH140">
        <v>1.8</v>
      </c>
      <c r="DI140">
        <v>2.7</v>
      </c>
      <c r="DJ140">
        <v>2.7</v>
      </c>
      <c r="DK140">
        <v>8.1999999999999993</v>
      </c>
      <c r="DL140">
        <v>0</v>
      </c>
      <c r="DM140">
        <v>8.1999999999999993</v>
      </c>
      <c r="DN140">
        <v>9</v>
      </c>
      <c r="DO140">
        <f>AVERAGE(CV140:CZ140)</f>
        <v>9</v>
      </c>
      <c r="DQ140" t="s">
        <v>27</v>
      </c>
      <c r="DR140" t="s">
        <v>33</v>
      </c>
      <c r="DS140" t="s">
        <v>313</v>
      </c>
      <c r="DT140" t="s">
        <v>279</v>
      </c>
      <c r="DU140" t="s">
        <v>314</v>
      </c>
      <c r="DV140" t="s">
        <v>315</v>
      </c>
      <c r="DW140" t="s">
        <v>3788</v>
      </c>
      <c r="DX140" t="s">
        <v>3789</v>
      </c>
      <c r="DY140" t="s">
        <v>4145</v>
      </c>
      <c r="DZ140" t="s">
        <v>4145</v>
      </c>
      <c r="EA140" t="s">
        <v>3993</v>
      </c>
      <c r="EB140" t="s">
        <v>4146</v>
      </c>
      <c r="EC140" t="s">
        <v>4424</v>
      </c>
      <c r="ED140" t="s">
        <v>4424</v>
      </c>
      <c r="EE140" t="s">
        <v>4425</v>
      </c>
      <c r="EF140" t="s">
        <v>4426</v>
      </c>
      <c r="EG140" t="s">
        <v>4426</v>
      </c>
      <c r="EH140" t="s">
        <v>4426</v>
      </c>
      <c r="EI140" t="s">
        <v>3981</v>
      </c>
      <c r="EJ140" t="s">
        <v>4496</v>
      </c>
      <c r="EK140" t="s">
        <v>4496</v>
      </c>
      <c r="EL140" t="s">
        <v>4496</v>
      </c>
      <c r="EM140" t="s">
        <v>4497</v>
      </c>
      <c r="EN140" t="s">
        <v>4429</v>
      </c>
      <c r="EO140" t="s">
        <v>4498</v>
      </c>
      <c r="EP140" t="s">
        <v>4498</v>
      </c>
      <c r="EQ140">
        <v>8</v>
      </c>
      <c r="ER140">
        <v>7</v>
      </c>
      <c r="ES140">
        <v>7</v>
      </c>
      <c r="ET140">
        <v>7</v>
      </c>
      <c r="EU140">
        <v>7</v>
      </c>
      <c r="EV140">
        <v>0.1</v>
      </c>
      <c r="EW140">
        <v>0.1</v>
      </c>
      <c r="EX140">
        <v>0.2</v>
      </c>
      <c r="EY140">
        <v>0.3</v>
      </c>
      <c r="EZ140">
        <v>0.3</v>
      </c>
      <c r="FA140">
        <f>EV140*EQ140</f>
        <v>0.8</v>
      </c>
      <c r="FB140">
        <f>EW140*ER140</f>
        <v>0.70000000000000007</v>
      </c>
      <c r="FC140">
        <f>EX140*ES140</f>
        <v>1.4000000000000001</v>
      </c>
      <c r="FD140">
        <f>EY140*ET140</f>
        <v>2.1</v>
      </c>
      <c r="FE140">
        <f>EZ140*EU140</f>
        <v>2.1</v>
      </c>
      <c r="FF140">
        <v>20</v>
      </c>
      <c r="FG140">
        <v>0</v>
      </c>
      <c r="FH140">
        <v>8</v>
      </c>
      <c r="FI140">
        <f>FA140+FB140+FC140+FD140+FE140</f>
        <v>7.1</v>
      </c>
      <c r="FJ140">
        <f>MEDIAN(EQ140:EU140)</f>
        <v>7</v>
      </c>
      <c r="FL140">
        <v>60.52</v>
      </c>
      <c r="FM140">
        <v>1</v>
      </c>
      <c r="FN140" t="s">
        <v>1266</v>
      </c>
      <c r="FO140" t="s">
        <v>1267</v>
      </c>
      <c r="FP140" t="s">
        <v>1268</v>
      </c>
      <c r="FQ140" t="s">
        <v>1269</v>
      </c>
      <c r="FR140" t="s">
        <v>1270</v>
      </c>
      <c r="FS140">
        <v>1</v>
      </c>
      <c r="FT140">
        <v>1</v>
      </c>
      <c r="FU140">
        <v>1</v>
      </c>
      <c r="FV140">
        <v>1</v>
      </c>
      <c r="FW140">
        <v>1</v>
      </c>
      <c r="FX140">
        <v>0.1</v>
      </c>
      <c r="FY140">
        <v>0.1</v>
      </c>
      <c r="FZ140">
        <v>0.2</v>
      </c>
      <c r="GA140">
        <v>0.3</v>
      </c>
      <c r="GB140">
        <v>0.3</v>
      </c>
      <c r="GC140">
        <f>FS140*FX140</f>
        <v>0.1</v>
      </c>
      <c r="GD140">
        <f>FT140*FY140</f>
        <v>0.1</v>
      </c>
      <c r="GE140">
        <f>FU140*FZ140</f>
        <v>0.2</v>
      </c>
      <c r="GF140">
        <f>FV140*GA140</f>
        <v>0.3</v>
      </c>
      <c r="GG140">
        <f>FW140*GB140</f>
        <v>0.3</v>
      </c>
      <c r="GH140">
        <v>1</v>
      </c>
      <c r="GI140">
        <v>0</v>
      </c>
      <c r="GJ140">
        <v>1</v>
      </c>
      <c r="GK140">
        <f>GC140+GD140+GE140+GF140+GG140</f>
        <v>1</v>
      </c>
      <c r="GL140">
        <f>MEDIAN(FS140:FW140)</f>
        <v>1</v>
      </c>
    </row>
    <row r="141" spans="1:194" x14ac:dyDescent="0.25">
      <c r="A141">
        <v>22</v>
      </c>
      <c r="B141" t="s">
        <v>2</v>
      </c>
      <c r="C141" s="4">
        <v>86.4</v>
      </c>
      <c r="D141">
        <v>3.2</v>
      </c>
      <c r="E141" s="1">
        <f>C141/3/D141</f>
        <v>9</v>
      </c>
      <c r="G141">
        <v>36.840000000000003</v>
      </c>
      <c r="H141">
        <v>8.1999999999999993</v>
      </c>
      <c r="I141">
        <f>H141*D141*3</f>
        <v>78.72</v>
      </c>
      <c r="J141">
        <v>15.74</v>
      </c>
      <c r="K141">
        <v>9</v>
      </c>
      <c r="L141" s="3">
        <f>K141*3*D141</f>
        <v>86.4</v>
      </c>
      <c r="M141">
        <v>4.6100000000000003</v>
      </c>
      <c r="N141">
        <v>6</v>
      </c>
      <c r="O141">
        <f>N141*D141*3</f>
        <v>57.600000000000009</v>
      </c>
      <c r="P141" s="5">
        <v>6.5</v>
      </c>
      <c r="Q141" s="5">
        <f>P141*D141*3</f>
        <v>62.400000000000006</v>
      </c>
      <c r="S141" t="s">
        <v>6160</v>
      </c>
      <c r="T141">
        <v>7.4</v>
      </c>
      <c r="U141" s="8">
        <f>T141*D141*3</f>
        <v>71.040000000000006</v>
      </c>
      <c r="V141">
        <v>34.79</v>
      </c>
      <c r="W141">
        <v>8.4</v>
      </c>
      <c r="X141" s="5">
        <f>W141*D141*3</f>
        <v>80.640000000000015</v>
      </c>
      <c r="Y141">
        <v>11.14</v>
      </c>
      <c r="Z141">
        <v>8</v>
      </c>
      <c r="AA141">
        <f>Z141*D141*3</f>
        <v>76.800000000000011</v>
      </c>
      <c r="AC141">
        <v>45.74</v>
      </c>
      <c r="AD141">
        <v>8</v>
      </c>
      <c r="AE141" s="1">
        <f>AD141*3*D141</f>
        <v>76.800000000000011</v>
      </c>
      <c r="AF141">
        <v>11.88</v>
      </c>
      <c r="AG141" s="5">
        <v>7</v>
      </c>
      <c r="AH141" s="5">
        <f>AG141*D141*3</f>
        <v>67.2</v>
      </c>
      <c r="AI141" s="13"/>
      <c r="AK141" s="8">
        <f>AJ141*D141*3</f>
        <v>0</v>
      </c>
      <c r="AL141" s="13"/>
      <c r="AM141">
        <v>30.97</v>
      </c>
      <c r="AN141">
        <v>7.9</v>
      </c>
      <c r="AO141" s="8">
        <f>AN141*D141*3</f>
        <v>75.84</v>
      </c>
      <c r="AP141">
        <v>14.51</v>
      </c>
      <c r="AQ141">
        <v>9.5</v>
      </c>
      <c r="AR141">
        <f>AQ141*D141*3</f>
        <v>91.2</v>
      </c>
      <c r="AS141">
        <v>10.6</v>
      </c>
      <c r="AT141">
        <v>9</v>
      </c>
      <c r="AU141">
        <f>AT141*D141*3</f>
        <v>86.4</v>
      </c>
      <c r="AW141">
        <v>24.57</v>
      </c>
      <c r="AX141">
        <v>8.8000000000000007</v>
      </c>
      <c r="AY141">
        <f>AX141*D141*3</f>
        <v>84.480000000000018</v>
      </c>
      <c r="AZ141">
        <v>24.57</v>
      </c>
      <c r="BA141">
        <v>9</v>
      </c>
      <c r="BB141">
        <f>BA141*D141*3</f>
        <v>86.4</v>
      </c>
      <c r="BD141">
        <v>8.9</v>
      </c>
      <c r="BE141">
        <f>BD141*D141*3</f>
        <v>85.440000000000012</v>
      </c>
      <c r="BG141" s="10"/>
      <c r="BH141" s="1">
        <f>CHOOSE(MATCH(MIN(ABS(BP141-C141),ABS(BQ141-C141),ABS(BR141-C141)),CHOOSE({1;2;3},ABS(BP141-C141),ABS(BQ141-C141),ABS(BR141-C141)),0),BP141,BQ141,BR141)</f>
        <v>86.4</v>
      </c>
      <c r="BJ141" s="1" cm="1">
        <f t="array" ref="BJ141">(INDEX(_xlfn._xlws.SORT(CHOOSE({1;2;3;4;5;6},BQ141,BR141,L141,AE141,BO141,BP141)),3) + INDEX(_xlfn._xlws.SORT(CHOOSE({1;2;3;4;5;6},BQ141,BR141,L141,AE141,BO141,BP141)),4))/2</f>
        <v>76.800000000000011</v>
      </c>
      <c r="BK141">
        <v>8.7250536473965798</v>
      </c>
      <c r="BL141" s="11" t="s">
        <v>6116</v>
      </c>
      <c r="BM141" s="1">
        <f>BK141*3*D141</f>
        <v>83.760515015007172</v>
      </c>
      <c r="BN141" s="1">
        <f>BM141-C141</f>
        <v>-2.6394849849928335</v>
      </c>
      <c r="BO141" s="1">
        <f>GK141*3*D141</f>
        <v>39.840000000000003</v>
      </c>
      <c r="BP141" s="1">
        <f>DO141*3*D141</f>
        <v>86.4</v>
      </c>
      <c r="BQ141" s="1">
        <f>FJ141*3*D141</f>
        <v>76.800000000000011</v>
      </c>
      <c r="BR141" s="1">
        <f>GL141*3*D141</f>
        <v>28.8</v>
      </c>
      <c r="BT141">
        <v>36.840000000000003</v>
      </c>
      <c r="BU141">
        <v>8.1999999999999993</v>
      </c>
      <c r="BV141" t="s">
        <v>5068</v>
      </c>
      <c r="BW141" t="s">
        <v>5069</v>
      </c>
      <c r="BX141" t="s">
        <v>5070</v>
      </c>
      <c r="BY141" t="s">
        <v>5071</v>
      </c>
      <c r="CA141" t="s">
        <v>2490</v>
      </c>
      <c r="CC141" t="s">
        <v>2525</v>
      </c>
      <c r="CD141" t="s">
        <v>2627</v>
      </c>
      <c r="CE141" t="s">
        <v>2493</v>
      </c>
      <c r="CG141" t="s">
        <v>2494</v>
      </c>
      <c r="CH141" t="s">
        <v>2495</v>
      </c>
      <c r="CI141" t="s">
        <v>2496</v>
      </c>
      <c r="CK141" t="s">
        <v>2497</v>
      </c>
      <c r="CL141" t="s">
        <v>2498</v>
      </c>
      <c r="CM141" t="s">
        <v>2628</v>
      </c>
      <c r="CO141" t="s">
        <v>2629</v>
      </c>
      <c r="CP141" t="s">
        <v>2501</v>
      </c>
      <c r="CQ141" t="s">
        <v>2630</v>
      </c>
      <c r="CR141" t="s">
        <v>2561</v>
      </c>
      <c r="CS141" t="s">
        <v>2631</v>
      </c>
      <c r="CT141" t="s">
        <v>2632</v>
      </c>
      <c r="CV141">
        <v>9</v>
      </c>
      <c r="CW141">
        <v>9</v>
      </c>
      <c r="CX141">
        <v>9</v>
      </c>
      <c r="CY141">
        <v>9</v>
      </c>
      <c r="CZ141">
        <v>9</v>
      </c>
      <c r="DA141">
        <v>0.1</v>
      </c>
      <c r="DB141">
        <v>0.1</v>
      </c>
      <c r="DC141">
        <v>0.2</v>
      </c>
      <c r="DD141">
        <v>0.3</v>
      </c>
      <c r="DE141">
        <v>0.3</v>
      </c>
      <c r="DF141">
        <v>0.9</v>
      </c>
      <c r="DG141">
        <v>0.9</v>
      </c>
      <c r="DH141">
        <v>1.8</v>
      </c>
      <c r="DI141">
        <v>2.7</v>
      </c>
      <c r="DJ141">
        <v>2.7</v>
      </c>
      <c r="DK141">
        <v>8.1999999999999993</v>
      </c>
      <c r="DL141">
        <v>0</v>
      </c>
      <c r="DM141">
        <v>8.1999999999999993</v>
      </c>
      <c r="DN141">
        <v>9</v>
      </c>
      <c r="DO141">
        <f>AVERAGE(CV141:CZ141)</f>
        <v>9</v>
      </c>
      <c r="DQ141">
        <v>8</v>
      </c>
      <c r="DR141" t="s">
        <v>73</v>
      </c>
      <c r="DS141" t="s">
        <v>48</v>
      </c>
      <c r="DT141" t="s">
        <v>49</v>
      </c>
      <c r="DU141" t="s">
        <v>50</v>
      </c>
      <c r="DV141" t="s">
        <v>51</v>
      </c>
      <c r="DW141" t="s">
        <v>3769</v>
      </c>
      <c r="DX141" t="s">
        <v>3789</v>
      </c>
      <c r="DY141" t="s">
        <v>3826</v>
      </c>
      <c r="DZ141" t="s">
        <v>3827</v>
      </c>
      <c r="EA141" t="s">
        <v>3828</v>
      </c>
      <c r="EB141" t="s">
        <v>3793</v>
      </c>
      <c r="EC141" t="s">
        <v>3829</v>
      </c>
      <c r="ED141" t="s">
        <v>3827</v>
      </c>
      <c r="EE141" t="s">
        <v>3830</v>
      </c>
      <c r="EF141" t="s">
        <v>3797</v>
      </c>
      <c r="EG141" t="s">
        <v>3831</v>
      </c>
      <c r="EH141" t="s">
        <v>3827</v>
      </c>
      <c r="EI141" t="s">
        <v>3832</v>
      </c>
      <c r="EJ141" t="s">
        <v>3800</v>
      </c>
      <c r="EK141" t="s">
        <v>3833</v>
      </c>
      <c r="EL141" t="s">
        <v>3827</v>
      </c>
      <c r="EM141" t="s">
        <v>3834</v>
      </c>
      <c r="EN141" t="s">
        <v>3803</v>
      </c>
      <c r="EO141" t="s">
        <v>3835</v>
      </c>
      <c r="EP141" t="s">
        <v>3827</v>
      </c>
      <c r="EQ141">
        <v>8</v>
      </c>
      <c r="ER141">
        <v>8</v>
      </c>
      <c r="ES141">
        <v>8</v>
      </c>
      <c r="ET141">
        <v>8</v>
      </c>
      <c r="EU141">
        <v>8</v>
      </c>
      <c r="EV141">
        <v>0.1</v>
      </c>
      <c r="EW141">
        <v>0.1</v>
      </c>
      <c r="EX141">
        <v>0.2</v>
      </c>
      <c r="EY141">
        <v>0.3</v>
      </c>
      <c r="EZ141">
        <v>0.3</v>
      </c>
      <c r="FA141">
        <f>EV141*EQ141</f>
        <v>0.8</v>
      </c>
      <c r="FB141">
        <f>EW141*ER141</f>
        <v>0.8</v>
      </c>
      <c r="FC141">
        <f>EX141*ES141</f>
        <v>1.6</v>
      </c>
      <c r="FD141">
        <f>EY141*ET141</f>
        <v>2.4</v>
      </c>
      <c r="FE141">
        <f>EZ141*EU141</f>
        <v>2.4</v>
      </c>
      <c r="FF141">
        <v>16</v>
      </c>
      <c r="FG141">
        <v>0</v>
      </c>
      <c r="FH141">
        <v>8</v>
      </c>
      <c r="FI141">
        <f>FA141+FB141+FC141+FD141+FE141</f>
        <v>8</v>
      </c>
      <c r="FJ141">
        <f>MEDIAN(EQ141:EU141)</f>
        <v>8</v>
      </c>
      <c r="FL141">
        <v>44.28</v>
      </c>
      <c r="FN141" t="s">
        <v>705</v>
      </c>
      <c r="FO141" t="s">
        <v>706</v>
      </c>
      <c r="FP141" t="s">
        <v>707</v>
      </c>
      <c r="FQ141" t="s">
        <v>708</v>
      </c>
      <c r="FR141" t="s">
        <v>709</v>
      </c>
      <c r="FS141">
        <v>2.5</v>
      </c>
      <c r="FT141">
        <v>1.5</v>
      </c>
      <c r="FU141">
        <v>3</v>
      </c>
      <c r="FV141">
        <v>4.5</v>
      </c>
      <c r="FW141">
        <v>6</v>
      </c>
      <c r="FX141">
        <v>0.1</v>
      </c>
      <c r="FY141">
        <v>0.1</v>
      </c>
      <c r="FZ141">
        <v>0.2</v>
      </c>
      <c r="GA141">
        <v>0.3</v>
      </c>
      <c r="GB141">
        <v>0.3</v>
      </c>
      <c r="GC141">
        <f>FS141*FX141</f>
        <v>0.25</v>
      </c>
      <c r="GD141">
        <f>FT141*FY141</f>
        <v>0.15000000000000002</v>
      </c>
      <c r="GE141">
        <f>FU141*FZ141</f>
        <v>0.60000000000000009</v>
      </c>
      <c r="GF141">
        <f>FV141*GA141</f>
        <v>1.3499999999999999</v>
      </c>
      <c r="GG141">
        <f>FW141*GB141</f>
        <v>1.7999999999999998</v>
      </c>
      <c r="GH141">
        <v>5</v>
      </c>
      <c r="GJ141">
        <v>5</v>
      </c>
      <c r="GK141">
        <f>GC141+GD141+GE141+GF141+GG141</f>
        <v>4.1499999999999995</v>
      </c>
      <c r="GL141">
        <f>MEDIAN(FS141:FW141)</f>
        <v>3</v>
      </c>
    </row>
    <row r="142" spans="1:194" hidden="1" x14ac:dyDescent="0.25">
      <c r="A142">
        <v>141</v>
      </c>
      <c r="B142" t="s">
        <v>2</v>
      </c>
      <c r="C142" s="4">
        <v>86.4</v>
      </c>
      <c r="D142">
        <v>3.6</v>
      </c>
      <c r="E142" s="1">
        <f>C142/3/D142</f>
        <v>8</v>
      </c>
      <c r="G142">
        <v>34.26</v>
      </c>
      <c r="H142">
        <v>7.4</v>
      </c>
      <c r="I142">
        <f>H142*D142*3</f>
        <v>79.92</v>
      </c>
      <c r="J142">
        <v>17.809999999999999</v>
      </c>
      <c r="K142">
        <v>8.4</v>
      </c>
      <c r="L142" s="3">
        <f>K142*3*D142</f>
        <v>90.720000000000013</v>
      </c>
      <c r="M142">
        <v>4.7300000000000004</v>
      </c>
      <c r="N142">
        <v>6</v>
      </c>
      <c r="O142">
        <f>N142*D142*3</f>
        <v>64.800000000000011</v>
      </c>
      <c r="P142" s="5">
        <v>7</v>
      </c>
      <c r="Q142" s="5">
        <f>P142*D142*3</f>
        <v>75.599999999999994</v>
      </c>
      <c r="S142" t="s">
        <v>6275</v>
      </c>
      <c r="T142">
        <v>2</v>
      </c>
      <c r="U142" s="8">
        <f>T142*D142*3</f>
        <v>21.6</v>
      </c>
      <c r="V142">
        <v>33.17</v>
      </c>
      <c r="W142">
        <v>8</v>
      </c>
      <c r="X142" s="5">
        <f>W142*D142*3</f>
        <v>86.4</v>
      </c>
      <c r="Y142">
        <v>9.56</v>
      </c>
      <c r="Z142">
        <v>8</v>
      </c>
      <c r="AA142">
        <f>Z142*D142*3</f>
        <v>86.4</v>
      </c>
      <c r="AC142">
        <v>46.54</v>
      </c>
      <c r="AD142">
        <v>7.3000000000000007</v>
      </c>
      <c r="AE142" s="1">
        <f>AD142*3*D142</f>
        <v>78.84</v>
      </c>
      <c r="AF142">
        <v>11.83</v>
      </c>
      <c r="AG142" s="5">
        <v>7</v>
      </c>
      <c r="AH142" s="5">
        <f>AG142*D142*3</f>
        <v>75.599999999999994</v>
      </c>
      <c r="AI142" s="13"/>
      <c r="AJ142">
        <v>42</v>
      </c>
      <c r="AK142" s="8">
        <f>AJ142*D142*3</f>
        <v>453.6</v>
      </c>
      <c r="AL142" s="13"/>
      <c r="AM142">
        <v>30.6</v>
      </c>
      <c r="AN142">
        <v>7.5</v>
      </c>
      <c r="AO142" s="8">
        <f>AN142*D142*3</f>
        <v>81</v>
      </c>
      <c r="AP142">
        <v>14.59</v>
      </c>
      <c r="AQ142">
        <v>9.5</v>
      </c>
      <c r="AR142">
        <f>AQ142*D142*3</f>
        <v>102.60000000000001</v>
      </c>
      <c r="AT142">
        <v>9</v>
      </c>
      <c r="AU142">
        <f>AT142*D142*3</f>
        <v>97.199999999999989</v>
      </c>
      <c r="AW142">
        <v>26.57</v>
      </c>
      <c r="AX142">
        <v>9.3000000000000007</v>
      </c>
      <c r="AY142">
        <f>AX142*D142*3</f>
        <v>100.44000000000001</v>
      </c>
      <c r="AZ142">
        <v>26.57</v>
      </c>
      <c r="BA142">
        <v>8.6999999999999993</v>
      </c>
      <c r="BB142">
        <f>BA142*D142*3</f>
        <v>93.96</v>
      </c>
      <c r="BD142">
        <v>9</v>
      </c>
      <c r="BE142">
        <f>BD142*D142*3</f>
        <v>97.199999999999989</v>
      </c>
      <c r="BG142" s="10"/>
      <c r="BH142" s="1">
        <f>CHOOSE(MATCH(MIN(ABS(BP142-C142),ABS(BQ142-C142),ABS(BR142-C142)),CHOOSE({1;2;3},ABS(BP142-C142),ABS(BQ142-C142),ABS(BR142-C142)),0),BP142,BQ142,BR142)</f>
        <v>86.4</v>
      </c>
      <c r="BJ142" s="1" cm="1">
        <f t="array" ref="BJ142">(INDEX(_xlfn._xlws.SORT(CHOOSE({1;2;3;4;5;6},BQ142,BR142,L142,AE142,BO142,BP142)),3) + INDEX(_xlfn._xlws.SORT(CHOOSE({1;2;3;4;5;6},BQ142,BR142,L142,AE142,BO142,BP142)),4))/2</f>
        <v>83.699999999999989</v>
      </c>
      <c r="BK142">
        <v>8.0583226294565407</v>
      </c>
      <c r="BL142" t="s">
        <v>6117</v>
      </c>
      <c r="BM142" s="1">
        <f>BK142*3*D142</f>
        <v>87.029884398130648</v>
      </c>
      <c r="BN142" s="1">
        <f>BM142-C142</f>
        <v>0.6298843981306419</v>
      </c>
      <c r="BO142" s="1">
        <f>GK142*3*D142</f>
        <v>80.999999999999986</v>
      </c>
      <c r="BP142" s="1">
        <f>DO142*3*D142</f>
        <v>92.88</v>
      </c>
      <c r="BQ142" s="1">
        <f>FJ142*3*D142</f>
        <v>75.600000000000009</v>
      </c>
      <c r="BR142" s="1">
        <f>GL142*3*D142</f>
        <v>86.4</v>
      </c>
      <c r="BT142">
        <v>34.26</v>
      </c>
      <c r="BU142">
        <v>7.4</v>
      </c>
      <c r="BV142" t="s">
        <v>5003</v>
      </c>
      <c r="BW142" t="s">
        <v>5004</v>
      </c>
      <c r="BX142" t="s">
        <v>5005</v>
      </c>
      <c r="BY142" t="s">
        <v>5092</v>
      </c>
      <c r="BZ142" t="s">
        <v>5292</v>
      </c>
      <c r="CA142" t="s">
        <v>2550</v>
      </c>
      <c r="CC142" t="s">
        <v>2634</v>
      </c>
      <c r="CD142" t="s">
        <v>2635</v>
      </c>
      <c r="CE142" t="s">
        <v>2553</v>
      </c>
      <c r="CG142" t="s">
        <v>2634</v>
      </c>
      <c r="CH142" t="s">
        <v>2773</v>
      </c>
      <c r="CI142" t="s">
        <v>2774</v>
      </c>
      <c r="CK142" t="s">
        <v>2634</v>
      </c>
      <c r="CL142" t="s">
        <v>2775</v>
      </c>
      <c r="CM142" t="s">
        <v>3136</v>
      </c>
      <c r="CO142" t="s">
        <v>2634</v>
      </c>
      <c r="CP142" t="s">
        <v>2776</v>
      </c>
      <c r="CQ142" t="s">
        <v>2777</v>
      </c>
      <c r="CR142" t="s">
        <v>2778</v>
      </c>
      <c r="CS142" t="s">
        <v>2779</v>
      </c>
      <c r="CT142" t="s">
        <v>2780</v>
      </c>
      <c r="CV142">
        <v>9</v>
      </c>
      <c r="CW142">
        <v>9</v>
      </c>
      <c r="CX142">
        <v>9</v>
      </c>
      <c r="CY142">
        <v>9</v>
      </c>
      <c r="CZ142">
        <v>7</v>
      </c>
      <c r="DA142">
        <v>0.1</v>
      </c>
      <c r="DB142">
        <v>0.1</v>
      </c>
      <c r="DC142">
        <v>0.2</v>
      </c>
      <c r="DD142">
        <v>0.3</v>
      </c>
      <c r="DE142">
        <v>0.3</v>
      </c>
      <c r="DF142">
        <v>0.9</v>
      </c>
      <c r="DG142">
        <v>0.9</v>
      </c>
      <c r="DH142">
        <v>1.8</v>
      </c>
      <c r="DI142">
        <v>2.7</v>
      </c>
      <c r="DJ142">
        <v>2.1</v>
      </c>
      <c r="DK142">
        <v>7.4</v>
      </c>
      <c r="DL142">
        <v>0</v>
      </c>
      <c r="DM142">
        <v>7.4</v>
      </c>
      <c r="DN142">
        <v>8.4</v>
      </c>
      <c r="DO142">
        <f>AVERAGE(CV142:CZ142)</f>
        <v>8.6</v>
      </c>
      <c r="DQ142">
        <v>7</v>
      </c>
      <c r="DR142" t="s">
        <v>28</v>
      </c>
      <c r="DS142" t="s">
        <v>108</v>
      </c>
      <c r="DT142" t="s">
        <v>316</v>
      </c>
      <c r="DU142" t="s">
        <v>317</v>
      </c>
      <c r="DV142" t="s">
        <v>318</v>
      </c>
      <c r="DW142" t="s">
        <v>3769</v>
      </c>
      <c r="DX142" t="s">
        <v>3770</v>
      </c>
      <c r="DY142" t="s">
        <v>3771</v>
      </c>
      <c r="DZ142" t="s">
        <v>3772</v>
      </c>
      <c r="EA142" t="s">
        <v>3828</v>
      </c>
      <c r="EB142" t="s">
        <v>3774</v>
      </c>
      <c r="EC142" t="s">
        <v>3775</v>
      </c>
      <c r="ED142" t="s">
        <v>3776</v>
      </c>
      <c r="EE142" t="s">
        <v>3777</v>
      </c>
      <c r="EF142" t="s">
        <v>3778</v>
      </c>
      <c r="EG142" t="s">
        <v>3779</v>
      </c>
      <c r="EH142" t="s">
        <v>3780</v>
      </c>
      <c r="EI142" t="s">
        <v>4499</v>
      </c>
      <c r="EJ142" t="s">
        <v>4174</v>
      </c>
      <c r="EK142" t="s">
        <v>4014</v>
      </c>
      <c r="EL142" t="s">
        <v>3815</v>
      </c>
      <c r="EM142" t="s">
        <v>4500</v>
      </c>
      <c r="EN142" t="s">
        <v>3786</v>
      </c>
      <c r="EO142" t="s">
        <v>4501</v>
      </c>
      <c r="EP142" t="s">
        <v>3818</v>
      </c>
      <c r="EQ142">
        <v>7</v>
      </c>
      <c r="ER142">
        <v>8</v>
      </c>
      <c r="ES142">
        <v>8</v>
      </c>
      <c r="ET142">
        <v>7</v>
      </c>
      <c r="EU142">
        <v>7</v>
      </c>
      <c r="EV142">
        <v>0.1</v>
      </c>
      <c r="EW142">
        <v>0.1</v>
      </c>
      <c r="EX142">
        <v>0.2</v>
      </c>
      <c r="EY142">
        <v>0.3</v>
      </c>
      <c r="EZ142">
        <v>0.3</v>
      </c>
      <c r="FA142">
        <f>EV142*EQ142</f>
        <v>0.70000000000000007</v>
      </c>
      <c r="FB142">
        <f>EW142*ER142</f>
        <v>0.8</v>
      </c>
      <c r="FC142">
        <f>EX142*ES142</f>
        <v>1.6</v>
      </c>
      <c r="FD142">
        <f>EY142*ET142</f>
        <v>2.1</v>
      </c>
      <c r="FE142">
        <f>EZ142*EU142</f>
        <v>2.1</v>
      </c>
      <c r="FF142">
        <v>19</v>
      </c>
      <c r="FG142">
        <v>0</v>
      </c>
      <c r="FH142">
        <v>19</v>
      </c>
      <c r="FI142">
        <f>FA142+FB142+FC142+FD142+FE142</f>
        <v>7.3000000000000007</v>
      </c>
      <c r="FJ142">
        <f>MEDIAN(EQ142:EU142)</f>
        <v>7</v>
      </c>
      <c r="FL142">
        <v>41.63</v>
      </c>
      <c r="FM142">
        <v>7.7</v>
      </c>
      <c r="FN142" t="s">
        <v>1274</v>
      </c>
      <c r="FO142" t="s">
        <v>1275</v>
      </c>
      <c r="FP142" t="s">
        <v>1276</v>
      </c>
      <c r="FQ142" t="s">
        <v>1277</v>
      </c>
      <c r="FR142" t="s">
        <v>1278</v>
      </c>
      <c r="FS142">
        <v>7</v>
      </c>
      <c r="FT142">
        <v>8</v>
      </c>
      <c r="FU142">
        <v>9</v>
      </c>
      <c r="FV142">
        <v>8</v>
      </c>
      <c r="FW142">
        <v>6</v>
      </c>
      <c r="FX142">
        <v>0.1</v>
      </c>
      <c r="FY142">
        <v>0.1</v>
      </c>
      <c r="FZ142">
        <v>0.2</v>
      </c>
      <c r="GA142">
        <v>0.3</v>
      </c>
      <c r="GB142">
        <v>0.3</v>
      </c>
      <c r="GC142">
        <f>FS142*FX142</f>
        <v>0.70000000000000007</v>
      </c>
      <c r="GD142">
        <f>FT142*FY142</f>
        <v>0.8</v>
      </c>
      <c r="GE142">
        <f>FU142*FZ142</f>
        <v>1.8</v>
      </c>
      <c r="GF142">
        <f>FV142*GA142</f>
        <v>2.4</v>
      </c>
      <c r="GG142">
        <f>FW142*GB142</f>
        <v>1.7999999999999998</v>
      </c>
      <c r="GH142">
        <v>7.7</v>
      </c>
      <c r="GI142">
        <v>0</v>
      </c>
      <c r="GJ142">
        <v>7.7</v>
      </c>
      <c r="GK142">
        <f>GC142+GD142+GE142+GF142+GG142</f>
        <v>7.4999999999999991</v>
      </c>
      <c r="GL142">
        <f>MEDIAN(FS142:FW142)</f>
        <v>8</v>
      </c>
    </row>
    <row r="143" spans="1:194" x14ac:dyDescent="0.25">
      <c r="A143">
        <v>360</v>
      </c>
      <c r="B143" t="s">
        <v>2</v>
      </c>
      <c r="C143" s="4">
        <v>86.4</v>
      </c>
      <c r="D143">
        <v>3.6</v>
      </c>
      <c r="E143" s="1">
        <f>C143/3/D143</f>
        <v>8</v>
      </c>
      <c r="G143">
        <v>39.92</v>
      </c>
      <c r="H143">
        <v>8.6999999999999993</v>
      </c>
      <c r="I143">
        <f>H143*D143*3</f>
        <v>93.96</v>
      </c>
      <c r="J143">
        <v>19.25</v>
      </c>
      <c r="K143">
        <v>8.6999999999999993</v>
      </c>
      <c r="L143" s="3">
        <f>K143*3*D143</f>
        <v>93.96</v>
      </c>
      <c r="M143">
        <v>4.4800000000000004</v>
      </c>
      <c r="N143">
        <v>8.9</v>
      </c>
      <c r="O143">
        <f>N143*D143*3</f>
        <v>96.12</v>
      </c>
      <c r="P143" s="5">
        <v>7.9</v>
      </c>
      <c r="Q143" s="5">
        <f>P143*D143*3</f>
        <v>85.320000000000007</v>
      </c>
      <c r="S143" t="s">
        <v>6481</v>
      </c>
      <c r="T143">
        <v>3.8</v>
      </c>
      <c r="U143" s="8">
        <f>T143*D143*3</f>
        <v>41.04</v>
      </c>
      <c r="V143">
        <v>37.770000000000003</v>
      </c>
      <c r="W143">
        <v>7.9</v>
      </c>
      <c r="X143" s="5">
        <f>W143*D143*3</f>
        <v>85.320000000000007</v>
      </c>
      <c r="Y143">
        <v>12.56</v>
      </c>
      <c r="Z143">
        <v>7.8</v>
      </c>
      <c r="AA143">
        <f>Z143*D143*3</f>
        <v>84.24</v>
      </c>
      <c r="AC143">
        <v>144.91999999999999</v>
      </c>
      <c r="AD143">
        <v>6.4</v>
      </c>
      <c r="AE143" s="1">
        <f>AD143*3*D143</f>
        <v>69.120000000000019</v>
      </c>
      <c r="AF143">
        <v>12.26</v>
      </c>
      <c r="AG143" s="5">
        <v>7</v>
      </c>
      <c r="AH143" s="5">
        <f>AG143*D143*3</f>
        <v>75.599999999999994</v>
      </c>
      <c r="AI143" s="13"/>
      <c r="AK143" s="8">
        <f>AJ143*D143*3</f>
        <v>0</v>
      </c>
      <c r="AL143" s="13"/>
      <c r="AM143">
        <v>28.42</v>
      </c>
      <c r="AN143">
        <v>7.6</v>
      </c>
      <c r="AO143" s="8">
        <f>AN143*D143*3</f>
        <v>82.08</v>
      </c>
      <c r="AP143">
        <v>14.7</v>
      </c>
      <c r="AQ143">
        <v>9.5</v>
      </c>
      <c r="AR143">
        <f>AQ143*D143*3</f>
        <v>102.60000000000001</v>
      </c>
      <c r="AT143">
        <v>8.9</v>
      </c>
      <c r="AU143">
        <f>AT143*D143*3</f>
        <v>96.12</v>
      </c>
      <c r="AX143">
        <v>8.8000000000000007</v>
      </c>
      <c r="AY143">
        <f>AX143*D143*3</f>
        <v>95.04</v>
      </c>
      <c r="BA143">
        <v>8.6</v>
      </c>
      <c r="BB143">
        <f>BA143*D143*3</f>
        <v>92.88</v>
      </c>
      <c r="BC143">
        <v>27.27</v>
      </c>
      <c r="BD143">
        <v>8.9</v>
      </c>
      <c r="BE143">
        <f>BD143*D143*3</f>
        <v>96.12</v>
      </c>
      <c r="BG143" s="10"/>
      <c r="BH143" s="1">
        <f>CHOOSE(MATCH(MIN(ABS(BP143-C143),ABS(BQ143-C143),ABS(BR143-C143)),CHOOSE({1;2;3},ABS(BP143-C143),ABS(BQ143-C143),ABS(BR143-C143)),0),BP143,BQ143,BR143)</f>
        <v>95.04</v>
      </c>
      <c r="BJ143" s="1" cm="1">
        <f t="array" ref="BJ143">(INDEX(_xlfn._xlws.SORT(CHOOSE({1;2;3;4;5;6},BQ143,BR143,L143,AE143,BO143,BP143)),3) + INDEX(_xlfn._xlws.SORT(CHOOSE({1;2;3;4;5;6},BQ143,BR143,L143,AE143,BO143,BP143)),4))/2</f>
        <v>69.660000000000011</v>
      </c>
      <c r="BK143">
        <v>7.8335782859402103</v>
      </c>
      <c r="BL143" s="11" t="s">
        <v>6116</v>
      </c>
      <c r="BM143" s="1">
        <f>BK143*3*D143</f>
        <v>84.60264548815428</v>
      </c>
      <c r="BN143" s="1">
        <f>BM143-C143</f>
        <v>-1.7973545118457253</v>
      </c>
      <c r="BO143" s="1">
        <f>GK143*3*D143</f>
        <v>52.92</v>
      </c>
      <c r="BP143" s="1">
        <f>DO143*3*D143</f>
        <v>95.04</v>
      </c>
      <c r="BQ143" s="1">
        <f>FJ143*3*D143</f>
        <v>70.2</v>
      </c>
      <c r="BR143" s="1">
        <f>GL143*3*D143</f>
        <v>54</v>
      </c>
      <c r="BT143">
        <v>39.92</v>
      </c>
      <c r="BU143">
        <v>8.6999999999999993</v>
      </c>
      <c r="BV143" t="s">
        <v>5013</v>
      </c>
      <c r="BW143" t="s">
        <v>6062</v>
      </c>
      <c r="BX143" t="s">
        <v>6063</v>
      </c>
      <c r="BY143" t="s">
        <v>6064</v>
      </c>
      <c r="BZ143" t="s">
        <v>6065</v>
      </c>
      <c r="CA143" t="s">
        <v>2420</v>
      </c>
      <c r="CC143" t="s">
        <v>2811</v>
      </c>
      <c r="CD143" t="s">
        <v>2812</v>
      </c>
      <c r="CE143" t="s">
        <v>2745</v>
      </c>
      <c r="CG143" t="s">
        <v>2813</v>
      </c>
      <c r="CH143" t="s">
        <v>2814</v>
      </c>
      <c r="CI143" t="s">
        <v>3723</v>
      </c>
      <c r="CK143" t="s">
        <v>2816</v>
      </c>
      <c r="CL143" t="s">
        <v>3724</v>
      </c>
      <c r="CM143" t="s">
        <v>2430</v>
      </c>
      <c r="CO143" t="s">
        <v>2818</v>
      </c>
      <c r="CP143" t="s">
        <v>2819</v>
      </c>
      <c r="CQ143" t="s">
        <v>3725</v>
      </c>
      <c r="CR143" t="s">
        <v>2515</v>
      </c>
      <c r="CS143" t="s">
        <v>3726</v>
      </c>
      <c r="CT143" t="s">
        <v>3727</v>
      </c>
      <c r="CV143">
        <v>9</v>
      </c>
      <c r="CW143">
        <v>9</v>
      </c>
      <c r="CX143">
        <v>9</v>
      </c>
      <c r="CY143">
        <v>9</v>
      </c>
      <c r="CZ143">
        <v>8</v>
      </c>
      <c r="DA143">
        <v>0.1</v>
      </c>
      <c r="DB143">
        <v>0.1</v>
      </c>
      <c r="DC143">
        <v>0.2</v>
      </c>
      <c r="DD143">
        <v>0.3</v>
      </c>
      <c r="DE143">
        <v>0.3</v>
      </c>
      <c r="DF143">
        <v>0.9</v>
      </c>
      <c r="DG143">
        <v>0.9</v>
      </c>
      <c r="DH143">
        <v>1.8</v>
      </c>
      <c r="DI143">
        <v>2.7</v>
      </c>
      <c r="DJ143">
        <v>2.4</v>
      </c>
      <c r="DK143">
        <v>8.6999999999999993</v>
      </c>
      <c r="DL143">
        <v>0</v>
      </c>
      <c r="DM143">
        <v>8.6999999999999993</v>
      </c>
      <c r="DN143">
        <v>8.6999999999999993</v>
      </c>
      <c r="DO143">
        <f>AVERAGE(CV143:CZ143)</f>
        <v>8.8000000000000007</v>
      </c>
      <c r="DQ143" t="s">
        <v>27</v>
      </c>
      <c r="DR143" t="s">
        <v>568</v>
      </c>
      <c r="DS143" t="s">
        <v>569</v>
      </c>
      <c r="DT143" t="s">
        <v>163</v>
      </c>
      <c r="DU143" t="s">
        <v>570</v>
      </c>
      <c r="DV143" t="s">
        <v>571</v>
      </c>
      <c r="DW143" t="s">
        <v>3788</v>
      </c>
      <c r="DX143" t="s">
        <v>4071</v>
      </c>
      <c r="DY143" t="s">
        <v>4072</v>
      </c>
      <c r="DZ143" t="s">
        <v>4073</v>
      </c>
      <c r="EA143" t="s">
        <v>3792</v>
      </c>
      <c r="EB143" t="s">
        <v>3807</v>
      </c>
      <c r="EC143" t="s">
        <v>4133</v>
      </c>
      <c r="ED143" t="s">
        <v>4134</v>
      </c>
      <c r="EE143" t="s">
        <v>4135</v>
      </c>
      <c r="EF143" t="s">
        <v>4136</v>
      </c>
      <c r="EG143" t="s">
        <v>4137</v>
      </c>
      <c r="EH143" t="s">
        <v>4138</v>
      </c>
      <c r="EI143" t="s">
        <v>4080</v>
      </c>
      <c r="EJ143" t="s">
        <v>4139</v>
      </c>
      <c r="EK143" t="s">
        <v>4140</v>
      </c>
      <c r="EL143" t="s">
        <v>4141</v>
      </c>
      <c r="EM143" t="s">
        <v>4443</v>
      </c>
      <c r="EN143" t="s">
        <v>4397</v>
      </c>
      <c r="EO143" t="s">
        <v>4967</v>
      </c>
      <c r="EP143" t="s">
        <v>4968</v>
      </c>
      <c r="EQ143">
        <v>7</v>
      </c>
      <c r="ER143">
        <v>6.5</v>
      </c>
      <c r="ES143">
        <v>6.5</v>
      </c>
      <c r="ET143">
        <v>6.5</v>
      </c>
      <c r="EU143">
        <v>6</v>
      </c>
      <c r="EV143">
        <v>0.1</v>
      </c>
      <c r="EW143">
        <v>0.1</v>
      </c>
      <c r="EX143">
        <v>0.2</v>
      </c>
      <c r="EY143">
        <v>0.3</v>
      </c>
      <c r="EZ143">
        <v>0.3</v>
      </c>
      <c r="FA143">
        <f>EV143*EQ143</f>
        <v>0.70000000000000007</v>
      </c>
      <c r="FB143">
        <f>EW143*ER143</f>
        <v>0.65</v>
      </c>
      <c r="FC143">
        <f>EX143*ES143</f>
        <v>1.3</v>
      </c>
      <c r="FD143">
        <f>EY143*ET143</f>
        <v>1.95</v>
      </c>
      <c r="FE143">
        <f>EZ143*EU143</f>
        <v>1.7999999999999998</v>
      </c>
      <c r="FF143">
        <v>19.5</v>
      </c>
      <c r="FG143">
        <v>0</v>
      </c>
      <c r="FH143">
        <v>19.5</v>
      </c>
      <c r="FI143">
        <f>FA143+FB143+FC143+FD143+FE143</f>
        <v>6.4</v>
      </c>
      <c r="FJ143">
        <f>MEDIAN(EQ143:EU143)</f>
        <v>6.5</v>
      </c>
      <c r="FL143">
        <v>36.729999999999997</v>
      </c>
      <c r="FM143">
        <v>4.5</v>
      </c>
      <c r="FN143" t="s">
        <v>2309</v>
      </c>
      <c r="FO143" t="s">
        <v>2310</v>
      </c>
      <c r="FP143" t="s">
        <v>2311</v>
      </c>
      <c r="FQ143" t="s">
        <v>2312</v>
      </c>
      <c r="FR143" t="s">
        <v>2313</v>
      </c>
      <c r="FS143">
        <v>5</v>
      </c>
      <c r="FT143">
        <v>6</v>
      </c>
      <c r="FU143">
        <v>4</v>
      </c>
      <c r="FV143">
        <v>7</v>
      </c>
      <c r="FW143">
        <v>3</v>
      </c>
      <c r="FX143">
        <v>0.1</v>
      </c>
      <c r="FY143">
        <v>0.1</v>
      </c>
      <c r="FZ143">
        <v>0.2</v>
      </c>
      <c r="GA143">
        <v>0.3</v>
      </c>
      <c r="GB143">
        <v>0.3</v>
      </c>
      <c r="GC143">
        <f>FS143*FX143</f>
        <v>0.5</v>
      </c>
      <c r="GD143">
        <f>FT143*FY143</f>
        <v>0.60000000000000009</v>
      </c>
      <c r="GE143">
        <f>FU143*FZ143</f>
        <v>0.8</v>
      </c>
      <c r="GF143">
        <f>FV143*GA143</f>
        <v>2.1</v>
      </c>
      <c r="GG143">
        <f>FW143*GB143</f>
        <v>0.89999999999999991</v>
      </c>
      <c r="GH143">
        <v>9</v>
      </c>
      <c r="GI143">
        <v>-0.5</v>
      </c>
      <c r="GJ143">
        <v>4.5</v>
      </c>
      <c r="GK143">
        <f>GC143+GD143+GE143+GF143+GG143</f>
        <v>4.9000000000000004</v>
      </c>
      <c r="GL143">
        <f>MEDIAN(FS143:FW143)</f>
        <v>5</v>
      </c>
    </row>
    <row r="144" spans="1:194" hidden="1" x14ac:dyDescent="0.25">
      <c r="A144">
        <v>143</v>
      </c>
      <c r="B144" t="s">
        <v>2</v>
      </c>
      <c r="C144" s="4">
        <v>94.35</v>
      </c>
      <c r="D144">
        <v>3.7</v>
      </c>
      <c r="E144" s="1">
        <f>C144/3/D144</f>
        <v>8.5</v>
      </c>
      <c r="G144">
        <v>39.32</v>
      </c>
      <c r="H144">
        <v>7.85</v>
      </c>
      <c r="I144">
        <f>H144*D144*3</f>
        <v>87.135000000000005</v>
      </c>
      <c r="J144">
        <v>19.75</v>
      </c>
      <c r="K144">
        <v>8.6999999999999993</v>
      </c>
      <c r="L144" s="3">
        <f>K144*3*D144</f>
        <v>96.57</v>
      </c>
      <c r="M144">
        <v>5.01</v>
      </c>
      <c r="N144">
        <v>3</v>
      </c>
      <c r="O144">
        <f>N144*D144*3</f>
        <v>33.300000000000004</v>
      </c>
      <c r="P144" s="5">
        <v>8.8000000000000007</v>
      </c>
      <c r="Q144" s="5">
        <f>P144*D144*3</f>
        <v>97.68</v>
      </c>
      <c r="S144" t="s">
        <v>6277</v>
      </c>
      <c r="T144">
        <v>8.5</v>
      </c>
      <c r="U144" s="8">
        <f>T144*D144*3</f>
        <v>94.350000000000009</v>
      </c>
      <c r="V144">
        <v>30.07</v>
      </c>
      <c r="W144">
        <v>8.4</v>
      </c>
      <c r="X144" s="5">
        <f>W144*D144*3</f>
        <v>93.240000000000009</v>
      </c>
      <c r="Y144">
        <v>9.0500000000000007</v>
      </c>
      <c r="Z144">
        <v>6.7</v>
      </c>
      <c r="AA144">
        <f>Z144*D144*3</f>
        <v>74.37</v>
      </c>
      <c r="AC144">
        <v>47.39</v>
      </c>
      <c r="AD144">
        <v>7.9</v>
      </c>
      <c r="AE144" s="1">
        <f>AD144*3*D144</f>
        <v>87.690000000000012</v>
      </c>
      <c r="AF144">
        <v>11.88</v>
      </c>
      <c r="AG144" s="5">
        <v>7</v>
      </c>
      <c r="AH144" s="5">
        <f>AG144*D144*3</f>
        <v>77.7</v>
      </c>
      <c r="AI144" s="13"/>
      <c r="AJ144">
        <v>2.7</v>
      </c>
      <c r="AK144" s="8">
        <f>AJ144*D144*3</f>
        <v>29.970000000000006</v>
      </c>
      <c r="AL144" s="13"/>
      <c r="AM144">
        <v>31.8</v>
      </c>
      <c r="AN144">
        <v>7.5</v>
      </c>
      <c r="AO144" s="8">
        <f>AN144*D144*3</f>
        <v>83.25</v>
      </c>
      <c r="AP144">
        <v>15.36</v>
      </c>
      <c r="AQ144">
        <v>10</v>
      </c>
      <c r="AR144">
        <f>AQ144*D144*3</f>
        <v>111</v>
      </c>
      <c r="AT144">
        <v>8.1</v>
      </c>
      <c r="AU144">
        <f>AT144*D144*3</f>
        <v>89.91</v>
      </c>
      <c r="AW144">
        <v>22.91</v>
      </c>
      <c r="AX144">
        <v>9.3000000000000007</v>
      </c>
      <c r="AY144">
        <f>AX144*D144*3</f>
        <v>103.23000000000002</v>
      </c>
      <c r="AZ144">
        <v>22.91</v>
      </c>
      <c r="BA144">
        <v>9</v>
      </c>
      <c r="BB144">
        <f>BA144*D144*3</f>
        <v>99.9</v>
      </c>
      <c r="BD144">
        <v>8</v>
      </c>
      <c r="BE144">
        <f>BD144*D144*3</f>
        <v>88.800000000000011</v>
      </c>
      <c r="BG144" s="10"/>
      <c r="BH144" s="1">
        <f>CHOOSE(MATCH(MIN(ABS(BP144-C144),ABS(BQ144-C144),ABS(BR144-C144)),CHOOSE({1;2;3},ABS(BP144-C144),ABS(BQ144-C144),ABS(BR144-C144)),0),BP144,BQ144,BR144)</f>
        <v>98.79000000000002</v>
      </c>
      <c r="BJ144" s="1" cm="1">
        <f t="array" ref="BJ144">(INDEX(_xlfn._xlws.SORT(CHOOSE({1;2;3;4;5;6},BQ144,BR144,L144,AE144,BO144,BP144)),3) + INDEX(_xlfn._xlws.SORT(CHOOSE({1;2;3;4;5;6},BQ144,BR144,L144,AE144,BO144,BP144)),4))/2</f>
        <v>88.800000000000011</v>
      </c>
      <c r="BK144">
        <v>8.4621153243287601</v>
      </c>
      <c r="BL144" t="s">
        <v>6117</v>
      </c>
      <c r="BM144" s="1">
        <f>BK144*3*D144</f>
        <v>93.929480100049247</v>
      </c>
      <c r="BN144" s="1">
        <f>BM144-C144</f>
        <v>-0.42051989995074734</v>
      </c>
      <c r="BO144" s="1">
        <f>GK144*3*D144</f>
        <v>85.470000000000013</v>
      </c>
      <c r="BP144" s="1">
        <f>DO144*3*D144</f>
        <v>98.79000000000002</v>
      </c>
      <c r="BQ144" s="1">
        <f>FJ144*3*D144</f>
        <v>88.800000000000011</v>
      </c>
      <c r="BR144" s="1">
        <f>GL144*3*D144</f>
        <v>88.800000000000011</v>
      </c>
      <c r="BT144">
        <v>39.32</v>
      </c>
      <c r="BU144">
        <v>7.85</v>
      </c>
      <c r="BV144" t="s">
        <v>5473</v>
      </c>
      <c r="BW144" t="s">
        <v>5474</v>
      </c>
      <c r="BX144" t="s">
        <v>5475</v>
      </c>
      <c r="BY144" t="s">
        <v>5476</v>
      </c>
      <c r="BZ144" t="s">
        <v>5477</v>
      </c>
      <c r="CA144" t="s">
        <v>2723</v>
      </c>
      <c r="CC144" t="s">
        <v>2893</v>
      </c>
      <c r="CD144" t="s">
        <v>2894</v>
      </c>
      <c r="CE144" t="s">
        <v>2440</v>
      </c>
      <c r="CG144" t="s">
        <v>2895</v>
      </c>
      <c r="CH144" t="s">
        <v>2896</v>
      </c>
      <c r="CI144" t="s">
        <v>2897</v>
      </c>
      <c r="CK144" t="s">
        <v>2898</v>
      </c>
      <c r="CL144" t="s">
        <v>2899</v>
      </c>
      <c r="CM144" t="s">
        <v>2900</v>
      </c>
      <c r="CO144" t="s">
        <v>2901</v>
      </c>
      <c r="CP144" t="s">
        <v>2902</v>
      </c>
      <c r="CQ144" t="s">
        <v>2666</v>
      </c>
      <c r="CR144" t="s">
        <v>3146</v>
      </c>
      <c r="CS144" t="s">
        <v>3147</v>
      </c>
      <c r="CT144" t="s">
        <v>3148</v>
      </c>
      <c r="CV144">
        <v>9</v>
      </c>
      <c r="CW144">
        <v>9</v>
      </c>
      <c r="CX144">
        <v>9</v>
      </c>
      <c r="CY144">
        <v>9</v>
      </c>
      <c r="CZ144">
        <v>8.5</v>
      </c>
      <c r="DA144">
        <v>0.1</v>
      </c>
      <c r="DB144">
        <v>0.1</v>
      </c>
      <c r="DC144">
        <v>0.2</v>
      </c>
      <c r="DD144">
        <v>0.3</v>
      </c>
      <c r="DE144">
        <v>0.3</v>
      </c>
      <c r="DF144">
        <v>0.9</v>
      </c>
      <c r="DG144">
        <v>0.9</v>
      </c>
      <c r="DH144">
        <v>1.8</v>
      </c>
      <c r="DI144">
        <v>2.7</v>
      </c>
      <c r="DJ144">
        <v>2.5499999999999998</v>
      </c>
      <c r="DK144">
        <v>7.85</v>
      </c>
      <c r="DL144">
        <v>0</v>
      </c>
      <c r="DM144">
        <v>7.85</v>
      </c>
      <c r="DN144">
        <v>8.6999999999999993</v>
      </c>
      <c r="DO144">
        <f>AVERAGE(CV144:CZ144)</f>
        <v>8.9</v>
      </c>
      <c r="DQ144">
        <v>15</v>
      </c>
      <c r="DR144" t="s">
        <v>47</v>
      </c>
      <c r="DS144" t="s">
        <v>53</v>
      </c>
      <c r="DT144" t="s">
        <v>320</v>
      </c>
      <c r="DU144" t="s">
        <v>321</v>
      </c>
      <c r="DV144" t="s">
        <v>322</v>
      </c>
      <c r="DW144" t="s">
        <v>3769</v>
      </c>
      <c r="DX144" t="s">
        <v>3770</v>
      </c>
      <c r="DY144" t="s">
        <v>3771</v>
      </c>
      <c r="DZ144" t="s">
        <v>3772</v>
      </c>
      <c r="EA144" t="s">
        <v>3806</v>
      </c>
      <c r="EB144" t="s">
        <v>3807</v>
      </c>
      <c r="EC144" t="s">
        <v>3775</v>
      </c>
      <c r="ED144" t="s">
        <v>3776</v>
      </c>
      <c r="EE144" t="s">
        <v>3819</v>
      </c>
      <c r="EF144" t="s">
        <v>4104</v>
      </c>
      <c r="EG144" t="s">
        <v>3810</v>
      </c>
      <c r="EH144" t="s">
        <v>3811</v>
      </c>
      <c r="EI144" t="s">
        <v>3820</v>
      </c>
      <c r="EJ144" t="s">
        <v>4174</v>
      </c>
      <c r="EK144" t="s">
        <v>4175</v>
      </c>
      <c r="EL144" t="s">
        <v>3856</v>
      </c>
      <c r="EM144" t="s">
        <v>3816</v>
      </c>
      <c r="EN144" t="s">
        <v>3823</v>
      </c>
      <c r="EO144" t="s">
        <v>3824</v>
      </c>
      <c r="EP144" t="s">
        <v>3857</v>
      </c>
      <c r="EQ144">
        <v>7</v>
      </c>
      <c r="ER144">
        <v>8</v>
      </c>
      <c r="ES144">
        <v>8</v>
      </c>
      <c r="ET144">
        <v>8</v>
      </c>
      <c r="EU144">
        <v>8</v>
      </c>
      <c r="EV144">
        <v>0.1</v>
      </c>
      <c r="EW144">
        <v>0.1</v>
      </c>
      <c r="EX144">
        <v>0.2</v>
      </c>
      <c r="EY144">
        <v>0.3</v>
      </c>
      <c r="EZ144">
        <v>0.3</v>
      </c>
      <c r="FA144">
        <f>EV144*EQ144</f>
        <v>0.70000000000000007</v>
      </c>
      <c r="FB144">
        <f>EW144*ER144</f>
        <v>0.8</v>
      </c>
      <c r="FC144">
        <f>EX144*ES144</f>
        <v>1.6</v>
      </c>
      <c r="FD144">
        <f>EY144*ET144</f>
        <v>2.4</v>
      </c>
      <c r="FE144">
        <f>EZ144*EU144</f>
        <v>2.4</v>
      </c>
      <c r="FF144">
        <v>15</v>
      </c>
      <c r="FG144">
        <v>0</v>
      </c>
      <c r="FH144">
        <v>15</v>
      </c>
      <c r="FI144">
        <f>FA144+FB144+FC144+FD144+FE144</f>
        <v>7.9</v>
      </c>
      <c r="FJ144">
        <f>MEDIAN(EQ144:EU144)</f>
        <v>8</v>
      </c>
      <c r="FL144">
        <v>40.21</v>
      </c>
      <c r="FM144">
        <v>8</v>
      </c>
      <c r="FN144" t="s">
        <v>1280</v>
      </c>
      <c r="FO144" t="s">
        <v>1281</v>
      </c>
      <c r="FP144" t="s">
        <v>1282</v>
      </c>
      <c r="FQ144" t="s">
        <v>1283</v>
      </c>
      <c r="FR144" t="s">
        <v>1284</v>
      </c>
      <c r="FS144">
        <v>8</v>
      </c>
      <c r="FT144">
        <v>9</v>
      </c>
      <c r="FU144">
        <v>7.5</v>
      </c>
      <c r="FV144">
        <v>8.5</v>
      </c>
      <c r="FW144">
        <v>6.5</v>
      </c>
      <c r="FX144">
        <v>0.1</v>
      </c>
      <c r="FY144">
        <v>0.1</v>
      </c>
      <c r="FZ144">
        <v>0.2</v>
      </c>
      <c r="GA144">
        <v>0.3</v>
      </c>
      <c r="GB144">
        <v>0.3</v>
      </c>
      <c r="GC144">
        <f>FS144*FX144</f>
        <v>0.8</v>
      </c>
      <c r="GD144">
        <f>FT144*FY144</f>
        <v>0.9</v>
      </c>
      <c r="GE144">
        <f>FU144*FZ144</f>
        <v>1.5</v>
      </c>
      <c r="GF144">
        <f>FV144*GA144</f>
        <v>2.5499999999999998</v>
      </c>
      <c r="GG144">
        <f>FW144*GB144</f>
        <v>1.95</v>
      </c>
      <c r="GH144">
        <v>7.7</v>
      </c>
      <c r="GI144">
        <v>0.3</v>
      </c>
      <c r="GJ144">
        <v>8</v>
      </c>
      <c r="GK144">
        <f>GC144+GD144+GE144+GF144+GG144</f>
        <v>7.7</v>
      </c>
      <c r="GL144">
        <f>MEDIAN(FS144:FW144)</f>
        <v>8</v>
      </c>
    </row>
    <row r="145" spans="1:194" hidden="1" x14ac:dyDescent="0.25">
      <c r="A145">
        <v>144</v>
      </c>
      <c r="B145" t="s">
        <v>2</v>
      </c>
      <c r="C145" s="4">
        <v>102.6</v>
      </c>
      <c r="D145">
        <v>3.6</v>
      </c>
      <c r="E145" s="1">
        <f>C145/3/D145</f>
        <v>9.4999999999999982</v>
      </c>
      <c r="G145">
        <v>36.659999999999997</v>
      </c>
      <c r="H145">
        <v>8</v>
      </c>
      <c r="I145">
        <f>H145*D145*3</f>
        <v>86.4</v>
      </c>
      <c r="J145">
        <v>16.55</v>
      </c>
      <c r="K145">
        <v>8.4</v>
      </c>
      <c r="L145" s="3">
        <f>K145*3*D145</f>
        <v>90.720000000000013</v>
      </c>
      <c r="M145">
        <v>4.6900000000000004</v>
      </c>
      <c r="N145">
        <v>4</v>
      </c>
      <c r="O145">
        <f>N145*D145*3</f>
        <v>43.2</v>
      </c>
      <c r="P145" s="5">
        <v>7</v>
      </c>
      <c r="Q145" s="5">
        <f>P145*D145*3</f>
        <v>75.599999999999994</v>
      </c>
      <c r="S145" t="s">
        <v>6278</v>
      </c>
      <c r="T145">
        <v>7</v>
      </c>
      <c r="U145" s="8">
        <f>T145*D145*3</f>
        <v>75.599999999999994</v>
      </c>
      <c r="V145">
        <v>31.94</v>
      </c>
      <c r="W145">
        <v>8</v>
      </c>
      <c r="X145" s="5">
        <f>W145*D145*3</f>
        <v>86.4</v>
      </c>
      <c r="Y145">
        <v>9.16</v>
      </c>
      <c r="Z145">
        <v>7.5</v>
      </c>
      <c r="AA145">
        <f>Z145*D145*3</f>
        <v>81</v>
      </c>
      <c r="AC145">
        <v>46.17</v>
      </c>
      <c r="AD145">
        <v>7.3000000000000007</v>
      </c>
      <c r="AE145" s="1">
        <f>AD145*3*D145</f>
        <v>78.84</v>
      </c>
      <c r="AF145">
        <v>11.84</v>
      </c>
      <c r="AG145" s="5">
        <v>7</v>
      </c>
      <c r="AH145" s="5">
        <f>AG145*D145*3</f>
        <v>75.599999999999994</v>
      </c>
      <c r="AI145" s="13"/>
      <c r="AJ145">
        <v>5.0999999999999996</v>
      </c>
      <c r="AK145" s="8">
        <f>AJ145*D145*3</f>
        <v>55.08</v>
      </c>
      <c r="AL145" s="13"/>
      <c r="AM145">
        <v>30.85</v>
      </c>
      <c r="AN145">
        <v>7.1</v>
      </c>
      <c r="AO145" s="8">
        <f>AN145*D145*3</f>
        <v>76.679999999999993</v>
      </c>
      <c r="AP145">
        <v>15.09</v>
      </c>
      <c r="AQ145">
        <v>10</v>
      </c>
      <c r="AR145">
        <f>AQ145*D145*3</f>
        <v>108</v>
      </c>
      <c r="AT145">
        <v>8.5</v>
      </c>
      <c r="AU145">
        <f>AT145*D145*3</f>
        <v>91.800000000000011</v>
      </c>
      <c r="AW145">
        <v>24.22</v>
      </c>
      <c r="AX145">
        <v>9.3000000000000007</v>
      </c>
      <c r="AY145">
        <f>AX145*D145*3</f>
        <v>100.44000000000001</v>
      </c>
      <c r="AZ145">
        <v>24.22</v>
      </c>
      <c r="BA145">
        <v>9</v>
      </c>
      <c r="BB145">
        <f>BA145*D145*3</f>
        <v>97.199999999999989</v>
      </c>
      <c r="BD145">
        <v>8.6</v>
      </c>
      <c r="BE145">
        <f>BD145*D145*3</f>
        <v>92.88</v>
      </c>
      <c r="BG145" s="10"/>
      <c r="BH145" s="1">
        <f>CHOOSE(MATCH(MIN(ABS(BP145-C145),ABS(BQ145-C145),ABS(BR145-C145)),CHOOSE({1;2;3},ABS(BP145-C145),ABS(BQ145-C145),ABS(BR145-C145)),0),BP145,BQ145,BR145)</f>
        <v>97.2</v>
      </c>
      <c r="BJ145" s="1" cm="1">
        <f t="array" ref="BJ145">(INDEX(_xlfn._xlws.SORT(CHOOSE({1;2;3;4;5;6},BQ145,BR145,L145,AE145,BO145,BP145)),3) + INDEX(_xlfn._xlws.SORT(CHOOSE({1;2;3;4;5;6},BQ145,BR145,L145,AE145,BO145,BP145)),4))/2</f>
        <v>77.22</v>
      </c>
      <c r="BK145">
        <v>9.4675426544805408</v>
      </c>
      <c r="BL145" t="s">
        <v>6117</v>
      </c>
      <c r="BM145" s="1">
        <f>BK145*3*D145</f>
        <v>102.24946066838984</v>
      </c>
      <c r="BN145" s="1">
        <f>BM145-C145</f>
        <v>-0.35053933161015038</v>
      </c>
      <c r="BO145" s="1">
        <f>GK145*3*D145</f>
        <v>54</v>
      </c>
      <c r="BP145" s="1">
        <f>DO145*3*D145</f>
        <v>97.2</v>
      </c>
      <c r="BQ145" s="1">
        <f>FJ145*3*D145</f>
        <v>75.600000000000009</v>
      </c>
      <c r="BR145" s="1">
        <f>GL145*3*D145</f>
        <v>54</v>
      </c>
      <c r="BT145">
        <v>36.659999999999997</v>
      </c>
      <c r="BU145">
        <v>8</v>
      </c>
      <c r="BV145" t="s">
        <v>5055</v>
      </c>
      <c r="BW145" t="s">
        <v>5082</v>
      </c>
      <c r="BX145" t="s">
        <v>5057</v>
      </c>
      <c r="BY145" t="s">
        <v>5083</v>
      </c>
      <c r="BZ145" t="s">
        <v>5084</v>
      </c>
      <c r="CA145" t="s">
        <v>2437</v>
      </c>
      <c r="CC145" t="s">
        <v>2438</v>
      </c>
      <c r="CD145" t="s">
        <v>2439</v>
      </c>
      <c r="CE145" t="s">
        <v>2440</v>
      </c>
      <c r="CG145" t="s">
        <v>2441</v>
      </c>
      <c r="CH145" t="s">
        <v>2442</v>
      </c>
      <c r="CI145" t="s">
        <v>2535</v>
      </c>
      <c r="CK145" t="s">
        <v>2444</v>
      </c>
      <c r="CL145" t="s">
        <v>2445</v>
      </c>
      <c r="CM145" t="s">
        <v>2446</v>
      </c>
      <c r="CO145" t="s">
        <v>2447</v>
      </c>
      <c r="CP145" t="s">
        <v>2448</v>
      </c>
      <c r="CQ145" t="s">
        <v>2666</v>
      </c>
      <c r="CS145" t="s">
        <v>2450</v>
      </c>
      <c r="CT145" t="s">
        <v>2451</v>
      </c>
      <c r="CV145">
        <v>9</v>
      </c>
      <c r="CW145">
        <v>9</v>
      </c>
      <c r="CX145">
        <v>9</v>
      </c>
      <c r="CY145">
        <v>9</v>
      </c>
      <c r="CZ145">
        <v>9</v>
      </c>
      <c r="DA145">
        <v>0.1</v>
      </c>
      <c r="DB145">
        <v>0.1</v>
      </c>
      <c r="DC145">
        <v>0.2</v>
      </c>
      <c r="DD145">
        <v>0.3</v>
      </c>
      <c r="DE145">
        <v>0.3</v>
      </c>
      <c r="DF145">
        <v>0.9</v>
      </c>
      <c r="DG145">
        <v>0.9</v>
      </c>
      <c r="DH145">
        <v>1.8</v>
      </c>
      <c r="DI145">
        <v>2.7</v>
      </c>
      <c r="DJ145">
        <v>2.7</v>
      </c>
      <c r="DK145">
        <v>8</v>
      </c>
      <c r="DL145">
        <v>0</v>
      </c>
      <c r="DM145">
        <v>8</v>
      </c>
      <c r="DN145">
        <v>8.4</v>
      </c>
      <c r="DO145">
        <f>AVERAGE(CV145:CZ145)</f>
        <v>9</v>
      </c>
      <c r="DQ145" t="s">
        <v>27</v>
      </c>
      <c r="DR145" t="s">
        <v>28</v>
      </c>
      <c r="DS145" t="s">
        <v>108</v>
      </c>
      <c r="DT145" t="s">
        <v>316</v>
      </c>
      <c r="DU145" t="s">
        <v>317</v>
      </c>
      <c r="DV145" t="s">
        <v>318</v>
      </c>
      <c r="DW145" t="s">
        <v>3769</v>
      </c>
      <c r="DX145" t="s">
        <v>3770</v>
      </c>
      <c r="DY145" t="s">
        <v>3771</v>
      </c>
      <c r="DZ145" t="s">
        <v>3772</v>
      </c>
      <c r="EA145" t="s">
        <v>3773</v>
      </c>
      <c r="EB145" t="s">
        <v>3774</v>
      </c>
      <c r="EC145" t="s">
        <v>3775</v>
      </c>
      <c r="ED145" t="s">
        <v>3776</v>
      </c>
      <c r="EE145" t="s">
        <v>3777</v>
      </c>
      <c r="EF145" t="s">
        <v>3778</v>
      </c>
      <c r="EG145" t="s">
        <v>3779</v>
      </c>
      <c r="EH145" t="s">
        <v>3780</v>
      </c>
      <c r="EI145" t="s">
        <v>4499</v>
      </c>
      <c r="EJ145" t="s">
        <v>4174</v>
      </c>
      <c r="EK145" t="s">
        <v>4014</v>
      </c>
      <c r="EL145" t="s">
        <v>3815</v>
      </c>
      <c r="EM145" t="s">
        <v>3881</v>
      </c>
      <c r="EN145" t="s">
        <v>3786</v>
      </c>
      <c r="EO145" t="s">
        <v>4501</v>
      </c>
      <c r="EP145" t="s">
        <v>3818</v>
      </c>
      <c r="EQ145">
        <v>7</v>
      </c>
      <c r="ER145">
        <v>8</v>
      </c>
      <c r="ES145">
        <v>8</v>
      </c>
      <c r="ET145">
        <v>7</v>
      </c>
      <c r="EU145">
        <v>7</v>
      </c>
      <c r="EV145">
        <v>0.1</v>
      </c>
      <c r="EW145">
        <v>0.1</v>
      </c>
      <c r="EX145">
        <v>0.2</v>
      </c>
      <c r="EY145">
        <v>0.3</v>
      </c>
      <c r="EZ145">
        <v>0.3</v>
      </c>
      <c r="FA145">
        <f>EV145*EQ145</f>
        <v>0.70000000000000007</v>
      </c>
      <c r="FB145">
        <f>EW145*ER145</f>
        <v>0.8</v>
      </c>
      <c r="FC145">
        <f>EX145*ES145</f>
        <v>1.6</v>
      </c>
      <c r="FD145">
        <f>EY145*ET145</f>
        <v>2.1</v>
      </c>
      <c r="FE145">
        <f>EZ145*EU145</f>
        <v>2.1</v>
      </c>
      <c r="FF145">
        <v>19</v>
      </c>
      <c r="FG145">
        <v>0</v>
      </c>
      <c r="FH145">
        <v>19</v>
      </c>
      <c r="FI145">
        <f>FA145+FB145+FC145+FD145+FE145</f>
        <v>7.3000000000000007</v>
      </c>
      <c r="FJ145">
        <f>MEDIAN(EQ145:EU145)</f>
        <v>7</v>
      </c>
      <c r="FL145">
        <v>44.24</v>
      </c>
      <c r="FM145">
        <v>6.4</v>
      </c>
      <c r="FN145" t="s">
        <v>1285</v>
      </c>
      <c r="FO145" t="s">
        <v>1286</v>
      </c>
      <c r="FP145" t="s">
        <v>1287</v>
      </c>
      <c r="FQ145" t="s">
        <v>1288</v>
      </c>
      <c r="FR145" t="s">
        <v>1289</v>
      </c>
      <c r="FS145">
        <v>4</v>
      </c>
      <c r="FT145">
        <v>7</v>
      </c>
      <c r="FU145">
        <v>3</v>
      </c>
      <c r="FV145">
        <v>5</v>
      </c>
      <c r="FW145">
        <v>6</v>
      </c>
      <c r="FX145">
        <v>0.1</v>
      </c>
      <c r="FY145">
        <v>0.1</v>
      </c>
      <c r="FZ145">
        <v>0.2</v>
      </c>
      <c r="GA145">
        <v>0.3</v>
      </c>
      <c r="GB145">
        <v>0.3</v>
      </c>
      <c r="GC145">
        <f>FS145*FX145</f>
        <v>0.4</v>
      </c>
      <c r="GD145">
        <f>FT145*FY145</f>
        <v>0.70000000000000007</v>
      </c>
      <c r="GE145">
        <f>FU145*FZ145</f>
        <v>0.60000000000000009</v>
      </c>
      <c r="GF145">
        <f>FV145*GA145</f>
        <v>1.5</v>
      </c>
      <c r="GG145">
        <f>FW145*GB145</f>
        <v>1.7999999999999998</v>
      </c>
      <c r="GH145">
        <v>5.4</v>
      </c>
      <c r="GJ145">
        <v>6.4</v>
      </c>
      <c r="GK145">
        <f>GC145+GD145+GE145+GF145+GG145</f>
        <v>5</v>
      </c>
      <c r="GL145">
        <f>MEDIAN(FS145:FW145)</f>
        <v>5</v>
      </c>
    </row>
    <row r="146" spans="1:194" hidden="1" x14ac:dyDescent="0.25">
      <c r="A146">
        <v>145</v>
      </c>
      <c r="B146" t="s">
        <v>2</v>
      </c>
      <c r="C146" s="4">
        <v>82.8</v>
      </c>
      <c r="D146">
        <v>3.6</v>
      </c>
      <c r="E146" s="1">
        <f>C146/3/D146</f>
        <v>7.6666666666666661</v>
      </c>
      <c r="G146">
        <v>36.35</v>
      </c>
      <c r="H146">
        <v>8.1999999999999993</v>
      </c>
      <c r="I146">
        <f>H146*D146*3</f>
        <v>88.56</v>
      </c>
      <c r="J146">
        <v>17.77</v>
      </c>
      <c r="K146">
        <v>8.4</v>
      </c>
      <c r="L146" s="3">
        <f>K146*3*D146</f>
        <v>90.720000000000013</v>
      </c>
      <c r="M146">
        <v>4.68</v>
      </c>
      <c r="N146">
        <v>3</v>
      </c>
      <c r="O146">
        <f>N146*D146*3</f>
        <v>32.400000000000006</v>
      </c>
      <c r="P146" s="5">
        <v>7.9</v>
      </c>
      <c r="Q146" s="5">
        <f>P146*D146*3</f>
        <v>85.320000000000007</v>
      </c>
      <c r="S146" t="s">
        <v>6279</v>
      </c>
      <c r="T146">
        <v>6.2</v>
      </c>
      <c r="U146" s="8">
        <f>T146*D146*3</f>
        <v>66.960000000000008</v>
      </c>
      <c r="V146">
        <v>32.020000000000003</v>
      </c>
      <c r="W146">
        <v>8.4</v>
      </c>
      <c r="X146" s="5">
        <f>W146*D146*3</f>
        <v>90.72</v>
      </c>
      <c r="Y146">
        <v>12.22</v>
      </c>
      <c r="Z146">
        <v>7.8</v>
      </c>
      <c r="AA146">
        <f>Z146*D146*3</f>
        <v>84.24</v>
      </c>
      <c r="AC146">
        <v>47.71</v>
      </c>
      <c r="AD146">
        <v>7.1</v>
      </c>
      <c r="AE146" s="1">
        <f>AD146*3*D146</f>
        <v>76.679999999999993</v>
      </c>
      <c r="AF146">
        <v>11.99</v>
      </c>
      <c r="AG146" s="5">
        <v>7</v>
      </c>
      <c r="AH146" s="5">
        <f>AG146*D146*3</f>
        <v>75.599999999999994</v>
      </c>
      <c r="AI146" s="13"/>
      <c r="AK146" s="8">
        <f>AJ146*D146*3</f>
        <v>0</v>
      </c>
      <c r="AL146" s="13"/>
      <c r="AM146">
        <v>31.32</v>
      </c>
      <c r="AN146">
        <v>6.95</v>
      </c>
      <c r="AO146" s="8">
        <f>AN146*D146*3</f>
        <v>75.06</v>
      </c>
      <c r="AP146">
        <v>11.43</v>
      </c>
      <c r="AQ146">
        <v>9.5</v>
      </c>
      <c r="AR146">
        <f>AQ146*D146*3</f>
        <v>102.60000000000001</v>
      </c>
      <c r="AT146">
        <v>8.8000000000000007</v>
      </c>
      <c r="AU146">
        <f>AT146*D146*3</f>
        <v>95.04</v>
      </c>
      <c r="AW146">
        <v>24.02</v>
      </c>
      <c r="AX146">
        <v>9.9</v>
      </c>
      <c r="AY146">
        <f>AX146*D146*3</f>
        <v>106.92</v>
      </c>
      <c r="AZ146">
        <v>24.02</v>
      </c>
      <c r="BA146">
        <v>9.1</v>
      </c>
      <c r="BB146">
        <f>BA146*D146*3</f>
        <v>98.28</v>
      </c>
      <c r="BD146">
        <v>8.9</v>
      </c>
      <c r="BE146">
        <f>BD146*D146*3</f>
        <v>96.12</v>
      </c>
      <c r="BG146" s="10"/>
      <c r="BH146" s="1">
        <f>CHOOSE(MATCH(MIN(ABS(BP146-C146),ABS(BQ146-C146),ABS(BR146-C146)),CHOOSE({1;2;3},ABS(BP146-C146),ABS(BQ146-C146),ABS(BR146-C146)),0),BP146,BQ146,BR146)</f>
        <v>75.600000000000009</v>
      </c>
      <c r="BJ146" s="1" cm="1">
        <f t="array" ref="BJ146">(INDEX(_xlfn._xlws.SORT(CHOOSE({1;2;3;4;5;6},BQ146,BR146,L146,AE146,BO146,BP146)),3) + INDEX(_xlfn._xlws.SORT(CHOOSE({1;2;3;4;5;6},BQ146,BR146,L146,AE146,BO146,BP146)),4))/2</f>
        <v>76.14</v>
      </c>
      <c r="BK146">
        <v>7.6599318444157696</v>
      </c>
      <c r="BL146" t="s">
        <v>6117</v>
      </c>
      <c r="BM146" s="1">
        <f>BK146*3*D146</f>
        <v>82.727263919690316</v>
      </c>
      <c r="BN146" s="1">
        <f>BM146-C146</f>
        <v>-7.2736080309681483E-2</v>
      </c>
      <c r="BO146" s="1">
        <f>GK146*3*D146</f>
        <v>56.16</v>
      </c>
      <c r="BP146" s="1">
        <f>DO146*3*D146</f>
        <v>97.2</v>
      </c>
      <c r="BQ146" s="1">
        <f>FJ146*3*D146</f>
        <v>75.600000000000009</v>
      </c>
      <c r="BR146" s="1">
        <f>GL146*3*D146</f>
        <v>43.2</v>
      </c>
      <c r="BT146">
        <v>36.35</v>
      </c>
      <c r="BU146">
        <v>8.1999999999999993</v>
      </c>
      <c r="BV146" t="s">
        <v>5478</v>
      </c>
      <c r="BW146" t="s">
        <v>5479</v>
      </c>
      <c r="BX146" t="s">
        <v>5480</v>
      </c>
      <c r="BY146" t="s">
        <v>5481</v>
      </c>
      <c r="BZ146" t="s">
        <v>5482</v>
      </c>
      <c r="CA146" t="s">
        <v>3149</v>
      </c>
      <c r="CB146" t="s">
        <v>3150</v>
      </c>
      <c r="CC146" t="s">
        <v>3151</v>
      </c>
      <c r="CD146" t="s">
        <v>3152</v>
      </c>
      <c r="CE146" t="s">
        <v>2440</v>
      </c>
      <c r="CF146" t="s">
        <v>3150</v>
      </c>
      <c r="CG146" t="s">
        <v>3153</v>
      </c>
      <c r="CH146" t="s">
        <v>3154</v>
      </c>
      <c r="CI146" t="s">
        <v>2738</v>
      </c>
      <c r="CJ146" t="s">
        <v>3150</v>
      </c>
      <c r="CK146" t="s">
        <v>3155</v>
      </c>
      <c r="CL146" t="s">
        <v>3156</v>
      </c>
      <c r="CM146" t="s">
        <v>3157</v>
      </c>
      <c r="CN146" t="s">
        <v>3150</v>
      </c>
      <c r="CO146" t="s">
        <v>3158</v>
      </c>
      <c r="CP146" t="s">
        <v>3159</v>
      </c>
      <c r="CQ146" t="s">
        <v>2449</v>
      </c>
      <c r="CR146" t="s">
        <v>3150</v>
      </c>
      <c r="CS146" t="s">
        <v>3160</v>
      </c>
      <c r="CT146" t="s">
        <v>3161</v>
      </c>
      <c r="CV146">
        <v>9</v>
      </c>
      <c r="CW146">
        <v>9</v>
      </c>
      <c r="CX146">
        <v>9</v>
      </c>
      <c r="CY146">
        <v>9</v>
      </c>
      <c r="CZ146">
        <v>9</v>
      </c>
      <c r="DA146">
        <v>0.1</v>
      </c>
      <c r="DB146">
        <v>0.1</v>
      </c>
      <c r="DC146">
        <v>0.2</v>
      </c>
      <c r="DD146">
        <v>0.3</v>
      </c>
      <c r="DE146">
        <v>0.3</v>
      </c>
      <c r="DF146">
        <v>0.9</v>
      </c>
      <c r="DG146">
        <v>0.9</v>
      </c>
      <c r="DH146">
        <v>1.8</v>
      </c>
      <c r="DI146">
        <v>2.7</v>
      </c>
      <c r="DJ146">
        <v>2.7</v>
      </c>
      <c r="DK146">
        <v>8.1999999999999993</v>
      </c>
      <c r="DL146">
        <v>0</v>
      </c>
      <c r="DM146">
        <v>8.1999999999999993</v>
      </c>
      <c r="DN146">
        <v>8.4</v>
      </c>
      <c r="DO146">
        <f>AVERAGE(CV146:CZ146)</f>
        <v>9</v>
      </c>
      <c r="DQ146">
        <v>14</v>
      </c>
      <c r="DR146" t="s">
        <v>28</v>
      </c>
      <c r="DS146" t="s">
        <v>108</v>
      </c>
      <c r="DT146" t="s">
        <v>316</v>
      </c>
      <c r="DU146" t="s">
        <v>323</v>
      </c>
      <c r="DV146" t="s">
        <v>324</v>
      </c>
      <c r="DW146" t="s">
        <v>3769</v>
      </c>
      <c r="DX146" t="s">
        <v>3770</v>
      </c>
      <c r="DY146" t="s">
        <v>3771</v>
      </c>
      <c r="DZ146" t="s">
        <v>3772</v>
      </c>
      <c r="EA146" t="s">
        <v>3773</v>
      </c>
      <c r="EB146" t="s">
        <v>3774</v>
      </c>
      <c r="EC146" t="s">
        <v>3775</v>
      </c>
      <c r="ED146" t="s">
        <v>3776</v>
      </c>
      <c r="EE146" t="s">
        <v>3777</v>
      </c>
      <c r="EF146" t="s">
        <v>3778</v>
      </c>
      <c r="EG146" t="s">
        <v>4014</v>
      </c>
      <c r="EH146" t="s">
        <v>4015</v>
      </c>
      <c r="EI146" t="s">
        <v>4502</v>
      </c>
      <c r="EJ146" t="s">
        <v>4174</v>
      </c>
      <c r="EK146" t="s">
        <v>4014</v>
      </c>
      <c r="EL146" t="s">
        <v>3815</v>
      </c>
      <c r="EM146" t="s">
        <v>4503</v>
      </c>
      <c r="EN146" t="s">
        <v>3931</v>
      </c>
      <c r="EO146" t="s">
        <v>4018</v>
      </c>
      <c r="EP146" t="s">
        <v>4459</v>
      </c>
      <c r="EQ146">
        <v>7</v>
      </c>
      <c r="ER146">
        <v>8</v>
      </c>
      <c r="ES146">
        <v>7</v>
      </c>
      <c r="ET146">
        <v>7</v>
      </c>
      <c r="EU146">
        <v>7</v>
      </c>
      <c r="EV146">
        <v>0.1</v>
      </c>
      <c r="EW146">
        <v>0.1</v>
      </c>
      <c r="EX146">
        <v>0.2</v>
      </c>
      <c r="EY146">
        <v>0.3</v>
      </c>
      <c r="EZ146">
        <v>0.3</v>
      </c>
      <c r="FA146">
        <f>EV146*EQ146</f>
        <v>0.70000000000000007</v>
      </c>
      <c r="FB146">
        <f>EW146*ER146</f>
        <v>0.8</v>
      </c>
      <c r="FC146">
        <f>EX146*ES146</f>
        <v>1.4000000000000001</v>
      </c>
      <c r="FD146">
        <f>EY146*ET146</f>
        <v>2.1</v>
      </c>
      <c r="FE146">
        <f>EZ146*EU146</f>
        <v>2.1</v>
      </c>
      <c r="FF146">
        <v>14</v>
      </c>
      <c r="FG146">
        <v>0</v>
      </c>
      <c r="FH146">
        <v>14</v>
      </c>
      <c r="FI146">
        <f>FA146+FB146+FC146+FD146+FE146</f>
        <v>7.1</v>
      </c>
      <c r="FJ146">
        <f>MEDIAN(EQ146:EU146)</f>
        <v>7</v>
      </c>
      <c r="FL146">
        <v>40.9</v>
      </c>
      <c r="FM146">
        <v>9</v>
      </c>
      <c r="FN146" t="s">
        <v>1290</v>
      </c>
      <c r="FO146" t="s">
        <v>1291</v>
      </c>
      <c r="FP146" t="s">
        <v>1292</v>
      </c>
      <c r="FQ146" t="s">
        <v>629</v>
      </c>
      <c r="FR146" t="s">
        <v>1293</v>
      </c>
      <c r="FS146">
        <v>2</v>
      </c>
      <c r="FT146">
        <v>3</v>
      </c>
      <c r="FU146">
        <v>4</v>
      </c>
      <c r="FV146">
        <v>6</v>
      </c>
      <c r="FW146">
        <v>7</v>
      </c>
      <c r="FX146">
        <v>0.1</v>
      </c>
      <c r="FY146">
        <v>0.1</v>
      </c>
      <c r="FZ146">
        <v>0.2</v>
      </c>
      <c r="GA146">
        <v>0.3</v>
      </c>
      <c r="GB146">
        <v>0.3</v>
      </c>
      <c r="GC146">
        <f>FS146*FX146</f>
        <v>0.2</v>
      </c>
      <c r="GD146">
        <f>FT146*FY146</f>
        <v>0.30000000000000004</v>
      </c>
      <c r="GE146">
        <f>FU146*FZ146</f>
        <v>0.8</v>
      </c>
      <c r="GF146">
        <f>FV146*GA146</f>
        <v>1.7999999999999998</v>
      </c>
      <c r="GG146">
        <f>FW146*GB146</f>
        <v>2.1</v>
      </c>
      <c r="GH146">
        <v>9</v>
      </c>
      <c r="GI146">
        <v>0</v>
      </c>
      <c r="GJ146">
        <v>9</v>
      </c>
      <c r="GK146">
        <f>GC146+GD146+GE146+GF146+GG146</f>
        <v>5.1999999999999993</v>
      </c>
      <c r="GL146">
        <f>MEDIAN(FS146:FW146)</f>
        <v>4</v>
      </c>
    </row>
    <row r="147" spans="1:194" hidden="1" x14ac:dyDescent="0.25">
      <c r="A147">
        <v>146</v>
      </c>
      <c r="B147" t="s">
        <v>2</v>
      </c>
      <c r="C147" s="4">
        <v>79.2</v>
      </c>
      <c r="D147">
        <v>3.3</v>
      </c>
      <c r="E147" s="1">
        <f>C147/3/D147</f>
        <v>8.0000000000000018</v>
      </c>
      <c r="G147">
        <v>34.71</v>
      </c>
      <c r="H147">
        <v>7.4</v>
      </c>
      <c r="I147">
        <f>H147*D147*3</f>
        <v>73.259999999999991</v>
      </c>
      <c r="J147">
        <v>17.07</v>
      </c>
      <c r="K147">
        <v>8.4</v>
      </c>
      <c r="L147" s="3">
        <f>K147*3*D147</f>
        <v>83.160000000000011</v>
      </c>
      <c r="M147">
        <v>4.4400000000000004</v>
      </c>
      <c r="N147">
        <v>7.5</v>
      </c>
      <c r="O147">
        <f>N147*D147*3</f>
        <v>74.25</v>
      </c>
      <c r="P147" s="5">
        <v>7</v>
      </c>
      <c r="Q147" s="5">
        <f>P147*D147*3</f>
        <v>69.3</v>
      </c>
      <c r="S147" t="s">
        <v>6280</v>
      </c>
      <c r="T147">
        <v>7.7</v>
      </c>
      <c r="U147" s="8">
        <f>T147*D147*3</f>
        <v>76.23</v>
      </c>
      <c r="V147">
        <v>33.72</v>
      </c>
      <c r="W147">
        <v>8.4</v>
      </c>
      <c r="X147" s="5">
        <f>W147*D147*3</f>
        <v>83.16</v>
      </c>
      <c r="Y147">
        <v>11.98</v>
      </c>
      <c r="Z147">
        <v>7.8</v>
      </c>
      <c r="AA147">
        <f>Z147*D147*3</f>
        <v>77.22</v>
      </c>
      <c r="AC147">
        <v>47.03</v>
      </c>
      <c r="AD147">
        <v>7.9</v>
      </c>
      <c r="AE147" s="1">
        <f>AD147*3*D147</f>
        <v>78.210000000000008</v>
      </c>
      <c r="AF147">
        <v>11.85</v>
      </c>
      <c r="AG147" s="5">
        <v>7</v>
      </c>
      <c r="AH147" s="5">
        <f>AG147*D147*3</f>
        <v>69.3</v>
      </c>
      <c r="AI147" s="13"/>
      <c r="AJ147">
        <v>21.5</v>
      </c>
      <c r="AK147" s="8">
        <f>AJ147*D147*3</f>
        <v>212.85000000000002</v>
      </c>
      <c r="AL147" s="13"/>
      <c r="AM147">
        <v>31.13</v>
      </c>
      <c r="AN147">
        <v>7.9</v>
      </c>
      <c r="AO147" s="8">
        <f>AN147*D147*3</f>
        <v>78.210000000000008</v>
      </c>
      <c r="AP147">
        <v>12.69</v>
      </c>
      <c r="AQ147">
        <v>10</v>
      </c>
      <c r="AR147">
        <f>AQ147*D147*3</f>
        <v>99</v>
      </c>
      <c r="AT147">
        <v>9</v>
      </c>
      <c r="AU147">
        <f>AT147*D147*3</f>
        <v>89.1</v>
      </c>
      <c r="AW147">
        <v>23.23</v>
      </c>
      <c r="AX147">
        <v>9.1</v>
      </c>
      <c r="AY147">
        <f>AX147*D147*3</f>
        <v>90.089999999999989</v>
      </c>
      <c r="AZ147">
        <v>23.23</v>
      </c>
      <c r="BA147">
        <v>9</v>
      </c>
      <c r="BB147">
        <f>BA147*D147*3</f>
        <v>89.1</v>
      </c>
      <c r="BD147">
        <v>9</v>
      </c>
      <c r="BE147">
        <f>BD147*D147*3</f>
        <v>89.1</v>
      </c>
      <c r="BG147" s="10"/>
      <c r="BH147" s="1">
        <f>CHOOSE(MATCH(MIN(ABS(BP147-C147),ABS(BQ147-C147),ABS(BR147-C147)),CHOOSE({1;2;3},ABS(BP147-C147),ABS(BQ147-C147),ABS(BR147-C147)),0),BP147,BQ147,BR147)</f>
        <v>79.199999999999989</v>
      </c>
      <c r="BJ147" s="1" cm="1">
        <f t="array" ref="BJ147">(INDEX(_xlfn._xlws.SORT(CHOOSE({1;2;3;4;5;6},BQ147,BR147,L147,AE147,BO147,BP147)),3) + INDEX(_xlfn._xlws.SORT(CHOOSE({1;2;3;4;5;6},BQ147,BR147,L147,AE147,BO147,BP147)),4))/2</f>
        <v>78.704999999999998</v>
      </c>
      <c r="BK147">
        <v>8.0052951170073001</v>
      </c>
      <c r="BL147" t="s">
        <v>6117</v>
      </c>
      <c r="BM147" s="1">
        <f>BK147*3*D147</f>
        <v>79.25242165837227</v>
      </c>
      <c r="BN147" s="1">
        <f>BM147-C147</f>
        <v>5.2421658372267643E-2</v>
      </c>
      <c r="BO147" s="1">
        <f>GK147*3*D147</f>
        <v>49.5</v>
      </c>
      <c r="BP147" s="1">
        <f>DO147*3*D147</f>
        <v>85.139999999999986</v>
      </c>
      <c r="BQ147" s="1">
        <f>FJ147*3*D147</f>
        <v>79.199999999999989</v>
      </c>
      <c r="BR147" s="1">
        <f>GL147*3*D147</f>
        <v>59.4</v>
      </c>
      <c r="BT147">
        <v>34.71</v>
      </c>
      <c r="BU147">
        <v>7.4</v>
      </c>
      <c r="BV147" t="s">
        <v>5235</v>
      </c>
      <c r="BW147" t="s">
        <v>5082</v>
      </c>
      <c r="BX147" t="s">
        <v>5057</v>
      </c>
      <c r="BY147" t="s">
        <v>5483</v>
      </c>
      <c r="BZ147" t="s">
        <v>5484</v>
      </c>
      <c r="CA147" t="s">
        <v>2550</v>
      </c>
      <c r="CC147" t="s">
        <v>2634</v>
      </c>
      <c r="CD147" t="s">
        <v>3031</v>
      </c>
      <c r="CE147" t="s">
        <v>2553</v>
      </c>
      <c r="CG147" t="s">
        <v>2634</v>
      </c>
      <c r="CH147" t="s">
        <v>2773</v>
      </c>
      <c r="CI147" t="s">
        <v>2833</v>
      </c>
      <c r="CK147" t="s">
        <v>2634</v>
      </c>
      <c r="CL147" t="s">
        <v>3162</v>
      </c>
      <c r="CM147" t="s">
        <v>2595</v>
      </c>
      <c r="CO147" t="s">
        <v>2634</v>
      </c>
      <c r="CP147" t="s">
        <v>2776</v>
      </c>
      <c r="CQ147" t="s">
        <v>2777</v>
      </c>
      <c r="CR147" t="s">
        <v>2778</v>
      </c>
      <c r="CS147" t="s">
        <v>3163</v>
      </c>
      <c r="CT147" t="s">
        <v>3164</v>
      </c>
      <c r="CV147">
        <v>9</v>
      </c>
      <c r="CW147">
        <v>9</v>
      </c>
      <c r="CX147">
        <v>9</v>
      </c>
      <c r="CY147">
        <v>9</v>
      </c>
      <c r="CZ147">
        <v>7</v>
      </c>
      <c r="DA147">
        <v>0.1</v>
      </c>
      <c r="DB147">
        <v>0.1</v>
      </c>
      <c r="DC147">
        <v>0.2</v>
      </c>
      <c r="DD147">
        <v>0.3</v>
      </c>
      <c r="DE147">
        <v>0.3</v>
      </c>
      <c r="DF147">
        <v>0.9</v>
      </c>
      <c r="DG147">
        <v>0.9</v>
      </c>
      <c r="DH147">
        <v>1.8</v>
      </c>
      <c r="DI147">
        <v>2.7</v>
      </c>
      <c r="DJ147">
        <v>2.1</v>
      </c>
      <c r="DK147">
        <v>7.4</v>
      </c>
      <c r="DL147">
        <v>0</v>
      </c>
      <c r="DM147">
        <v>7.4</v>
      </c>
      <c r="DN147">
        <v>8.4</v>
      </c>
      <c r="DO147">
        <f>AVERAGE(CV147:CZ147)</f>
        <v>8.6</v>
      </c>
      <c r="DQ147">
        <v>8</v>
      </c>
      <c r="DR147" t="s">
        <v>213</v>
      </c>
      <c r="DS147" t="s">
        <v>29</v>
      </c>
      <c r="DT147" t="s">
        <v>214</v>
      </c>
      <c r="DU147" t="s">
        <v>215</v>
      </c>
      <c r="DV147" t="s">
        <v>216</v>
      </c>
      <c r="DW147" t="s">
        <v>3836</v>
      </c>
      <c r="DX147" t="s">
        <v>3770</v>
      </c>
      <c r="DY147" t="s">
        <v>3771</v>
      </c>
      <c r="DZ147" t="s">
        <v>3772</v>
      </c>
      <c r="EA147" t="s">
        <v>3860</v>
      </c>
      <c r="EB147" t="s">
        <v>3807</v>
      </c>
      <c r="EC147" t="s">
        <v>3775</v>
      </c>
      <c r="ED147" t="s">
        <v>3776</v>
      </c>
      <c r="EE147" t="s">
        <v>3946</v>
      </c>
      <c r="EF147" t="s">
        <v>3809</v>
      </c>
      <c r="EG147" t="s">
        <v>3810</v>
      </c>
      <c r="EH147" t="s">
        <v>3811</v>
      </c>
      <c r="EI147" t="s">
        <v>3947</v>
      </c>
      <c r="EJ147" t="s">
        <v>3813</v>
      </c>
      <c r="EK147" t="s">
        <v>3948</v>
      </c>
      <c r="EL147" t="s">
        <v>3815</v>
      </c>
      <c r="EM147" t="s">
        <v>3949</v>
      </c>
      <c r="EN147" t="s">
        <v>3809</v>
      </c>
      <c r="EO147" t="s">
        <v>4252</v>
      </c>
      <c r="EP147" t="s">
        <v>3811</v>
      </c>
      <c r="EQ147">
        <v>7</v>
      </c>
      <c r="ER147">
        <v>8</v>
      </c>
      <c r="ES147">
        <v>8</v>
      </c>
      <c r="ET147">
        <v>8</v>
      </c>
      <c r="EU147">
        <v>8</v>
      </c>
      <c r="EV147">
        <v>0.1</v>
      </c>
      <c r="EW147">
        <v>0.1</v>
      </c>
      <c r="EX147">
        <v>0.2</v>
      </c>
      <c r="EY147">
        <v>0.3</v>
      </c>
      <c r="EZ147">
        <v>0.3</v>
      </c>
      <c r="FA147">
        <f>EV147*EQ147</f>
        <v>0.70000000000000007</v>
      </c>
      <c r="FB147">
        <f>EW147*ER147</f>
        <v>0.8</v>
      </c>
      <c r="FC147">
        <f>EX147*ES147</f>
        <v>1.6</v>
      </c>
      <c r="FD147">
        <f>EY147*ET147</f>
        <v>2.4</v>
      </c>
      <c r="FE147">
        <f>EZ147*EU147</f>
        <v>2.4</v>
      </c>
      <c r="FF147">
        <v>15</v>
      </c>
      <c r="FG147">
        <v>0</v>
      </c>
      <c r="FH147">
        <v>8</v>
      </c>
      <c r="FI147">
        <f>FA147+FB147+FC147+FD147+FE147</f>
        <v>7.9</v>
      </c>
      <c r="FJ147">
        <f>MEDIAN(EQ147:EU147)</f>
        <v>8</v>
      </c>
      <c r="FL147">
        <v>44.02</v>
      </c>
      <c r="FM147">
        <v>3.3</v>
      </c>
      <c r="FN147" t="s">
        <v>1294</v>
      </c>
      <c r="FO147" t="s">
        <v>1295</v>
      </c>
      <c r="FP147" t="s">
        <v>1296</v>
      </c>
      <c r="FQ147" t="s">
        <v>1297</v>
      </c>
      <c r="FR147" t="s">
        <v>1298</v>
      </c>
      <c r="FS147">
        <v>6</v>
      </c>
      <c r="FT147">
        <v>7</v>
      </c>
      <c r="FU147">
        <v>8</v>
      </c>
      <c r="FV147">
        <v>5</v>
      </c>
      <c r="FW147">
        <v>2</v>
      </c>
      <c r="FX147">
        <v>0.1</v>
      </c>
      <c r="FY147">
        <v>0.1</v>
      </c>
      <c r="FZ147">
        <v>0.2</v>
      </c>
      <c r="GA147">
        <v>0.3</v>
      </c>
      <c r="GB147">
        <v>0.3</v>
      </c>
      <c r="GC147">
        <f>FS147*FX147</f>
        <v>0.60000000000000009</v>
      </c>
      <c r="GD147">
        <f>FT147*FY147</f>
        <v>0.70000000000000007</v>
      </c>
      <c r="GE147">
        <f>FU147*FZ147</f>
        <v>1.6</v>
      </c>
      <c r="GF147">
        <f>FV147*GA147</f>
        <v>1.5</v>
      </c>
      <c r="GG147">
        <f>FW147*GB147</f>
        <v>0.6</v>
      </c>
      <c r="GH147">
        <v>4.4000000000000004</v>
      </c>
      <c r="GI147">
        <v>-0.1</v>
      </c>
      <c r="GJ147">
        <v>3.3</v>
      </c>
      <c r="GK147">
        <f>GC147+GD147+GE147+GF147+GG147</f>
        <v>5</v>
      </c>
      <c r="GL147">
        <f>MEDIAN(FS147:FW147)</f>
        <v>6</v>
      </c>
    </row>
    <row r="148" spans="1:194" hidden="1" x14ac:dyDescent="0.25">
      <c r="A148">
        <v>147</v>
      </c>
      <c r="B148" t="s">
        <v>2</v>
      </c>
      <c r="C148" s="4">
        <v>89.1</v>
      </c>
      <c r="D148">
        <v>3.3</v>
      </c>
      <c r="E148" s="1">
        <f>C148/3/D148</f>
        <v>9</v>
      </c>
      <c r="G148">
        <v>41.79</v>
      </c>
      <c r="H148">
        <v>8.1</v>
      </c>
      <c r="I148">
        <f>H148*D148*3</f>
        <v>80.19</v>
      </c>
      <c r="J148">
        <v>16.88</v>
      </c>
      <c r="K148">
        <v>8.6999999999999993</v>
      </c>
      <c r="L148" s="3">
        <f>K148*3*D148</f>
        <v>86.129999999999981</v>
      </c>
      <c r="M148">
        <v>5.34</v>
      </c>
      <c r="N148">
        <v>5.7</v>
      </c>
      <c r="O148">
        <f>N148*D148*3</f>
        <v>56.429999999999993</v>
      </c>
      <c r="P148" s="5">
        <v>7.8</v>
      </c>
      <c r="Q148" s="5">
        <f>P148*D148*3</f>
        <v>77.22</v>
      </c>
      <c r="S148" t="s">
        <v>6281</v>
      </c>
      <c r="T148">
        <v>4</v>
      </c>
      <c r="U148" s="8">
        <f>T148*D148*3</f>
        <v>39.599999999999994</v>
      </c>
      <c r="V148">
        <v>30.25</v>
      </c>
      <c r="W148">
        <v>8</v>
      </c>
      <c r="X148" s="5">
        <f>W148*D148*3</f>
        <v>79.199999999999989</v>
      </c>
      <c r="Y148">
        <v>9.4600000000000009</v>
      </c>
      <c r="Z148">
        <v>6</v>
      </c>
      <c r="AA148">
        <f>Z148*D148*3</f>
        <v>59.399999999999991</v>
      </c>
      <c r="AC148">
        <v>44.57</v>
      </c>
      <c r="AD148">
        <v>8</v>
      </c>
      <c r="AE148" s="1">
        <f>AD148*3*D148</f>
        <v>79.199999999999989</v>
      </c>
      <c r="AF148">
        <v>9.49</v>
      </c>
      <c r="AH148" s="5">
        <f>AG148*D148*3</f>
        <v>0</v>
      </c>
      <c r="AI148" s="13"/>
      <c r="AK148" s="8">
        <f>AJ148*D148*3</f>
        <v>0</v>
      </c>
      <c r="AL148" s="13"/>
      <c r="AM148">
        <v>30.64</v>
      </c>
      <c r="AN148">
        <v>7.5</v>
      </c>
      <c r="AO148" s="8">
        <f>AN148*D148*3</f>
        <v>74.25</v>
      </c>
      <c r="AP148">
        <v>13.7</v>
      </c>
      <c r="AQ148">
        <v>10</v>
      </c>
      <c r="AR148">
        <f>AQ148*D148*3</f>
        <v>99</v>
      </c>
      <c r="AT148">
        <v>8.8000000000000007</v>
      </c>
      <c r="AU148">
        <f>AT148*D148*3</f>
        <v>87.12</v>
      </c>
      <c r="AW148">
        <v>24.73</v>
      </c>
      <c r="AX148">
        <v>9.3000000000000007</v>
      </c>
      <c r="AY148">
        <f>AX148*D148*3</f>
        <v>92.070000000000007</v>
      </c>
      <c r="AZ148">
        <v>24.73</v>
      </c>
      <c r="BA148">
        <v>8.6999999999999993</v>
      </c>
      <c r="BB148">
        <f>BA148*D148*3</f>
        <v>86.13</v>
      </c>
      <c r="BD148">
        <v>8.9</v>
      </c>
      <c r="BE148">
        <f>BD148*D148*3</f>
        <v>88.11</v>
      </c>
      <c r="BG148" s="10"/>
      <c r="BH148" s="1">
        <f>CHOOSE(MATCH(MIN(ABS(BP148-C148),ABS(BQ148-C148),ABS(BR148-C148)),CHOOSE({1;2;3},ABS(BP148-C148),ABS(BQ148-C148),ABS(BR148-C148)),0),BP148,BQ148,BR148)</f>
        <v>83.160000000000011</v>
      </c>
      <c r="BJ148" s="1" cm="1">
        <f t="array" ref="BJ148">(INDEX(_xlfn._xlws.SORT(CHOOSE({1;2;3;4;5;6},BQ148,BR148,L148,AE148,BO148,BP148)),3) + INDEX(_xlfn._xlws.SORT(CHOOSE({1;2;3;4;5;6},BQ148,BR148,L148,AE148,BO148,BP148)),4))/2</f>
        <v>79.199999999999989</v>
      </c>
      <c r="BK148">
        <v>8.9717932911534302</v>
      </c>
      <c r="BL148" t="s">
        <v>6117</v>
      </c>
      <c r="BM148" s="1">
        <f>BK148*3*D148</f>
        <v>88.820753582418945</v>
      </c>
      <c r="BN148" s="1">
        <f>BM148-C148</f>
        <v>-0.2792464175810494</v>
      </c>
      <c r="BO148" s="1">
        <f>GK148*3*D148</f>
        <v>43.56</v>
      </c>
      <c r="BP148" s="1">
        <f>DO148*3*D148</f>
        <v>83.160000000000011</v>
      </c>
      <c r="BQ148" s="1">
        <f>FJ148*3*D148</f>
        <v>79.199999999999989</v>
      </c>
      <c r="BR148" s="1">
        <f>GL148*3*D148</f>
        <v>39.599999999999994</v>
      </c>
      <c r="BT148">
        <v>41.79</v>
      </c>
      <c r="BU148">
        <v>8.1</v>
      </c>
      <c r="BV148" t="s">
        <v>5208</v>
      </c>
      <c r="BW148" t="s">
        <v>5056</v>
      </c>
      <c r="BX148" t="s">
        <v>5485</v>
      </c>
      <c r="BY148" t="s">
        <v>5486</v>
      </c>
      <c r="BZ148" t="s">
        <v>5132</v>
      </c>
      <c r="CA148" t="s">
        <v>3165</v>
      </c>
      <c r="CC148" t="s">
        <v>3166</v>
      </c>
      <c r="CD148" t="s">
        <v>3167</v>
      </c>
      <c r="CE148" t="s">
        <v>2423</v>
      </c>
      <c r="CG148" t="s">
        <v>3168</v>
      </c>
      <c r="CH148" t="s">
        <v>3169</v>
      </c>
      <c r="CI148" t="s">
        <v>2426</v>
      </c>
      <c r="CJ148" t="s">
        <v>2427</v>
      </c>
      <c r="CK148" t="s">
        <v>3170</v>
      </c>
      <c r="CL148" t="s">
        <v>3171</v>
      </c>
      <c r="CM148" t="s">
        <v>2430</v>
      </c>
      <c r="CO148" t="s">
        <v>3172</v>
      </c>
      <c r="CP148" t="s">
        <v>3173</v>
      </c>
      <c r="CQ148" t="s">
        <v>3174</v>
      </c>
      <c r="CR148" t="s">
        <v>3175</v>
      </c>
      <c r="CS148" t="s">
        <v>3176</v>
      </c>
      <c r="CT148" t="s">
        <v>3177</v>
      </c>
      <c r="CV148">
        <v>9</v>
      </c>
      <c r="CW148">
        <v>9</v>
      </c>
      <c r="CX148">
        <v>8</v>
      </c>
      <c r="CY148">
        <v>9</v>
      </c>
      <c r="CZ148">
        <v>7</v>
      </c>
      <c r="DA148">
        <v>0.1</v>
      </c>
      <c r="DB148">
        <v>0.1</v>
      </c>
      <c r="DC148">
        <v>0.2</v>
      </c>
      <c r="DD148">
        <v>0.3</v>
      </c>
      <c r="DE148">
        <v>0.3</v>
      </c>
      <c r="DF148">
        <v>0.9</v>
      </c>
      <c r="DG148">
        <v>0.9</v>
      </c>
      <c r="DH148">
        <v>1.6</v>
      </c>
      <c r="DI148">
        <v>2.7</v>
      </c>
      <c r="DJ148">
        <v>2.1</v>
      </c>
      <c r="DK148">
        <v>8.1</v>
      </c>
      <c r="DL148">
        <v>0</v>
      </c>
      <c r="DM148">
        <v>8.1</v>
      </c>
      <c r="DN148">
        <v>8.6999999999999993</v>
      </c>
      <c r="DO148">
        <f>AVERAGE(CV148:CZ148)</f>
        <v>8.4</v>
      </c>
      <c r="DQ148">
        <v>8</v>
      </c>
      <c r="DR148" t="s">
        <v>33</v>
      </c>
      <c r="DS148" t="s">
        <v>100</v>
      </c>
      <c r="DT148" t="s">
        <v>101</v>
      </c>
      <c r="DU148" t="s">
        <v>84</v>
      </c>
      <c r="DV148" t="s">
        <v>103</v>
      </c>
      <c r="DW148" t="s">
        <v>3788</v>
      </c>
      <c r="DX148" t="s">
        <v>3789</v>
      </c>
      <c r="DY148" t="s">
        <v>3790</v>
      </c>
      <c r="DZ148" t="s">
        <v>3992</v>
      </c>
      <c r="EA148" t="s">
        <v>3993</v>
      </c>
      <c r="EB148" t="s">
        <v>3793</v>
      </c>
      <c r="EC148" t="s">
        <v>3994</v>
      </c>
      <c r="ED148" t="s">
        <v>3995</v>
      </c>
      <c r="EE148" t="s">
        <v>3996</v>
      </c>
      <c r="EF148" t="s">
        <v>3797</v>
      </c>
      <c r="EG148" t="s">
        <v>3997</v>
      </c>
      <c r="EH148" t="s">
        <v>3998</v>
      </c>
      <c r="EI148" t="s">
        <v>4068</v>
      </c>
      <c r="EJ148" t="s">
        <v>3800</v>
      </c>
      <c r="EK148" t="s">
        <v>3941</v>
      </c>
      <c r="EL148" t="s">
        <v>4504</v>
      </c>
      <c r="EM148" t="s">
        <v>4001</v>
      </c>
      <c r="EN148" t="s">
        <v>3803</v>
      </c>
      <c r="EO148" t="s">
        <v>4002</v>
      </c>
      <c r="EP148" t="s">
        <v>4003</v>
      </c>
      <c r="EQ148">
        <v>8</v>
      </c>
      <c r="ER148">
        <v>8</v>
      </c>
      <c r="ES148">
        <v>8</v>
      </c>
      <c r="ET148">
        <v>8</v>
      </c>
      <c r="EU148">
        <v>8</v>
      </c>
      <c r="EV148">
        <v>0.1</v>
      </c>
      <c r="EW148">
        <v>0.1</v>
      </c>
      <c r="EX148">
        <v>0.2</v>
      </c>
      <c r="EY148">
        <v>0.3</v>
      </c>
      <c r="EZ148">
        <v>0.3</v>
      </c>
      <c r="FA148">
        <f>EV148*EQ148</f>
        <v>0.8</v>
      </c>
      <c r="FB148">
        <f>EW148*ER148</f>
        <v>0.8</v>
      </c>
      <c r="FC148">
        <f>EX148*ES148</f>
        <v>1.6</v>
      </c>
      <c r="FD148">
        <f>EY148*ET148</f>
        <v>2.4</v>
      </c>
      <c r="FE148">
        <f>EZ148*EU148</f>
        <v>2.4</v>
      </c>
      <c r="FF148">
        <v>17</v>
      </c>
      <c r="FG148">
        <v>0</v>
      </c>
      <c r="FH148">
        <v>8</v>
      </c>
      <c r="FI148">
        <f>FA148+FB148+FC148+FD148+FE148</f>
        <v>8</v>
      </c>
      <c r="FJ148">
        <f>MEDIAN(EQ148:EU148)</f>
        <v>8</v>
      </c>
      <c r="FL148">
        <v>42.81</v>
      </c>
      <c r="FM148">
        <v>7</v>
      </c>
      <c r="FN148" t="s">
        <v>1299</v>
      </c>
      <c r="FO148" t="s">
        <v>1300</v>
      </c>
      <c r="FP148" t="s">
        <v>1301</v>
      </c>
      <c r="FQ148" t="s">
        <v>1302</v>
      </c>
      <c r="FR148" t="s">
        <v>1303</v>
      </c>
      <c r="FS148">
        <v>4</v>
      </c>
      <c r="FT148">
        <v>3</v>
      </c>
      <c r="FU148">
        <v>2</v>
      </c>
      <c r="FV148">
        <v>5</v>
      </c>
      <c r="FW148">
        <v>6</v>
      </c>
      <c r="FX148">
        <v>0.1</v>
      </c>
      <c r="FY148">
        <v>0.1</v>
      </c>
      <c r="FZ148">
        <v>0.2</v>
      </c>
      <c r="GA148">
        <v>0.3</v>
      </c>
      <c r="GB148">
        <v>0.3</v>
      </c>
      <c r="GC148">
        <f>FS148*FX148</f>
        <v>0.4</v>
      </c>
      <c r="GD148">
        <f>FT148*FY148</f>
        <v>0.30000000000000004</v>
      </c>
      <c r="GE148">
        <f>FU148*FZ148</f>
        <v>0.4</v>
      </c>
      <c r="GF148">
        <f>FV148*GA148</f>
        <v>1.5</v>
      </c>
      <c r="GG148">
        <f>FW148*GB148</f>
        <v>1.7999999999999998</v>
      </c>
      <c r="GH148">
        <v>5.9</v>
      </c>
      <c r="GJ148">
        <v>7</v>
      </c>
      <c r="GK148">
        <f>GC148+GD148+GE148+GF148+GG148</f>
        <v>4.4000000000000004</v>
      </c>
      <c r="GL148">
        <f>MEDIAN(FS148:FW148)</f>
        <v>4</v>
      </c>
    </row>
    <row r="149" spans="1:194" hidden="1" x14ac:dyDescent="0.25">
      <c r="A149">
        <v>148</v>
      </c>
      <c r="B149" t="s">
        <v>2</v>
      </c>
      <c r="C149" s="4">
        <v>91.8</v>
      </c>
      <c r="D149">
        <v>3.6</v>
      </c>
      <c r="E149" s="1">
        <f>C149/3/D149</f>
        <v>8.5</v>
      </c>
      <c r="G149">
        <v>33.57</v>
      </c>
      <c r="H149">
        <v>8.85</v>
      </c>
      <c r="I149">
        <f>H149*D149*3</f>
        <v>95.58</v>
      </c>
      <c r="J149">
        <v>16.41</v>
      </c>
      <c r="K149">
        <v>8.4</v>
      </c>
      <c r="L149" s="3">
        <f>K149*3*D149</f>
        <v>90.720000000000013</v>
      </c>
      <c r="M149">
        <v>5.44</v>
      </c>
      <c r="N149">
        <v>5.7</v>
      </c>
      <c r="O149">
        <f>N149*D149*3</f>
        <v>61.56</v>
      </c>
      <c r="P149" s="5">
        <v>7.9</v>
      </c>
      <c r="Q149" s="5">
        <f>P149*D149*3</f>
        <v>85.320000000000007</v>
      </c>
      <c r="S149" t="s">
        <v>6282</v>
      </c>
      <c r="T149">
        <v>6.6</v>
      </c>
      <c r="U149" s="8">
        <f>T149*D149*3</f>
        <v>71.28</v>
      </c>
      <c r="V149">
        <v>36.01</v>
      </c>
      <c r="W149">
        <v>6</v>
      </c>
      <c r="X149" s="5">
        <f>W149*D149*3</f>
        <v>64.800000000000011</v>
      </c>
      <c r="Y149">
        <v>8.81</v>
      </c>
      <c r="Z149">
        <v>6</v>
      </c>
      <c r="AA149">
        <f>Z149*D149*3</f>
        <v>64.800000000000011</v>
      </c>
      <c r="AC149">
        <v>45.84</v>
      </c>
      <c r="AD149">
        <v>8</v>
      </c>
      <c r="AE149" s="1">
        <f>AD149*3*D149</f>
        <v>86.4</v>
      </c>
      <c r="AF149">
        <v>11.85</v>
      </c>
      <c r="AG149" s="5">
        <v>7</v>
      </c>
      <c r="AH149" s="5">
        <f>AG149*D149*3</f>
        <v>75.599999999999994</v>
      </c>
      <c r="AI149" s="13"/>
      <c r="AJ149">
        <v>0.8</v>
      </c>
      <c r="AK149" s="8">
        <f>AJ149*D149*3</f>
        <v>8.64</v>
      </c>
      <c r="AL149" s="13"/>
      <c r="AM149">
        <v>32.770000000000003</v>
      </c>
      <c r="AN149">
        <v>7</v>
      </c>
      <c r="AO149" s="8">
        <f>AN149*D149*3</f>
        <v>75.599999999999994</v>
      </c>
      <c r="AP149">
        <v>12.5</v>
      </c>
      <c r="AQ149">
        <v>10</v>
      </c>
      <c r="AR149">
        <f>AQ149*D149*3</f>
        <v>108</v>
      </c>
      <c r="AT149">
        <v>9</v>
      </c>
      <c r="AU149">
        <f>AT149*D149*3</f>
        <v>97.199999999999989</v>
      </c>
      <c r="AW149">
        <v>24.23</v>
      </c>
      <c r="AX149">
        <v>9.3000000000000007</v>
      </c>
      <c r="AY149">
        <f>AX149*D149*3</f>
        <v>100.44000000000001</v>
      </c>
      <c r="AZ149">
        <v>24.23</v>
      </c>
      <c r="BA149">
        <v>9.4</v>
      </c>
      <c r="BB149">
        <f>BA149*D149*3</f>
        <v>101.52000000000001</v>
      </c>
      <c r="BD149">
        <v>9</v>
      </c>
      <c r="BE149">
        <f>BD149*D149*3</f>
        <v>97.199999999999989</v>
      </c>
      <c r="BG149" s="10"/>
      <c r="BH149" s="1">
        <f>CHOOSE(MATCH(MIN(ABS(BP149-C149),ABS(BQ149-C149),ABS(BR149-C149)),CHOOSE({1;2;3},ABS(BP149-C149),ABS(BQ149-C149),ABS(BR149-C149)),0),BP149,BQ149,BR149)</f>
        <v>96.120000000000019</v>
      </c>
      <c r="BJ149" s="1" cm="1">
        <f t="array" ref="BJ149">(INDEX(_xlfn._xlws.SORT(CHOOSE({1;2;3;4;5;6},BQ149,BR149,L149,AE149,BO149,BP149)),3) + INDEX(_xlfn._xlws.SORT(CHOOSE({1;2;3;4;5;6},BQ149,BR149,L149,AE149,BO149,BP149)),4))/2</f>
        <v>86.4</v>
      </c>
      <c r="BK149">
        <v>8.5381226977055302</v>
      </c>
      <c r="BL149" t="s">
        <v>6117</v>
      </c>
      <c r="BM149" s="1">
        <f>BK149*3*D149</f>
        <v>92.211725135219723</v>
      </c>
      <c r="BN149" s="1">
        <f>BM149-C149</f>
        <v>0.41172513521972576</v>
      </c>
      <c r="BO149" s="1">
        <f>GK149*3*D149</f>
        <v>69.12</v>
      </c>
      <c r="BP149" s="1">
        <f>DO149*3*D149</f>
        <v>96.120000000000019</v>
      </c>
      <c r="BQ149" s="1">
        <f>FJ149*3*D149</f>
        <v>86.4</v>
      </c>
      <c r="BR149" s="1">
        <f>GL149*3*D149</f>
        <v>64.8</v>
      </c>
      <c r="BT149">
        <v>33.57</v>
      </c>
      <c r="BU149">
        <v>8.85</v>
      </c>
      <c r="BV149" t="s">
        <v>5487</v>
      </c>
      <c r="BW149" t="s">
        <v>5488</v>
      </c>
      <c r="BX149" t="s">
        <v>5489</v>
      </c>
      <c r="BY149" t="s">
        <v>5490</v>
      </c>
      <c r="BZ149" t="s">
        <v>5491</v>
      </c>
      <c r="CA149" t="s">
        <v>2550</v>
      </c>
      <c r="CC149" t="s">
        <v>2634</v>
      </c>
      <c r="CD149" t="s">
        <v>2635</v>
      </c>
      <c r="CE149" t="s">
        <v>2553</v>
      </c>
      <c r="CG149" t="s">
        <v>2634</v>
      </c>
      <c r="CH149" t="s">
        <v>2773</v>
      </c>
      <c r="CI149" t="s">
        <v>2867</v>
      </c>
      <c r="CK149" t="s">
        <v>2634</v>
      </c>
      <c r="CL149" t="s">
        <v>2669</v>
      </c>
      <c r="CM149" t="s">
        <v>2868</v>
      </c>
      <c r="CO149" t="s">
        <v>2634</v>
      </c>
      <c r="CP149" t="s">
        <v>2869</v>
      </c>
      <c r="CQ149" t="s">
        <v>2560</v>
      </c>
      <c r="CR149" t="s">
        <v>2870</v>
      </c>
      <c r="CS149" t="s">
        <v>2871</v>
      </c>
      <c r="CT149" t="s">
        <v>2872</v>
      </c>
      <c r="CV149">
        <v>9</v>
      </c>
      <c r="CW149">
        <v>9</v>
      </c>
      <c r="CX149">
        <v>9</v>
      </c>
      <c r="CY149">
        <v>9</v>
      </c>
      <c r="CZ149">
        <v>8.5</v>
      </c>
      <c r="DA149">
        <v>0.1</v>
      </c>
      <c r="DB149">
        <v>0.1</v>
      </c>
      <c r="DC149">
        <v>0.2</v>
      </c>
      <c r="DD149">
        <v>0.3</v>
      </c>
      <c r="DE149">
        <v>0.3</v>
      </c>
      <c r="DF149">
        <v>0.9</v>
      </c>
      <c r="DG149">
        <v>0.9</v>
      </c>
      <c r="DH149">
        <v>1.8</v>
      </c>
      <c r="DI149">
        <v>2.7</v>
      </c>
      <c r="DJ149">
        <v>2.5499999999999998</v>
      </c>
      <c r="DK149">
        <v>8.85</v>
      </c>
      <c r="DL149">
        <v>0</v>
      </c>
      <c r="DM149">
        <v>8.85</v>
      </c>
      <c r="DN149">
        <v>8.4</v>
      </c>
      <c r="DO149">
        <f>AVERAGE(CV149:CZ149)</f>
        <v>8.9</v>
      </c>
      <c r="DQ149">
        <v>8</v>
      </c>
      <c r="DR149" t="s">
        <v>73</v>
      </c>
      <c r="DS149" t="s">
        <v>48</v>
      </c>
      <c r="DT149" t="s">
        <v>49</v>
      </c>
      <c r="DU149" t="s">
        <v>179</v>
      </c>
      <c r="DV149" t="s">
        <v>186</v>
      </c>
      <c r="DW149" t="s">
        <v>3769</v>
      </c>
      <c r="DX149" t="s">
        <v>3789</v>
      </c>
      <c r="DY149" t="s">
        <v>3826</v>
      </c>
      <c r="DZ149" t="s">
        <v>3827</v>
      </c>
      <c r="EA149" t="s">
        <v>3828</v>
      </c>
      <c r="EB149" t="s">
        <v>3793</v>
      </c>
      <c r="EC149" t="s">
        <v>3829</v>
      </c>
      <c r="ED149" t="s">
        <v>3827</v>
      </c>
      <c r="EE149" t="s">
        <v>3830</v>
      </c>
      <c r="EF149" t="s">
        <v>3797</v>
      </c>
      <c r="EG149" t="s">
        <v>3831</v>
      </c>
      <c r="EH149" t="s">
        <v>3827</v>
      </c>
      <c r="EI149" t="s">
        <v>3832</v>
      </c>
      <c r="EJ149" t="s">
        <v>3800</v>
      </c>
      <c r="EK149" t="s">
        <v>3833</v>
      </c>
      <c r="EL149" t="s">
        <v>3827</v>
      </c>
      <c r="EM149" t="s">
        <v>4188</v>
      </c>
      <c r="EN149" t="s">
        <v>3803</v>
      </c>
      <c r="EO149" t="s">
        <v>3835</v>
      </c>
      <c r="EP149" t="s">
        <v>3827</v>
      </c>
      <c r="EQ149">
        <v>8</v>
      </c>
      <c r="ER149">
        <v>8</v>
      </c>
      <c r="ES149">
        <v>8</v>
      </c>
      <c r="ET149">
        <v>8</v>
      </c>
      <c r="EU149">
        <v>8</v>
      </c>
      <c r="EV149">
        <v>0.1</v>
      </c>
      <c r="EW149">
        <v>0.1</v>
      </c>
      <c r="EX149">
        <v>0.2</v>
      </c>
      <c r="EY149">
        <v>0.3</v>
      </c>
      <c r="EZ149">
        <v>0.3</v>
      </c>
      <c r="FA149">
        <f>EV149*EQ149</f>
        <v>0.8</v>
      </c>
      <c r="FB149">
        <f>EW149*ER149</f>
        <v>0.8</v>
      </c>
      <c r="FC149">
        <f>EX149*ES149</f>
        <v>1.6</v>
      </c>
      <c r="FD149">
        <f>EY149*ET149</f>
        <v>2.4</v>
      </c>
      <c r="FE149">
        <f>EZ149*EU149</f>
        <v>2.4</v>
      </c>
      <c r="FF149">
        <v>16</v>
      </c>
      <c r="FG149">
        <v>0</v>
      </c>
      <c r="FH149">
        <v>8</v>
      </c>
      <c r="FI149">
        <f>FA149+FB149+FC149+FD149+FE149</f>
        <v>8</v>
      </c>
      <c r="FJ149">
        <f>MEDIAN(EQ149:EU149)</f>
        <v>8</v>
      </c>
      <c r="FL149">
        <v>42.89</v>
      </c>
      <c r="FM149">
        <v>6</v>
      </c>
      <c r="FN149" t="s">
        <v>1304</v>
      </c>
      <c r="FO149" t="s">
        <v>1305</v>
      </c>
      <c r="FP149" t="s">
        <v>1306</v>
      </c>
      <c r="FQ149" t="s">
        <v>1307</v>
      </c>
      <c r="FR149" t="s">
        <v>1308</v>
      </c>
      <c r="FS149">
        <v>6</v>
      </c>
      <c r="FT149">
        <v>8</v>
      </c>
      <c r="FU149">
        <v>7</v>
      </c>
      <c r="FV149">
        <v>6</v>
      </c>
      <c r="FW149">
        <v>6</v>
      </c>
      <c r="FX149">
        <v>0.1</v>
      </c>
      <c r="FY149">
        <v>0.1</v>
      </c>
      <c r="FZ149">
        <v>0.2</v>
      </c>
      <c r="GA149">
        <v>0.3</v>
      </c>
      <c r="GB149">
        <v>0.3</v>
      </c>
      <c r="GC149">
        <f>FS149*FX149</f>
        <v>0.60000000000000009</v>
      </c>
      <c r="GD149">
        <f>FT149*FY149</f>
        <v>0.8</v>
      </c>
      <c r="GE149">
        <f>FU149*FZ149</f>
        <v>1.4000000000000001</v>
      </c>
      <c r="GF149">
        <f>FV149*GA149</f>
        <v>1.7999999999999998</v>
      </c>
      <c r="GG149">
        <f>FW149*GB149</f>
        <v>1.7999999999999998</v>
      </c>
      <c r="GH149">
        <v>6</v>
      </c>
      <c r="GI149">
        <v>0</v>
      </c>
      <c r="GJ149">
        <v>6</v>
      </c>
      <c r="GK149">
        <f>GC149+GD149+GE149+GF149+GG149</f>
        <v>6.3999999999999995</v>
      </c>
      <c r="GL149">
        <f>MEDIAN(FS149:FW149)</f>
        <v>6</v>
      </c>
    </row>
    <row r="150" spans="1:194" hidden="1" x14ac:dyDescent="0.25">
      <c r="A150">
        <v>149</v>
      </c>
      <c r="B150" t="s">
        <v>2</v>
      </c>
      <c r="C150" s="4">
        <v>91.8</v>
      </c>
      <c r="D150">
        <v>3.6</v>
      </c>
      <c r="E150" s="1">
        <f>C150/3/D150</f>
        <v>8.5</v>
      </c>
      <c r="G150">
        <v>35.72</v>
      </c>
      <c r="H150">
        <v>8.1999999999999993</v>
      </c>
      <c r="I150">
        <f>H150*D150*3</f>
        <v>88.56</v>
      </c>
      <c r="J150">
        <v>17.649999999999999</v>
      </c>
      <c r="K150">
        <v>9</v>
      </c>
      <c r="L150" s="3">
        <f>K150*3*D150</f>
        <v>97.2</v>
      </c>
      <c r="M150">
        <v>5.22</v>
      </c>
      <c r="N150">
        <v>5</v>
      </c>
      <c r="O150">
        <f>N150*D150*3</f>
        <v>54</v>
      </c>
      <c r="P150" s="5">
        <v>7.2</v>
      </c>
      <c r="Q150" s="5">
        <f>P150*D150*3</f>
        <v>77.760000000000005</v>
      </c>
      <c r="S150" t="s">
        <v>6283</v>
      </c>
      <c r="T150">
        <v>8.1999999999999993</v>
      </c>
      <c r="U150" s="8">
        <f>T150*D150*3</f>
        <v>88.56</v>
      </c>
      <c r="V150">
        <v>34.270000000000003</v>
      </c>
      <c r="W150">
        <v>8.4</v>
      </c>
      <c r="X150" s="5">
        <f>W150*D150*3</f>
        <v>90.72</v>
      </c>
      <c r="Y150">
        <v>9.8800000000000008</v>
      </c>
      <c r="Z150">
        <v>7.9</v>
      </c>
      <c r="AA150">
        <f>Z150*D150*3</f>
        <v>85.320000000000007</v>
      </c>
      <c r="AC150">
        <v>46.36</v>
      </c>
      <c r="AD150">
        <v>7.9</v>
      </c>
      <c r="AE150" s="1">
        <f>AD150*3*D150</f>
        <v>85.320000000000007</v>
      </c>
      <c r="AF150">
        <v>11.9</v>
      </c>
      <c r="AG150" s="5">
        <v>7</v>
      </c>
      <c r="AH150" s="5">
        <f>AG150*D150*3</f>
        <v>75.599999999999994</v>
      </c>
      <c r="AI150" s="13"/>
      <c r="AJ150">
        <v>27</v>
      </c>
      <c r="AK150" s="8">
        <f>AJ150*D150*3</f>
        <v>291.60000000000002</v>
      </c>
      <c r="AL150" s="13"/>
      <c r="AM150">
        <v>30.94</v>
      </c>
      <c r="AN150">
        <v>7</v>
      </c>
      <c r="AO150" s="8">
        <f>AN150*D150*3</f>
        <v>75.599999999999994</v>
      </c>
      <c r="AP150">
        <v>11.95</v>
      </c>
      <c r="AQ150">
        <v>10</v>
      </c>
      <c r="AR150">
        <f>AQ150*D150*3</f>
        <v>108</v>
      </c>
      <c r="AT150">
        <v>9</v>
      </c>
      <c r="AU150">
        <f>AT150*D150*3</f>
        <v>97.199999999999989</v>
      </c>
      <c r="AW150">
        <v>24.3</v>
      </c>
      <c r="AX150">
        <v>9.1</v>
      </c>
      <c r="AY150">
        <f>AX150*D150*3</f>
        <v>98.28</v>
      </c>
      <c r="AZ150">
        <v>24.3</v>
      </c>
      <c r="BA150">
        <v>9.1</v>
      </c>
      <c r="BB150">
        <f>BA150*D150*3</f>
        <v>98.28</v>
      </c>
      <c r="BD150">
        <v>8.3000000000000007</v>
      </c>
      <c r="BE150">
        <f>BD150*D150*3</f>
        <v>89.640000000000015</v>
      </c>
      <c r="BG150" s="10"/>
      <c r="BH150" s="1">
        <f>CHOOSE(MATCH(MIN(ABS(BP150-C150),ABS(BQ150-C150),ABS(BR150-C150)),CHOOSE({1;2;3},ABS(BP150-C150),ABS(BQ150-C150),ABS(BR150-C150)),0),BP150,BQ150,BR150)</f>
        <v>86.4</v>
      </c>
      <c r="BJ150" s="1" cm="1">
        <f t="array" ref="BJ150">(INDEX(_xlfn._xlws.SORT(CHOOSE({1;2;3;4;5;6},BQ150,BR150,L150,AE150,BO150,BP150)),3) + INDEX(_xlfn._xlws.SORT(CHOOSE({1;2;3;4;5;6},BQ150,BR150,L150,AE150,BO150,BP150)),4))/2</f>
        <v>86.4</v>
      </c>
      <c r="BK150">
        <v>8.4474696281903103</v>
      </c>
      <c r="BL150" t="s">
        <v>6117</v>
      </c>
      <c r="BM150" s="1">
        <f>BK150*3*D150</f>
        <v>91.232671984455351</v>
      </c>
      <c r="BN150" s="1">
        <f>BM150-C150</f>
        <v>-0.56732801554464629</v>
      </c>
      <c r="BO150" s="1">
        <f>GK150*3*D150</f>
        <v>80.999999999999986</v>
      </c>
      <c r="BP150" s="1">
        <f>DO150*3*D150</f>
        <v>97.2</v>
      </c>
      <c r="BQ150" s="1">
        <f>FJ150*3*D150</f>
        <v>86.4</v>
      </c>
      <c r="BR150" s="1">
        <f>GL150*3*D150</f>
        <v>86.4</v>
      </c>
      <c r="BT150">
        <v>35.72</v>
      </c>
      <c r="BU150">
        <v>8.1999999999999993</v>
      </c>
      <c r="BV150" t="s">
        <v>5492</v>
      </c>
      <c r="BW150" t="s">
        <v>5493</v>
      </c>
      <c r="BX150" t="s">
        <v>5179</v>
      </c>
      <c r="BY150" t="s">
        <v>5494</v>
      </c>
      <c r="BZ150" t="s">
        <v>5495</v>
      </c>
      <c r="CA150" t="s">
        <v>2506</v>
      </c>
      <c r="CC150" t="s">
        <v>2758</v>
      </c>
      <c r="CD150" t="s">
        <v>2508</v>
      </c>
      <c r="CE150" t="s">
        <v>2440</v>
      </c>
      <c r="CG150" t="s">
        <v>2761</v>
      </c>
      <c r="CH150" t="s">
        <v>2510</v>
      </c>
      <c r="CI150" t="s">
        <v>2443</v>
      </c>
      <c r="CK150" t="s">
        <v>2795</v>
      </c>
      <c r="CL150" t="s">
        <v>2512</v>
      </c>
      <c r="CM150" t="s">
        <v>2446</v>
      </c>
      <c r="CO150" t="s">
        <v>2796</v>
      </c>
      <c r="CP150" t="s">
        <v>2514</v>
      </c>
      <c r="CQ150" t="s">
        <v>2449</v>
      </c>
      <c r="CS150" t="s">
        <v>2679</v>
      </c>
      <c r="CT150" t="s">
        <v>2524</v>
      </c>
      <c r="CV150">
        <v>9</v>
      </c>
      <c r="CW150">
        <v>9</v>
      </c>
      <c r="CX150">
        <v>9</v>
      </c>
      <c r="CY150">
        <v>9</v>
      </c>
      <c r="CZ150">
        <v>9</v>
      </c>
      <c r="DA150">
        <v>0.1</v>
      </c>
      <c r="DB150">
        <v>0.1</v>
      </c>
      <c r="DC150">
        <v>0.2</v>
      </c>
      <c r="DD150">
        <v>0.3</v>
      </c>
      <c r="DE150">
        <v>0.3</v>
      </c>
      <c r="DF150">
        <v>0.9</v>
      </c>
      <c r="DG150">
        <v>0.9</v>
      </c>
      <c r="DH150">
        <v>1.8</v>
      </c>
      <c r="DI150">
        <v>2.7</v>
      </c>
      <c r="DJ150">
        <v>2.7</v>
      </c>
      <c r="DK150">
        <v>8.1999999999999993</v>
      </c>
      <c r="DL150">
        <v>0</v>
      </c>
      <c r="DM150">
        <v>8.1999999999999993</v>
      </c>
      <c r="DN150">
        <v>9</v>
      </c>
      <c r="DO150">
        <f>AVERAGE(CV150:CZ150)</f>
        <v>9</v>
      </c>
      <c r="DQ150">
        <v>15</v>
      </c>
      <c r="DR150" t="s">
        <v>194</v>
      </c>
      <c r="DS150" t="s">
        <v>29</v>
      </c>
      <c r="DT150" t="s">
        <v>180</v>
      </c>
      <c r="DU150" t="s">
        <v>58</v>
      </c>
      <c r="DV150" t="s">
        <v>193</v>
      </c>
      <c r="DW150" t="s">
        <v>3769</v>
      </c>
      <c r="DX150" t="s">
        <v>3770</v>
      </c>
      <c r="DY150" t="s">
        <v>3771</v>
      </c>
      <c r="DZ150" t="s">
        <v>3772</v>
      </c>
      <c r="EA150" t="s">
        <v>3806</v>
      </c>
      <c r="EB150" t="s">
        <v>3807</v>
      </c>
      <c r="EC150" t="s">
        <v>3775</v>
      </c>
      <c r="ED150" t="s">
        <v>3776</v>
      </c>
      <c r="EE150" t="s">
        <v>3819</v>
      </c>
      <c r="EF150" t="s">
        <v>4104</v>
      </c>
      <c r="EG150" t="s">
        <v>3810</v>
      </c>
      <c r="EH150" t="s">
        <v>3811</v>
      </c>
      <c r="EI150" t="s">
        <v>3820</v>
      </c>
      <c r="EJ150" t="s">
        <v>4174</v>
      </c>
      <c r="EK150" t="s">
        <v>4175</v>
      </c>
      <c r="EL150" t="s">
        <v>3856</v>
      </c>
      <c r="EM150" t="s">
        <v>3816</v>
      </c>
      <c r="EN150" t="s">
        <v>4050</v>
      </c>
      <c r="EO150" t="s">
        <v>4176</v>
      </c>
      <c r="EP150" t="s">
        <v>4177</v>
      </c>
      <c r="EQ150">
        <v>7</v>
      </c>
      <c r="ER150">
        <v>8</v>
      </c>
      <c r="ES150">
        <v>8</v>
      </c>
      <c r="ET150">
        <v>8</v>
      </c>
      <c r="EU150">
        <v>8</v>
      </c>
      <c r="EV150">
        <v>0.1</v>
      </c>
      <c r="EW150">
        <v>0.1</v>
      </c>
      <c r="EX150">
        <v>0.2</v>
      </c>
      <c r="EY150">
        <v>0.3</v>
      </c>
      <c r="EZ150">
        <v>0.3</v>
      </c>
      <c r="FA150">
        <f>EV150*EQ150</f>
        <v>0.70000000000000007</v>
      </c>
      <c r="FB150">
        <f>EW150*ER150</f>
        <v>0.8</v>
      </c>
      <c r="FC150">
        <f>EX150*ES150</f>
        <v>1.6</v>
      </c>
      <c r="FD150">
        <f>EY150*ET150</f>
        <v>2.4</v>
      </c>
      <c r="FE150">
        <f>EZ150*EU150</f>
        <v>2.4</v>
      </c>
      <c r="FF150">
        <v>15</v>
      </c>
      <c r="FG150">
        <v>0</v>
      </c>
      <c r="FH150">
        <v>15</v>
      </c>
      <c r="FI150">
        <f>FA150+FB150+FC150+FD150+FE150</f>
        <v>7.9</v>
      </c>
      <c r="FJ150">
        <f>MEDIAN(EQ150:EU150)</f>
        <v>8</v>
      </c>
      <c r="FL150">
        <v>40.56</v>
      </c>
      <c r="FM150">
        <v>7.7</v>
      </c>
      <c r="FN150" t="s">
        <v>1309</v>
      </c>
      <c r="FO150" t="s">
        <v>1310</v>
      </c>
      <c r="FP150" t="s">
        <v>1311</v>
      </c>
      <c r="FQ150" t="s">
        <v>1312</v>
      </c>
      <c r="FR150" t="s">
        <v>1313</v>
      </c>
      <c r="FS150">
        <v>7</v>
      </c>
      <c r="FT150">
        <v>8</v>
      </c>
      <c r="FU150">
        <v>9</v>
      </c>
      <c r="FV150">
        <v>8</v>
      </c>
      <c r="FW150">
        <v>6</v>
      </c>
      <c r="FX150">
        <v>0.1</v>
      </c>
      <c r="FY150">
        <v>0.1</v>
      </c>
      <c r="FZ150">
        <v>0.2</v>
      </c>
      <c r="GA150">
        <v>0.3</v>
      </c>
      <c r="GB150">
        <v>0.3</v>
      </c>
      <c r="GC150">
        <f>FS150*FX150</f>
        <v>0.70000000000000007</v>
      </c>
      <c r="GD150">
        <f>FT150*FY150</f>
        <v>0.8</v>
      </c>
      <c r="GE150">
        <f>FU150*FZ150</f>
        <v>1.8</v>
      </c>
      <c r="GF150">
        <f>FV150*GA150</f>
        <v>2.4</v>
      </c>
      <c r="GG150">
        <f>FW150*GB150</f>
        <v>1.7999999999999998</v>
      </c>
      <c r="GH150">
        <v>7.7</v>
      </c>
      <c r="GI150">
        <v>0</v>
      </c>
      <c r="GJ150">
        <v>7.7</v>
      </c>
      <c r="GK150">
        <f>GC150+GD150+GE150+GF150+GG150</f>
        <v>7.4999999999999991</v>
      </c>
      <c r="GL150">
        <f>MEDIAN(FS150:FW150)</f>
        <v>8</v>
      </c>
    </row>
    <row r="151" spans="1:194" hidden="1" x14ac:dyDescent="0.25">
      <c r="A151">
        <v>150</v>
      </c>
      <c r="B151" t="s">
        <v>2</v>
      </c>
      <c r="C151" s="4">
        <v>80.849999999999994</v>
      </c>
      <c r="D151">
        <v>3.3</v>
      </c>
      <c r="E151" s="1">
        <f>C151/3/D151</f>
        <v>8.1666666666666661</v>
      </c>
      <c r="G151">
        <v>36.450000000000003</v>
      </c>
      <c r="H151">
        <v>8.1999999999999993</v>
      </c>
      <c r="I151">
        <f>H151*D151*3</f>
        <v>81.179999999999978</v>
      </c>
      <c r="J151">
        <v>18.510000000000002</v>
      </c>
      <c r="K151">
        <v>9</v>
      </c>
      <c r="L151" s="3">
        <f>K151*3*D151</f>
        <v>89.1</v>
      </c>
      <c r="M151">
        <v>4.76</v>
      </c>
      <c r="N151">
        <v>3</v>
      </c>
      <c r="O151">
        <f>N151*D151*3</f>
        <v>29.699999999999996</v>
      </c>
      <c r="P151" s="5">
        <v>7.2</v>
      </c>
      <c r="Q151" s="5">
        <f>P151*D151*3</f>
        <v>71.28</v>
      </c>
      <c r="S151" t="s">
        <v>6284</v>
      </c>
      <c r="T151">
        <v>5.3</v>
      </c>
      <c r="U151" s="8">
        <f>T151*D151*3</f>
        <v>52.47</v>
      </c>
      <c r="V151">
        <v>33.270000000000003</v>
      </c>
      <c r="W151">
        <v>8</v>
      </c>
      <c r="X151" s="5">
        <f>W151*D151*3</f>
        <v>79.199999999999989</v>
      </c>
      <c r="Y151">
        <v>9.56</v>
      </c>
      <c r="Z151">
        <v>7.5</v>
      </c>
      <c r="AA151">
        <f>Z151*D151*3</f>
        <v>74.25</v>
      </c>
      <c r="AC151">
        <v>49.15</v>
      </c>
      <c r="AD151">
        <v>8</v>
      </c>
      <c r="AE151" s="1">
        <f>AD151*3*D151</f>
        <v>79.199999999999989</v>
      </c>
      <c r="AF151">
        <v>11.98</v>
      </c>
      <c r="AG151" s="5">
        <v>7</v>
      </c>
      <c r="AH151" s="5">
        <f>AG151*D151*3</f>
        <v>69.3</v>
      </c>
      <c r="AI151" s="13"/>
      <c r="AK151" s="8">
        <f>AJ151*D151*3</f>
        <v>0</v>
      </c>
      <c r="AL151" s="13"/>
      <c r="AM151">
        <v>29.94</v>
      </c>
      <c r="AN151">
        <v>7.5</v>
      </c>
      <c r="AO151" s="8">
        <f>AN151*D151*3</f>
        <v>74.25</v>
      </c>
      <c r="AP151">
        <v>14.7</v>
      </c>
      <c r="AQ151">
        <v>10</v>
      </c>
      <c r="AR151">
        <f>AQ151*D151*3</f>
        <v>99</v>
      </c>
      <c r="AT151">
        <v>8.8000000000000007</v>
      </c>
      <c r="AU151">
        <f>AT151*D151*3</f>
        <v>87.12</v>
      </c>
      <c r="AW151">
        <v>25.57</v>
      </c>
      <c r="AX151">
        <v>9.5</v>
      </c>
      <c r="AY151">
        <f>AX151*D151*3</f>
        <v>94.05</v>
      </c>
      <c r="AZ151">
        <v>25.57</v>
      </c>
      <c r="BA151">
        <v>9</v>
      </c>
      <c r="BB151">
        <f>BA151*D151*3</f>
        <v>89.1</v>
      </c>
      <c r="BD151">
        <v>9</v>
      </c>
      <c r="BE151">
        <f>BD151*D151*3</f>
        <v>89.1</v>
      </c>
      <c r="BG151" s="10"/>
      <c r="BH151" s="1">
        <f>CHOOSE(MATCH(MIN(ABS(BP151-C151),ABS(BQ151-C151),ABS(BR151-C151)),CHOOSE({1;2;3},ABS(BP151-C151),ABS(BQ151-C151),ABS(BR151-C151)),0),BP151,BQ151,BR151)</f>
        <v>79.199999999999989</v>
      </c>
      <c r="BJ151" s="1" cm="1">
        <f t="array" ref="BJ151">(INDEX(_xlfn._xlws.SORT(CHOOSE({1;2;3;4;5;6},BQ151,BR151,L151,AE151,BO151,BP151)),3) + INDEX(_xlfn._xlws.SORT(CHOOSE({1;2;3;4;5;6},BQ151,BR151,L151,AE151,BO151,BP151)),4))/2</f>
        <v>79.199999999999989</v>
      </c>
      <c r="BK151">
        <v>8.1699155934940393</v>
      </c>
      <c r="BL151" t="s">
        <v>6117</v>
      </c>
      <c r="BM151" s="1">
        <f>BK151*3*D151</f>
        <v>80.882164375590989</v>
      </c>
      <c r="BN151" s="1">
        <f>BM151-C151</f>
        <v>3.2164375590994609E-2</v>
      </c>
      <c r="BO151" s="1">
        <f>GK151*3*D151</f>
        <v>51.47999999999999</v>
      </c>
      <c r="BP151" s="1">
        <f>DO151*3*D151</f>
        <v>89.1</v>
      </c>
      <c r="BQ151" s="1">
        <f>FJ151*3*D151</f>
        <v>79.199999999999989</v>
      </c>
      <c r="BR151" s="1">
        <f>GL151*3*D151</f>
        <v>39.599999999999994</v>
      </c>
      <c r="BT151">
        <v>36.450000000000003</v>
      </c>
      <c r="BU151">
        <v>8.1999999999999993</v>
      </c>
      <c r="BV151" t="s">
        <v>5496</v>
      </c>
      <c r="BW151" t="s">
        <v>5497</v>
      </c>
      <c r="BX151" t="s">
        <v>5498</v>
      </c>
      <c r="BY151" t="s">
        <v>5499</v>
      </c>
      <c r="BZ151" t="s">
        <v>5500</v>
      </c>
      <c r="CA151" t="s">
        <v>2723</v>
      </c>
      <c r="CC151" t="s">
        <v>2842</v>
      </c>
      <c r="CD151" t="s">
        <v>2439</v>
      </c>
      <c r="CE151" t="s">
        <v>2440</v>
      </c>
      <c r="CG151" t="s">
        <v>3023</v>
      </c>
      <c r="CH151" t="s">
        <v>2648</v>
      </c>
      <c r="CI151" t="s">
        <v>2443</v>
      </c>
      <c r="CK151" t="s">
        <v>3024</v>
      </c>
      <c r="CL151" t="s">
        <v>3025</v>
      </c>
      <c r="CM151" t="s">
        <v>2446</v>
      </c>
      <c r="CO151" t="s">
        <v>3026</v>
      </c>
      <c r="CP151" t="s">
        <v>2652</v>
      </c>
      <c r="CQ151" t="s">
        <v>2449</v>
      </c>
      <c r="CS151" t="s">
        <v>3027</v>
      </c>
      <c r="CT151" t="s">
        <v>3028</v>
      </c>
      <c r="CV151">
        <v>9</v>
      </c>
      <c r="CW151">
        <v>9</v>
      </c>
      <c r="CX151">
        <v>9</v>
      </c>
      <c r="CY151">
        <v>9</v>
      </c>
      <c r="CZ151">
        <v>9</v>
      </c>
      <c r="DA151">
        <v>0.1</v>
      </c>
      <c r="DB151">
        <v>0.1</v>
      </c>
      <c r="DC151">
        <v>0.2</v>
      </c>
      <c r="DD151">
        <v>0.3</v>
      </c>
      <c r="DE151">
        <v>0.3</v>
      </c>
      <c r="DF151">
        <v>0.9</v>
      </c>
      <c r="DG151">
        <v>0.9</v>
      </c>
      <c r="DH151">
        <v>1.8</v>
      </c>
      <c r="DI151">
        <v>2.7</v>
      </c>
      <c r="DJ151">
        <v>2.7</v>
      </c>
      <c r="DK151">
        <v>8.1999999999999993</v>
      </c>
      <c r="DL151">
        <v>0</v>
      </c>
      <c r="DM151">
        <v>8.1999999999999993</v>
      </c>
      <c r="DN151">
        <v>9</v>
      </c>
      <c r="DO151">
        <f>AVERAGE(CV151:CZ151)</f>
        <v>9</v>
      </c>
      <c r="DQ151" t="s">
        <v>27</v>
      </c>
      <c r="DR151" t="s">
        <v>52</v>
      </c>
      <c r="DS151" t="s">
        <v>61</v>
      </c>
      <c r="DT151" t="s">
        <v>159</v>
      </c>
      <c r="DU151" t="s">
        <v>71</v>
      </c>
      <c r="DV151" t="s">
        <v>160</v>
      </c>
      <c r="DW151" t="s">
        <v>3836</v>
      </c>
      <c r="DX151" t="s">
        <v>3858</v>
      </c>
      <c r="DY151" t="s">
        <v>4119</v>
      </c>
      <c r="DZ151" t="s">
        <v>4120</v>
      </c>
      <c r="EA151" t="s">
        <v>3860</v>
      </c>
      <c r="EB151" t="s">
        <v>4121</v>
      </c>
      <c r="EC151" t="s">
        <v>4122</v>
      </c>
      <c r="ED151" t="s">
        <v>4123</v>
      </c>
      <c r="EE151" t="s">
        <v>3863</v>
      </c>
      <c r="EF151" t="s">
        <v>4124</v>
      </c>
      <c r="EG151" t="s">
        <v>4125</v>
      </c>
      <c r="EH151" t="s">
        <v>4126</v>
      </c>
      <c r="EI151" t="s">
        <v>3879</v>
      </c>
      <c r="EJ151" t="s">
        <v>4127</v>
      </c>
      <c r="EK151" t="s">
        <v>4128</v>
      </c>
      <c r="EL151" t="s">
        <v>4129</v>
      </c>
      <c r="EM151" t="s">
        <v>3907</v>
      </c>
      <c r="EN151" t="s">
        <v>4130</v>
      </c>
      <c r="EO151" t="s">
        <v>4131</v>
      </c>
      <c r="EP151" t="s">
        <v>4132</v>
      </c>
      <c r="EQ151">
        <v>8</v>
      </c>
      <c r="ER151">
        <v>8</v>
      </c>
      <c r="ES151">
        <v>8</v>
      </c>
      <c r="ET151">
        <v>8</v>
      </c>
      <c r="EU151">
        <v>8</v>
      </c>
      <c r="EV151">
        <v>0.1</v>
      </c>
      <c r="EW151">
        <v>0.1</v>
      </c>
      <c r="EX151">
        <v>0.2</v>
      </c>
      <c r="EY151">
        <v>0.3</v>
      </c>
      <c r="EZ151">
        <v>0.3</v>
      </c>
      <c r="FA151">
        <f>EV151*EQ151</f>
        <v>0.8</v>
      </c>
      <c r="FB151">
        <f>EW151*ER151</f>
        <v>0.8</v>
      </c>
      <c r="FC151">
        <f>EX151*ES151</f>
        <v>1.6</v>
      </c>
      <c r="FD151">
        <f>EY151*ET151</f>
        <v>2.4</v>
      </c>
      <c r="FE151">
        <f>EZ151*EU151</f>
        <v>2.4</v>
      </c>
      <c r="FF151">
        <v>16</v>
      </c>
      <c r="FG151">
        <v>0</v>
      </c>
      <c r="FH151">
        <v>9</v>
      </c>
      <c r="FI151">
        <f>FA151+FB151+FC151+FD151+FE151</f>
        <v>8</v>
      </c>
      <c r="FJ151">
        <f>MEDIAN(EQ151:EU151)</f>
        <v>8</v>
      </c>
      <c r="FL151">
        <v>40.130000000000003</v>
      </c>
      <c r="FM151">
        <v>9</v>
      </c>
      <c r="FN151" t="s">
        <v>1314</v>
      </c>
      <c r="FO151" t="s">
        <v>1315</v>
      </c>
      <c r="FP151" t="s">
        <v>1316</v>
      </c>
      <c r="FQ151" t="s">
        <v>1317</v>
      </c>
      <c r="FR151" t="s">
        <v>1318</v>
      </c>
      <c r="FS151">
        <v>2</v>
      </c>
      <c r="FT151">
        <v>3</v>
      </c>
      <c r="FU151">
        <v>4</v>
      </c>
      <c r="FV151">
        <v>6</v>
      </c>
      <c r="FW151">
        <v>7</v>
      </c>
      <c r="FX151">
        <v>0.1</v>
      </c>
      <c r="FY151">
        <v>0.1</v>
      </c>
      <c r="FZ151">
        <v>0.2</v>
      </c>
      <c r="GA151">
        <v>0.3</v>
      </c>
      <c r="GB151">
        <v>0.3</v>
      </c>
      <c r="GC151">
        <f>FS151*FX151</f>
        <v>0.2</v>
      </c>
      <c r="GD151">
        <f>FT151*FY151</f>
        <v>0.30000000000000004</v>
      </c>
      <c r="GE151">
        <f>FU151*FZ151</f>
        <v>0.8</v>
      </c>
      <c r="GF151">
        <f>FV151*GA151</f>
        <v>1.7999999999999998</v>
      </c>
      <c r="GG151">
        <f>FW151*GB151</f>
        <v>2.1</v>
      </c>
      <c r="GH151">
        <v>9</v>
      </c>
      <c r="GI151">
        <v>0</v>
      </c>
      <c r="GJ151">
        <v>9</v>
      </c>
      <c r="GK151">
        <f>GC151+GD151+GE151+GF151+GG151</f>
        <v>5.1999999999999993</v>
      </c>
      <c r="GL151">
        <f>MEDIAN(FS151:FW151)</f>
        <v>4</v>
      </c>
    </row>
    <row r="152" spans="1:194" hidden="1" x14ac:dyDescent="0.25">
      <c r="A152">
        <v>151</v>
      </c>
      <c r="B152" t="s">
        <v>2</v>
      </c>
      <c r="C152" s="4">
        <v>36.75</v>
      </c>
      <c r="D152">
        <v>3.5</v>
      </c>
      <c r="E152" s="1">
        <f>C152/3/D152</f>
        <v>3.5</v>
      </c>
      <c r="G152">
        <v>37.619999999999997</v>
      </c>
      <c r="H152">
        <v>8.1999999999999993</v>
      </c>
      <c r="I152">
        <f>H152*D152*3</f>
        <v>86.1</v>
      </c>
      <c r="J152">
        <v>16.510000000000002</v>
      </c>
      <c r="K152">
        <v>9.5</v>
      </c>
      <c r="L152" s="3">
        <f>K152*3*D152</f>
        <v>99.75</v>
      </c>
      <c r="M152">
        <v>5.25</v>
      </c>
      <c r="N152">
        <v>5.4</v>
      </c>
      <c r="O152">
        <f>N152*D152*3</f>
        <v>56.7</v>
      </c>
      <c r="P152" s="5">
        <v>9</v>
      </c>
      <c r="Q152" s="5">
        <f>P152*D152*3</f>
        <v>94.5</v>
      </c>
      <c r="S152" t="s">
        <v>6285</v>
      </c>
      <c r="T152">
        <v>7</v>
      </c>
      <c r="U152" s="8">
        <f>T152*D152*3</f>
        <v>73.5</v>
      </c>
      <c r="V152">
        <v>30.54</v>
      </c>
      <c r="W152">
        <v>7.9</v>
      </c>
      <c r="X152" s="5">
        <f>W152*D152*3</f>
        <v>82.95</v>
      </c>
      <c r="Y152">
        <v>9.4600000000000009</v>
      </c>
      <c r="Z152">
        <v>7.8</v>
      </c>
      <c r="AA152">
        <f>Z152*D152*3</f>
        <v>81.900000000000006</v>
      </c>
      <c r="AC152">
        <v>46</v>
      </c>
      <c r="AD152">
        <v>7.1</v>
      </c>
      <c r="AE152" s="1">
        <f>AD152*3*D152</f>
        <v>74.549999999999983</v>
      </c>
      <c r="AF152">
        <v>9.5399999999999991</v>
      </c>
      <c r="AH152" s="5">
        <f>AG152*D152*3</f>
        <v>0</v>
      </c>
      <c r="AI152" s="13"/>
      <c r="AJ152">
        <v>7.2</v>
      </c>
      <c r="AK152" s="8">
        <f>AJ152*D152*3</f>
        <v>75.599999999999994</v>
      </c>
      <c r="AL152" s="13"/>
      <c r="AM152">
        <v>30.77</v>
      </c>
      <c r="AN152">
        <v>7.7</v>
      </c>
      <c r="AO152" s="8">
        <f>AN152*D152*3</f>
        <v>80.849999999999994</v>
      </c>
      <c r="AP152">
        <v>11.11</v>
      </c>
      <c r="AQ152">
        <v>10</v>
      </c>
      <c r="AR152">
        <f>AQ152*D152*3</f>
        <v>105</v>
      </c>
      <c r="AT152">
        <v>8.8000000000000007</v>
      </c>
      <c r="AU152">
        <f>AT152*D152*3</f>
        <v>92.4</v>
      </c>
      <c r="AW152">
        <v>24.49</v>
      </c>
      <c r="AX152">
        <v>9.4</v>
      </c>
      <c r="AY152">
        <f>AX152*D152*3</f>
        <v>98.699999999999989</v>
      </c>
      <c r="AZ152">
        <v>24.49</v>
      </c>
      <c r="BA152">
        <v>9.1</v>
      </c>
      <c r="BB152">
        <f>BA152*D152*3</f>
        <v>95.55</v>
      </c>
      <c r="BD152">
        <v>8.6999999999999993</v>
      </c>
      <c r="BE152">
        <f>BD152*D152*3</f>
        <v>91.35</v>
      </c>
      <c r="BG152" s="10"/>
      <c r="BH152" s="1">
        <f>CHOOSE(MATCH(MIN(ABS(BP152-C152),ABS(BQ152-C152),ABS(BR152-C152)),CHOOSE({1;2;3},ABS(BP152-C152),ABS(BQ152-C152),ABS(BR152-C152)),0),BP152,BQ152,BR152)</f>
        <v>63</v>
      </c>
      <c r="BJ152" s="1" cm="1">
        <f t="array" ref="BJ152">(INDEX(_xlfn._xlws.SORT(CHOOSE({1;2;3;4;5;6},BQ152,BR152,L152,AE152,BO152,BP152)),3) + INDEX(_xlfn._xlws.SORT(CHOOSE({1;2;3;4;5;6},BQ152,BR152,L152,AE152,BO152,BP152)),4))/2</f>
        <v>74.024999999999991</v>
      </c>
      <c r="BK152">
        <v>3.56927023231734</v>
      </c>
      <c r="BL152" t="s">
        <v>6117</v>
      </c>
      <c r="BM152" s="1">
        <f>BK152*3*D152</f>
        <v>37.477337439332068</v>
      </c>
      <c r="BN152" s="1">
        <f>BM152-C152</f>
        <v>0.72733743933206796</v>
      </c>
      <c r="BO152" s="1">
        <f>GK152*3*D152</f>
        <v>57.225000000000009</v>
      </c>
      <c r="BP152" s="1">
        <f>DO152*3*D152</f>
        <v>94.5</v>
      </c>
      <c r="BQ152" s="1">
        <f>FJ152*3*D152</f>
        <v>73.5</v>
      </c>
      <c r="BR152" s="1">
        <f>GL152*3*D152</f>
        <v>63</v>
      </c>
      <c r="BT152">
        <v>37.619999999999997</v>
      </c>
      <c r="BU152">
        <v>8.1999999999999993</v>
      </c>
      <c r="BV152" t="s">
        <v>5428</v>
      </c>
      <c r="BW152" t="s">
        <v>5429</v>
      </c>
      <c r="BX152" t="s">
        <v>5430</v>
      </c>
      <c r="BY152" t="s">
        <v>5501</v>
      </c>
      <c r="BZ152" t="s">
        <v>5502</v>
      </c>
      <c r="CA152" t="s">
        <v>2506</v>
      </c>
      <c r="CC152" t="s">
        <v>3065</v>
      </c>
      <c r="CD152" t="s">
        <v>2508</v>
      </c>
      <c r="CE152" t="s">
        <v>2440</v>
      </c>
      <c r="CG152" t="s">
        <v>2509</v>
      </c>
      <c r="CH152" t="s">
        <v>2510</v>
      </c>
      <c r="CI152" t="s">
        <v>2443</v>
      </c>
      <c r="CK152" t="s">
        <v>2511</v>
      </c>
      <c r="CL152" t="s">
        <v>2512</v>
      </c>
      <c r="CM152" t="s">
        <v>2521</v>
      </c>
      <c r="CO152" t="s">
        <v>2737</v>
      </c>
      <c r="CP152" t="s">
        <v>2514</v>
      </c>
      <c r="CQ152" t="s">
        <v>2449</v>
      </c>
      <c r="CS152" t="s">
        <v>2523</v>
      </c>
      <c r="CT152" t="s">
        <v>2524</v>
      </c>
      <c r="CV152">
        <v>9</v>
      </c>
      <c r="CW152">
        <v>9</v>
      </c>
      <c r="CX152">
        <v>9</v>
      </c>
      <c r="CY152">
        <v>9</v>
      </c>
      <c r="CZ152">
        <v>9</v>
      </c>
      <c r="DA152">
        <v>0.1</v>
      </c>
      <c r="DB152">
        <v>0.1</v>
      </c>
      <c r="DC152">
        <v>0.2</v>
      </c>
      <c r="DD152">
        <v>0.3</v>
      </c>
      <c r="DE152">
        <v>0.3</v>
      </c>
      <c r="DF152">
        <v>0.9</v>
      </c>
      <c r="DG152">
        <v>0.9</v>
      </c>
      <c r="DH152">
        <v>1.8</v>
      </c>
      <c r="DI152">
        <v>2.7</v>
      </c>
      <c r="DJ152">
        <v>2.7</v>
      </c>
      <c r="DK152">
        <v>8.1999999999999993</v>
      </c>
      <c r="DL152">
        <v>0</v>
      </c>
      <c r="DM152">
        <v>8.1999999999999993</v>
      </c>
      <c r="DN152">
        <v>9.5</v>
      </c>
      <c r="DO152">
        <f>AVERAGE(CV152:CZ152)</f>
        <v>9</v>
      </c>
      <c r="DQ152">
        <v>7</v>
      </c>
      <c r="DR152" t="s">
        <v>65</v>
      </c>
      <c r="DS152" t="s">
        <v>66</v>
      </c>
      <c r="DT152" t="s">
        <v>67</v>
      </c>
      <c r="DU152" t="s">
        <v>325</v>
      </c>
      <c r="DV152" t="s">
        <v>81</v>
      </c>
      <c r="DW152" t="s">
        <v>3769</v>
      </c>
      <c r="DX152" t="s">
        <v>3770</v>
      </c>
      <c r="DY152" t="s">
        <v>3771</v>
      </c>
      <c r="DZ152" t="s">
        <v>3772</v>
      </c>
      <c r="EA152" t="s">
        <v>3773</v>
      </c>
      <c r="EB152" t="s">
        <v>3774</v>
      </c>
      <c r="EC152" t="s">
        <v>3775</v>
      </c>
      <c r="ED152" t="s">
        <v>3776</v>
      </c>
      <c r="EE152" t="s">
        <v>3777</v>
      </c>
      <c r="EF152" t="s">
        <v>3778</v>
      </c>
      <c r="EG152" t="s">
        <v>4014</v>
      </c>
      <c r="EH152" t="s">
        <v>4015</v>
      </c>
      <c r="EI152" t="s">
        <v>4016</v>
      </c>
      <c r="EJ152" t="s">
        <v>3782</v>
      </c>
      <c r="EK152" t="s">
        <v>4017</v>
      </c>
      <c r="EL152" t="s">
        <v>3815</v>
      </c>
      <c r="EM152" t="s">
        <v>3930</v>
      </c>
      <c r="EN152" t="s">
        <v>4290</v>
      </c>
      <c r="EO152" t="s">
        <v>4291</v>
      </c>
      <c r="EP152" t="s">
        <v>3818</v>
      </c>
      <c r="EQ152">
        <v>7</v>
      </c>
      <c r="ER152">
        <v>8</v>
      </c>
      <c r="ES152">
        <v>7</v>
      </c>
      <c r="ET152">
        <v>7</v>
      </c>
      <c r="EU152">
        <v>7</v>
      </c>
      <c r="EV152">
        <v>0.1</v>
      </c>
      <c r="EW152">
        <v>0.1</v>
      </c>
      <c r="EX152">
        <v>0.2</v>
      </c>
      <c r="EY152">
        <v>0.3</v>
      </c>
      <c r="EZ152">
        <v>0.3</v>
      </c>
      <c r="FA152">
        <f>EV152*EQ152</f>
        <v>0.70000000000000007</v>
      </c>
      <c r="FB152">
        <f>EW152*ER152</f>
        <v>0.8</v>
      </c>
      <c r="FC152">
        <f>EX152*ES152</f>
        <v>1.4000000000000001</v>
      </c>
      <c r="FD152">
        <f>EY152*ET152</f>
        <v>2.1</v>
      </c>
      <c r="FE152">
        <f>EZ152*EU152</f>
        <v>2.1</v>
      </c>
      <c r="FF152">
        <v>17</v>
      </c>
      <c r="FG152">
        <v>0</v>
      </c>
      <c r="FH152">
        <v>7</v>
      </c>
      <c r="FI152">
        <f>FA152+FB152+FC152+FD152+FE152</f>
        <v>7.1</v>
      </c>
      <c r="FJ152">
        <f>MEDIAN(EQ152:EU152)</f>
        <v>7</v>
      </c>
      <c r="FL152">
        <v>37.17</v>
      </c>
      <c r="FM152">
        <v>5.8</v>
      </c>
      <c r="FN152" t="s">
        <v>1319</v>
      </c>
      <c r="FO152" t="s">
        <v>1320</v>
      </c>
      <c r="FP152" t="s">
        <v>1321</v>
      </c>
      <c r="FQ152" t="s">
        <v>1322</v>
      </c>
      <c r="FR152" t="s">
        <v>1323</v>
      </c>
      <c r="FS152">
        <v>5</v>
      </c>
      <c r="FT152">
        <v>7.5</v>
      </c>
      <c r="FU152">
        <v>6</v>
      </c>
      <c r="FV152">
        <v>6</v>
      </c>
      <c r="FW152">
        <v>4</v>
      </c>
      <c r="FX152">
        <v>0.1</v>
      </c>
      <c r="FY152">
        <v>0.1</v>
      </c>
      <c r="FZ152">
        <v>0.2</v>
      </c>
      <c r="GA152">
        <v>0.3</v>
      </c>
      <c r="GB152">
        <v>0.3</v>
      </c>
      <c r="GC152">
        <f>FS152*FX152</f>
        <v>0.5</v>
      </c>
      <c r="GD152">
        <f>FT152*FY152</f>
        <v>0.75</v>
      </c>
      <c r="GE152">
        <f>FU152*FZ152</f>
        <v>1.2000000000000002</v>
      </c>
      <c r="GF152">
        <f>FV152*GA152</f>
        <v>1.7999999999999998</v>
      </c>
      <c r="GG152">
        <f>FW152*GB152</f>
        <v>1.2</v>
      </c>
      <c r="GH152">
        <v>5.9</v>
      </c>
      <c r="GI152">
        <v>-0.1</v>
      </c>
      <c r="GJ152">
        <v>5.8</v>
      </c>
      <c r="GK152">
        <f>GC152+GD152+GE152+GF152+GG152</f>
        <v>5.45</v>
      </c>
      <c r="GL152">
        <f>MEDIAN(FS152:FW152)</f>
        <v>6</v>
      </c>
    </row>
    <row r="153" spans="1:194" hidden="1" x14ac:dyDescent="0.25">
      <c r="A153">
        <v>152</v>
      </c>
      <c r="B153" t="s">
        <v>2</v>
      </c>
      <c r="C153" s="4">
        <v>79.2</v>
      </c>
      <c r="D153">
        <v>3.3</v>
      </c>
      <c r="E153" s="1">
        <f>C153/3/D153</f>
        <v>8.0000000000000018</v>
      </c>
      <c r="G153">
        <v>34.56</v>
      </c>
      <c r="H153">
        <v>8.1999999999999993</v>
      </c>
      <c r="I153">
        <f>H153*D153*3</f>
        <v>81.179999999999978</v>
      </c>
      <c r="J153">
        <v>16.12</v>
      </c>
      <c r="K153">
        <v>8.4</v>
      </c>
      <c r="L153" s="3">
        <f>K153*3*D153</f>
        <v>83.160000000000011</v>
      </c>
      <c r="M153">
        <v>5.1100000000000003</v>
      </c>
      <c r="N153">
        <v>5.5</v>
      </c>
      <c r="O153">
        <f>N153*D153*3</f>
        <v>54.449999999999996</v>
      </c>
      <c r="P153" s="5">
        <v>8.6</v>
      </c>
      <c r="Q153" s="5">
        <f>P153*D153*3</f>
        <v>85.14</v>
      </c>
      <c r="S153" t="s">
        <v>6286</v>
      </c>
      <c r="T153">
        <v>6.7</v>
      </c>
      <c r="U153" s="8">
        <f>T153*D153*3</f>
        <v>66.33</v>
      </c>
      <c r="V153">
        <v>32.909999999999997</v>
      </c>
      <c r="W153">
        <v>8</v>
      </c>
      <c r="X153" s="5">
        <f>W153*D153*3</f>
        <v>79.199999999999989</v>
      </c>
      <c r="Y153">
        <v>12.59</v>
      </c>
      <c r="Z153">
        <v>7.6</v>
      </c>
      <c r="AA153">
        <f>Z153*D153*3</f>
        <v>75.239999999999995</v>
      </c>
      <c r="AC153">
        <v>48.2</v>
      </c>
      <c r="AD153">
        <v>8</v>
      </c>
      <c r="AE153" s="1">
        <f>AD153*3*D153</f>
        <v>79.199999999999989</v>
      </c>
      <c r="AF153">
        <v>11.86</v>
      </c>
      <c r="AG153" s="5">
        <v>7</v>
      </c>
      <c r="AH153" s="5">
        <f>AG153*D153*3</f>
        <v>69.3</v>
      </c>
      <c r="AI153" s="13"/>
      <c r="AJ153">
        <v>24</v>
      </c>
      <c r="AK153" s="8">
        <f>AJ153*D153*3</f>
        <v>237.59999999999997</v>
      </c>
      <c r="AL153" s="13"/>
      <c r="AM153">
        <v>30.9</v>
      </c>
      <c r="AN153">
        <v>7.6</v>
      </c>
      <c r="AO153" s="8">
        <f>AN153*D153*3</f>
        <v>75.239999999999995</v>
      </c>
      <c r="AP153">
        <v>12.57</v>
      </c>
      <c r="AQ153">
        <v>10</v>
      </c>
      <c r="AR153">
        <f>AQ153*D153*3</f>
        <v>99</v>
      </c>
      <c r="AT153">
        <v>8.3000000000000007</v>
      </c>
      <c r="AU153">
        <f>AT153*D153*3</f>
        <v>82.17</v>
      </c>
      <c r="AW153">
        <v>26.21</v>
      </c>
      <c r="AX153">
        <v>9.4</v>
      </c>
      <c r="AY153">
        <f>AX153*D153*3</f>
        <v>93.06</v>
      </c>
      <c r="AZ153">
        <v>26.21</v>
      </c>
      <c r="BA153">
        <v>9</v>
      </c>
      <c r="BB153">
        <f>BA153*D153*3</f>
        <v>89.1</v>
      </c>
      <c r="BD153">
        <v>8.9</v>
      </c>
      <c r="BE153">
        <f>BD153*D153*3</f>
        <v>88.11</v>
      </c>
      <c r="BG153" s="10"/>
      <c r="BH153" s="1">
        <f>CHOOSE(MATCH(MIN(ABS(BP153-C153),ABS(BQ153-C153),ABS(BR153-C153)),CHOOSE({1;2;3},ABS(BP153-C153),ABS(BQ153-C153),ABS(BR153-C153)),0),BP153,BQ153,BR153)</f>
        <v>79.199999999999989</v>
      </c>
      <c r="BJ153" s="1" cm="1">
        <f t="array" ref="BJ153">(INDEX(_xlfn._xlws.SORT(CHOOSE({1;2;3;4;5;6},BQ153,BR153,L153,AE153,BO153,BP153)),3) + INDEX(_xlfn._xlws.SORT(CHOOSE({1;2;3;4;5;6},BQ153,BR153,L153,AE153,BO153,BP153)),4))/2</f>
        <v>79.199999999999989</v>
      </c>
      <c r="BK153">
        <v>8.0156047760251603</v>
      </c>
      <c r="BL153" t="s">
        <v>6117</v>
      </c>
      <c r="BM153" s="1">
        <f>BK153*3*D153</f>
        <v>79.354487282649089</v>
      </c>
      <c r="BN153" s="1">
        <f>BM153-C153</f>
        <v>0.15448728264908596</v>
      </c>
      <c r="BO153" s="1">
        <f>GK153*3*D153</f>
        <v>33.659999999999997</v>
      </c>
      <c r="BP153" s="1">
        <f>DO153*3*D153</f>
        <v>89.1</v>
      </c>
      <c r="BQ153" s="1">
        <f>FJ153*3*D153</f>
        <v>79.199999999999989</v>
      </c>
      <c r="BR153" s="1">
        <f>GL153*3*D153</f>
        <v>39.599999999999994</v>
      </c>
      <c r="BT153">
        <v>34.56</v>
      </c>
      <c r="BU153">
        <v>8.1999999999999993</v>
      </c>
      <c r="BV153" t="s">
        <v>5055</v>
      </c>
      <c r="BW153" t="s">
        <v>5082</v>
      </c>
      <c r="BX153" t="s">
        <v>5360</v>
      </c>
      <c r="BY153" t="s">
        <v>5438</v>
      </c>
      <c r="BZ153" t="s">
        <v>5059</v>
      </c>
      <c r="CA153" t="s">
        <v>2437</v>
      </c>
      <c r="CC153" t="s">
        <v>2518</v>
      </c>
      <c r="CD153" t="s">
        <v>2508</v>
      </c>
      <c r="CE153" t="s">
        <v>2440</v>
      </c>
      <c r="CG153" t="s">
        <v>3178</v>
      </c>
      <c r="CH153" t="s">
        <v>2510</v>
      </c>
      <c r="CI153" t="s">
        <v>2443</v>
      </c>
      <c r="CK153" t="s">
        <v>3179</v>
      </c>
      <c r="CL153" t="s">
        <v>2512</v>
      </c>
      <c r="CM153" t="s">
        <v>2521</v>
      </c>
      <c r="CO153" t="s">
        <v>3180</v>
      </c>
      <c r="CP153" t="s">
        <v>2514</v>
      </c>
      <c r="CQ153" t="s">
        <v>2449</v>
      </c>
      <c r="CS153" t="s">
        <v>3181</v>
      </c>
      <c r="CT153" t="s">
        <v>2524</v>
      </c>
      <c r="CV153">
        <v>9</v>
      </c>
      <c r="CW153">
        <v>9</v>
      </c>
      <c r="CX153">
        <v>9</v>
      </c>
      <c r="CY153">
        <v>9</v>
      </c>
      <c r="CZ153">
        <v>9</v>
      </c>
      <c r="DA153">
        <v>0.1</v>
      </c>
      <c r="DB153">
        <v>0.1</v>
      </c>
      <c r="DC153">
        <v>0.2</v>
      </c>
      <c r="DD153">
        <v>0.3</v>
      </c>
      <c r="DE153">
        <v>0.3</v>
      </c>
      <c r="DF153">
        <v>0.9</v>
      </c>
      <c r="DG153">
        <v>0.9</v>
      </c>
      <c r="DH153">
        <v>1.8</v>
      </c>
      <c r="DI153">
        <v>2.7</v>
      </c>
      <c r="DJ153">
        <v>2.7</v>
      </c>
      <c r="DK153">
        <v>8.1999999999999993</v>
      </c>
      <c r="DL153">
        <v>0</v>
      </c>
      <c r="DM153">
        <v>8.1999999999999993</v>
      </c>
      <c r="DN153">
        <v>8.4</v>
      </c>
      <c r="DO153">
        <f>AVERAGE(CV153:CZ153)</f>
        <v>9</v>
      </c>
      <c r="DQ153">
        <v>8</v>
      </c>
      <c r="DR153" t="s">
        <v>33</v>
      </c>
      <c r="DS153" t="s">
        <v>223</v>
      </c>
      <c r="DT153" t="s">
        <v>35</v>
      </c>
      <c r="DU153" t="s">
        <v>36</v>
      </c>
      <c r="DV153" t="s">
        <v>200</v>
      </c>
      <c r="DW153" t="s">
        <v>3788</v>
      </c>
      <c r="DX153" t="s">
        <v>3789</v>
      </c>
      <c r="DY153" t="s">
        <v>3790</v>
      </c>
      <c r="DZ153" t="s">
        <v>3791</v>
      </c>
      <c r="EA153" t="s">
        <v>3792</v>
      </c>
      <c r="EB153" t="s">
        <v>3793</v>
      </c>
      <c r="EC153" t="s">
        <v>4261</v>
      </c>
      <c r="ED153" t="s">
        <v>3795</v>
      </c>
      <c r="EE153" t="s">
        <v>3796</v>
      </c>
      <c r="EF153" t="s">
        <v>3797</v>
      </c>
      <c r="EG153" t="s">
        <v>3798</v>
      </c>
      <c r="EH153" t="s">
        <v>3798</v>
      </c>
      <c r="EI153" t="s">
        <v>3799</v>
      </c>
      <c r="EJ153" t="s">
        <v>3800</v>
      </c>
      <c r="EK153" t="s">
        <v>3801</v>
      </c>
      <c r="EL153" t="s">
        <v>3801</v>
      </c>
      <c r="EM153" t="s">
        <v>4227</v>
      </c>
      <c r="EN153" t="s">
        <v>3803</v>
      </c>
      <c r="EO153" t="s">
        <v>4228</v>
      </c>
      <c r="EP153" t="s">
        <v>4262</v>
      </c>
      <c r="EQ153">
        <v>8</v>
      </c>
      <c r="ER153">
        <v>8</v>
      </c>
      <c r="ES153">
        <v>8</v>
      </c>
      <c r="ET153">
        <v>8</v>
      </c>
      <c r="EU153">
        <v>8</v>
      </c>
      <c r="EV153">
        <v>0.1</v>
      </c>
      <c r="EW153">
        <v>0.1</v>
      </c>
      <c r="EX153">
        <v>0.2</v>
      </c>
      <c r="EY153">
        <v>0.3</v>
      </c>
      <c r="EZ153">
        <v>0.3</v>
      </c>
      <c r="FA153">
        <f>EV153*EQ153</f>
        <v>0.8</v>
      </c>
      <c r="FB153">
        <f>EW153*ER153</f>
        <v>0.8</v>
      </c>
      <c r="FC153">
        <f>EX153*ES153</f>
        <v>1.6</v>
      </c>
      <c r="FD153">
        <f>EY153*ET153</f>
        <v>2.4</v>
      </c>
      <c r="FE153">
        <f>EZ153*EU153</f>
        <v>2.4</v>
      </c>
      <c r="FF153">
        <v>17</v>
      </c>
      <c r="FG153">
        <v>0</v>
      </c>
      <c r="FH153">
        <v>8</v>
      </c>
      <c r="FI153">
        <f>FA153+FB153+FC153+FD153+FE153</f>
        <v>8</v>
      </c>
      <c r="FJ153">
        <f>MEDIAN(EQ153:EU153)</f>
        <v>8</v>
      </c>
      <c r="FL153">
        <v>38.21</v>
      </c>
      <c r="FM153">
        <v>3.5</v>
      </c>
      <c r="FN153" t="s">
        <v>1324</v>
      </c>
      <c r="FO153" t="s">
        <v>1325</v>
      </c>
      <c r="FP153" t="s">
        <v>1326</v>
      </c>
      <c r="FQ153" t="s">
        <v>1327</v>
      </c>
      <c r="FR153" t="s">
        <v>1328</v>
      </c>
      <c r="FS153">
        <v>5</v>
      </c>
      <c r="FT153">
        <v>6</v>
      </c>
      <c r="FU153">
        <v>4</v>
      </c>
      <c r="FV153">
        <v>3</v>
      </c>
      <c r="FW153">
        <v>2</v>
      </c>
      <c r="FX153">
        <v>0.1</v>
      </c>
      <c r="FY153">
        <v>0.1</v>
      </c>
      <c r="FZ153">
        <v>0.2</v>
      </c>
      <c r="GA153">
        <v>0.3</v>
      </c>
      <c r="GB153">
        <v>0.3</v>
      </c>
      <c r="GC153">
        <f>FS153*FX153</f>
        <v>0.5</v>
      </c>
      <c r="GD153">
        <f>FT153*FY153</f>
        <v>0.60000000000000009</v>
      </c>
      <c r="GE153">
        <f>FU153*FZ153</f>
        <v>0.8</v>
      </c>
      <c r="GF153">
        <f>FV153*GA153</f>
        <v>0.89999999999999991</v>
      </c>
      <c r="GG153">
        <f>FW153*GB153</f>
        <v>0.6</v>
      </c>
      <c r="GH153">
        <v>3.7</v>
      </c>
      <c r="GI153">
        <v>-0.2</v>
      </c>
      <c r="GJ153">
        <v>3.5</v>
      </c>
      <c r="GK153">
        <f>GC153+GD153+GE153+GF153+GG153</f>
        <v>3.4</v>
      </c>
      <c r="GL153">
        <f>MEDIAN(FS153:FW153)</f>
        <v>4</v>
      </c>
    </row>
    <row r="154" spans="1:194" hidden="1" x14ac:dyDescent="0.25">
      <c r="A154">
        <v>153</v>
      </c>
      <c r="B154" t="s">
        <v>2</v>
      </c>
      <c r="C154" s="4">
        <v>64.349999999999994</v>
      </c>
      <c r="D154">
        <v>3.3</v>
      </c>
      <c r="E154" s="1">
        <f>C154/3/D154</f>
        <v>6.5</v>
      </c>
      <c r="G154">
        <v>34.520000000000003</v>
      </c>
      <c r="H154">
        <v>8.6999999999999993</v>
      </c>
      <c r="I154">
        <f>H154*D154*3</f>
        <v>86.13</v>
      </c>
      <c r="J154">
        <v>18.46</v>
      </c>
      <c r="K154">
        <v>9</v>
      </c>
      <c r="L154" s="3">
        <f>K154*3*D154</f>
        <v>89.1</v>
      </c>
      <c r="M154">
        <v>5.58</v>
      </c>
      <c r="N154">
        <v>8.9</v>
      </c>
      <c r="O154">
        <f>N154*D154*3</f>
        <v>88.11</v>
      </c>
      <c r="P154" s="5">
        <v>7.7</v>
      </c>
      <c r="Q154" s="5">
        <f>P154*D154*3</f>
        <v>76.23</v>
      </c>
      <c r="S154" t="s">
        <v>6287</v>
      </c>
      <c r="T154">
        <v>8.8000000000000007</v>
      </c>
      <c r="U154" s="8">
        <f>T154*D154*3</f>
        <v>87.12</v>
      </c>
      <c r="V154">
        <v>39.29</v>
      </c>
      <c r="W154">
        <v>6</v>
      </c>
      <c r="X154" s="5">
        <f>W154*D154*3</f>
        <v>59.399999999999991</v>
      </c>
      <c r="Y154">
        <v>24.92</v>
      </c>
      <c r="AA154">
        <f>Z154*D154*3</f>
        <v>0</v>
      </c>
      <c r="AC154">
        <v>48.67</v>
      </c>
      <c r="AD154">
        <v>7.1</v>
      </c>
      <c r="AE154" s="1">
        <f>AD154*3*D154</f>
        <v>70.289999999999992</v>
      </c>
      <c r="AF154">
        <v>12.35</v>
      </c>
      <c r="AG154" s="5">
        <v>7</v>
      </c>
      <c r="AH154" s="5">
        <f>AG154*D154*3</f>
        <v>69.3</v>
      </c>
      <c r="AI154" s="13"/>
      <c r="AJ154">
        <v>8.1</v>
      </c>
      <c r="AK154" s="8">
        <f>AJ154*D154*3</f>
        <v>80.19</v>
      </c>
      <c r="AL154" s="13"/>
      <c r="AM154">
        <v>31.23</v>
      </c>
      <c r="AN154">
        <v>7.6</v>
      </c>
      <c r="AO154" s="8">
        <f>AN154*D154*3</f>
        <v>75.239999999999995</v>
      </c>
      <c r="AP154">
        <v>12.35</v>
      </c>
      <c r="AQ154">
        <v>10</v>
      </c>
      <c r="AR154">
        <f>AQ154*D154*3</f>
        <v>99</v>
      </c>
      <c r="AT154">
        <v>8.8000000000000007</v>
      </c>
      <c r="AU154">
        <f>AT154*D154*3</f>
        <v>87.12</v>
      </c>
      <c r="AW154">
        <v>24.28</v>
      </c>
      <c r="AX154">
        <v>9.3000000000000007</v>
      </c>
      <c r="AY154">
        <f>AX154*D154*3</f>
        <v>92.070000000000007</v>
      </c>
      <c r="AZ154">
        <v>24.28</v>
      </c>
      <c r="BA154">
        <v>8.4</v>
      </c>
      <c r="BB154">
        <f>BA154*D154*3</f>
        <v>83.16</v>
      </c>
      <c r="BD154">
        <v>7.8</v>
      </c>
      <c r="BE154">
        <f>BD154*D154*3</f>
        <v>77.22</v>
      </c>
      <c r="BG154" s="10"/>
      <c r="BH154" s="1">
        <f>CHOOSE(MATCH(MIN(ABS(BP154-C154),ABS(BQ154-C154),ABS(BR154-C154)),CHOOSE({1;2;3},ABS(BP154-C154),ABS(BQ154-C154),ABS(BR154-C154)),0),BP154,BQ154,BR154)</f>
        <v>69.3</v>
      </c>
      <c r="BJ154" s="1" cm="1">
        <f t="array" ref="BJ154">(INDEX(_xlfn._xlws.SORT(CHOOSE({1;2;3;4;5;6},BQ154,BR154,L154,AE154,BO154,BP154)),3) + INDEX(_xlfn._xlws.SORT(CHOOSE({1;2;3;4;5;6},BQ154,BR154,L154,AE154,BO154,BP154)),4))/2</f>
        <v>69.794999999999987</v>
      </c>
      <c r="BK154">
        <v>6.5213035731655298</v>
      </c>
      <c r="BL154" t="s">
        <v>6117</v>
      </c>
      <c r="BM154" s="1">
        <f>BK154*3*D154</f>
        <v>64.560905374338745</v>
      </c>
      <c r="BN154" s="1">
        <f>BM154-C154</f>
        <v>0.21090537433875056</v>
      </c>
      <c r="BO154" s="1">
        <f>GK154*3*D154</f>
        <v>51.480000000000004</v>
      </c>
      <c r="BP154" s="1">
        <f>DO154*3*D154</f>
        <v>87.12</v>
      </c>
      <c r="BQ154" s="1">
        <f>FJ154*3*D154</f>
        <v>69.3</v>
      </c>
      <c r="BR154" s="1">
        <f>GL154*3*D154</f>
        <v>49.5</v>
      </c>
      <c r="BT154">
        <v>34.520000000000003</v>
      </c>
      <c r="BU154">
        <v>8.6999999999999993</v>
      </c>
      <c r="BV154" t="s">
        <v>5503</v>
      </c>
      <c r="BW154" t="s">
        <v>5504</v>
      </c>
      <c r="BX154" t="s">
        <v>5095</v>
      </c>
      <c r="BY154" t="s">
        <v>5505</v>
      </c>
      <c r="BZ154" t="s">
        <v>5506</v>
      </c>
      <c r="CA154" t="s">
        <v>2550</v>
      </c>
      <c r="CC154" t="s">
        <v>2634</v>
      </c>
      <c r="CD154" t="s">
        <v>2635</v>
      </c>
      <c r="CE154" t="s">
        <v>2553</v>
      </c>
      <c r="CG154" t="s">
        <v>2634</v>
      </c>
      <c r="CH154" t="s">
        <v>2773</v>
      </c>
      <c r="CI154" t="s">
        <v>3182</v>
      </c>
      <c r="CK154" t="s">
        <v>2634</v>
      </c>
      <c r="CL154" t="s">
        <v>3183</v>
      </c>
      <c r="CM154" t="s">
        <v>2704</v>
      </c>
      <c r="CO154" t="s">
        <v>2634</v>
      </c>
      <c r="CP154" t="s">
        <v>2925</v>
      </c>
      <c r="CQ154" t="s">
        <v>2926</v>
      </c>
      <c r="CR154" t="s">
        <v>3184</v>
      </c>
      <c r="CS154" t="s">
        <v>3185</v>
      </c>
      <c r="CT154" t="s">
        <v>3186</v>
      </c>
      <c r="CV154">
        <v>9</v>
      </c>
      <c r="CW154">
        <v>9</v>
      </c>
      <c r="CX154">
        <v>9</v>
      </c>
      <c r="CY154">
        <v>9</v>
      </c>
      <c r="CZ154">
        <v>8</v>
      </c>
      <c r="DA154">
        <v>0.1</v>
      </c>
      <c r="DB154">
        <v>0.1</v>
      </c>
      <c r="DC154">
        <v>0.2</v>
      </c>
      <c r="DD154">
        <v>0.3</v>
      </c>
      <c r="DE154">
        <v>0.3</v>
      </c>
      <c r="DF154">
        <v>0.9</v>
      </c>
      <c r="DG154">
        <v>0.9</v>
      </c>
      <c r="DH154">
        <v>1.8</v>
      </c>
      <c r="DI154">
        <v>2.7</v>
      </c>
      <c r="DJ154">
        <v>2.4</v>
      </c>
      <c r="DK154">
        <v>8.6999999999999993</v>
      </c>
      <c r="DL154">
        <v>0</v>
      </c>
      <c r="DM154">
        <v>8.6999999999999993</v>
      </c>
      <c r="DN154">
        <v>9</v>
      </c>
      <c r="DO154">
        <f>AVERAGE(CV154:CZ154)</f>
        <v>8.8000000000000007</v>
      </c>
      <c r="DQ154" t="s">
        <v>27</v>
      </c>
      <c r="DR154" t="s">
        <v>28</v>
      </c>
      <c r="DS154" t="s">
        <v>43</v>
      </c>
      <c r="DT154" t="s">
        <v>178</v>
      </c>
      <c r="DU154" t="s">
        <v>157</v>
      </c>
      <c r="DV154" t="s">
        <v>326</v>
      </c>
      <c r="DW154" t="s">
        <v>3769</v>
      </c>
      <c r="DX154" t="s">
        <v>3770</v>
      </c>
      <c r="DY154" t="s">
        <v>3771</v>
      </c>
      <c r="DZ154" t="s">
        <v>3772</v>
      </c>
      <c r="EA154" t="s">
        <v>3806</v>
      </c>
      <c r="EB154" t="s">
        <v>3807</v>
      </c>
      <c r="EC154" t="s">
        <v>3775</v>
      </c>
      <c r="ED154" t="s">
        <v>3776</v>
      </c>
      <c r="EE154" t="s">
        <v>3819</v>
      </c>
      <c r="EF154" t="s">
        <v>4104</v>
      </c>
      <c r="EG154" t="s">
        <v>4048</v>
      </c>
      <c r="EH154" t="s">
        <v>4015</v>
      </c>
      <c r="EI154" t="s">
        <v>4105</v>
      </c>
      <c r="EJ154" t="s">
        <v>3813</v>
      </c>
      <c r="EK154" t="s">
        <v>4049</v>
      </c>
      <c r="EL154" t="s">
        <v>3815</v>
      </c>
      <c r="EM154" t="s">
        <v>3816</v>
      </c>
      <c r="EN154" t="s">
        <v>4050</v>
      </c>
      <c r="EO154" t="s">
        <v>4018</v>
      </c>
      <c r="EP154" t="s">
        <v>4051</v>
      </c>
      <c r="EQ154">
        <v>7</v>
      </c>
      <c r="ER154">
        <v>8</v>
      </c>
      <c r="ES154">
        <v>7</v>
      </c>
      <c r="ET154">
        <v>7</v>
      </c>
      <c r="EU154">
        <v>7</v>
      </c>
      <c r="EV154">
        <v>0.1</v>
      </c>
      <c r="EW154">
        <v>0.1</v>
      </c>
      <c r="EX154">
        <v>0.2</v>
      </c>
      <c r="EY154">
        <v>0.3</v>
      </c>
      <c r="EZ154">
        <v>0.3</v>
      </c>
      <c r="FA154">
        <f>EV154*EQ154</f>
        <v>0.70000000000000007</v>
      </c>
      <c r="FB154">
        <f>EW154*ER154</f>
        <v>0.8</v>
      </c>
      <c r="FC154">
        <f>EX154*ES154</f>
        <v>1.4000000000000001</v>
      </c>
      <c r="FD154">
        <f>EY154*ET154</f>
        <v>2.1</v>
      </c>
      <c r="FE154">
        <f>EZ154*EU154</f>
        <v>2.1</v>
      </c>
      <c r="FF154">
        <v>14</v>
      </c>
      <c r="FG154">
        <v>0</v>
      </c>
      <c r="FH154">
        <v>14</v>
      </c>
      <c r="FI154">
        <f>FA154+FB154+FC154+FD154+FE154</f>
        <v>7.1</v>
      </c>
      <c r="FJ154">
        <f>MEDIAN(EQ154:EU154)</f>
        <v>7</v>
      </c>
      <c r="FL154">
        <v>37.909999999999997</v>
      </c>
      <c r="FM154">
        <v>7</v>
      </c>
      <c r="FN154" t="s">
        <v>1329</v>
      </c>
      <c r="FO154" t="s">
        <v>1330</v>
      </c>
      <c r="FP154" t="s">
        <v>1331</v>
      </c>
      <c r="FQ154" t="s">
        <v>1332</v>
      </c>
      <c r="FR154" t="s">
        <v>1333</v>
      </c>
      <c r="FS154">
        <v>6</v>
      </c>
      <c r="FT154">
        <v>4</v>
      </c>
      <c r="FU154">
        <v>3</v>
      </c>
      <c r="FV154">
        <v>5</v>
      </c>
      <c r="FW154">
        <v>7</v>
      </c>
      <c r="FX154">
        <v>0.1</v>
      </c>
      <c r="FY154">
        <v>0.1</v>
      </c>
      <c r="FZ154">
        <v>0.2</v>
      </c>
      <c r="GA154">
        <v>0.3</v>
      </c>
      <c r="GB154">
        <v>0.3</v>
      </c>
      <c r="GC154">
        <f>FS154*FX154</f>
        <v>0.60000000000000009</v>
      </c>
      <c r="GD154">
        <f>FT154*FY154</f>
        <v>0.4</v>
      </c>
      <c r="GE154">
        <f>FU154*FZ154</f>
        <v>0.60000000000000009</v>
      </c>
      <c r="GF154">
        <f>FV154*GA154</f>
        <v>1.5</v>
      </c>
      <c r="GG154">
        <f>FW154*GB154</f>
        <v>2.1</v>
      </c>
      <c r="GH154">
        <v>6.6</v>
      </c>
      <c r="GI154">
        <v>0.4</v>
      </c>
      <c r="GJ154">
        <v>7</v>
      </c>
      <c r="GK154">
        <f>GC154+GD154+GE154+GF154+GG154</f>
        <v>5.2</v>
      </c>
      <c r="GL154">
        <f>MEDIAN(FS154:FW154)</f>
        <v>5</v>
      </c>
    </row>
    <row r="155" spans="1:194" hidden="1" x14ac:dyDescent="0.25">
      <c r="A155">
        <v>154</v>
      </c>
      <c r="B155" t="s">
        <v>2</v>
      </c>
      <c r="C155" s="4">
        <v>74.25</v>
      </c>
      <c r="D155">
        <v>3.3</v>
      </c>
      <c r="E155" s="1">
        <f>C155/3/D155</f>
        <v>7.5</v>
      </c>
      <c r="G155">
        <v>36.049999999999997</v>
      </c>
      <c r="H155">
        <v>8.1999999999999993</v>
      </c>
      <c r="I155">
        <f>H155*D155*3</f>
        <v>81.179999999999978</v>
      </c>
      <c r="J155">
        <v>19.32</v>
      </c>
      <c r="K155">
        <v>8.6999999999999993</v>
      </c>
      <c r="L155" s="3">
        <f>K155*3*D155</f>
        <v>86.129999999999981</v>
      </c>
      <c r="M155">
        <v>5.0599999999999996</v>
      </c>
      <c r="N155">
        <v>5.5</v>
      </c>
      <c r="O155">
        <f>N155*D155*3</f>
        <v>54.449999999999996</v>
      </c>
      <c r="P155" s="5">
        <v>9</v>
      </c>
      <c r="Q155" s="5">
        <f>P155*D155*3</f>
        <v>89.1</v>
      </c>
      <c r="S155" t="s">
        <v>6288</v>
      </c>
      <c r="T155">
        <v>5.5</v>
      </c>
      <c r="U155" s="8">
        <f>T155*D155*3</f>
        <v>54.449999999999996</v>
      </c>
      <c r="V155">
        <v>31.5</v>
      </c>
      <c r="W155">
        <v>8.6999999999999993</v>
      </c>
      <c r="X155" s="5">
        <f>W155*D155*3</f>
        <v>86.13</v>
      </c>
      <c r="Y155">
        <v>9.25</v>
      </c>
      <c r="Z155">
        <v>7.8</v>
      </c>
      <c r="AA155">
        <f>Z155*D155*3</f>
        <v>77.22</v>
      </c>
      <c r="AC155">
        <v>50.63</v>
      </c>
      <c r="AD155">
        <v>7.6</v>
      </c>
      <c r="AE155" s="1">
        <f>AD155*3*D155</f>
        <v>75.239999999999981</v>
      </c>
      <c r="AF155">
        <v>11.9</v>
      </c>
      <c r="AG155" s="5">
        <v>7</v>
      </c>
      <c r="AH155" s="5">
        <f>AG155*D155*3</f>
        <v>69.3</v>
      </c>
      <c r="AI155" s="13"/>
      <c r="AJ155">
        <v>7.4</v>
      </c>
      <c r="AK155" s="8">
        <f>AJ155*D155*3</f>
        <v>73.259999999999991</v>
      </c>
      <c r="AL155" s="13"/>
      <c r="AM155">
        <v>32.090000000000003</v>
      </c>
      <c r="AN155">
        <v>7.9</v>
      </c>
      <c r="AO155" s="8">
        <f>AN155*D155*3</f>
        <v>78.210000000000008</v>
      </c>
      <c r="AP155">
        <v>15.11</v>
      </c>
      <c r="AQ155">
        <v>10</v>
      </c>
      <c r="AR155">
        <f>AQ155*D155*3</f>
        <v>99</v>
      </c>
      <c r="AT155">
        <v>8.3000000000000007</v>
      </c>
      <c r="AU155">
        <f>AT155*D155*3</f>
        <v>82.17</v>
      </c>
      <c r="AW155">
        <v>23.93</v>
      </c>
      <c r="AX155">
        <v>9.4</v>
      </c>
      <c r="AY155">
        <f>AX155*D155*3</f>
        <v>93.06</v>
      </c>
      <c r="AZ155">
        <v>23.93</v>
      </c>
      <c r="BA155">
        <v>9.6</v>
      </c>
      <c r="BB155">
        <f>BA155*D155*3</f>
        <v>95.039999999999992</v>
      </c>
      <c r="BD155">
        <v>8.9</v>
      </c>
      <c r="BE155">
        <f>BD155*D155*3</f>
        <v>88.11</v>
      </c>
      <c r="BG155" s="10"/>
      <c r="BH155" s="1">
        <f>CHOOSE(MATCH(MIN(ABS(BP155-C155),ABS(BQ155-C155),ABS(BR155-C155)),CHOOSE({1;2;3},ABS(BP155-C155),ABS(BQ155-C155),ABS(BR155-C155)),0),BP155,BQ155,BR155)</f>
        <v>79.199999999999989</v>
      </c>
      <c r="BJ155" s="1" cm="1">
        <f t="array" ref="BJ155">(INDEX(_xlfn._xlws.SORT(CHOOSE({1;2;3;4;5;6},BQ155,BR155,L155,AE155,BO155,BP155)),3) + INDEX(_xlfn._xlws.SORT(CHOOSE({1;2;3;4;5;6},BQ155,BR155,L155,AE155,BO155,BP155)),4))/2</f>
        <v>77.219999999999985</v>
      </c>
      <c r="BK155">
        <v>7.5080198738334696</v>
      </c>
      <c r="BL155" t="s">
        <v>6117</v>
      </c>
      <c r="BM155" s="1">
        <f>BK155*3*D155</f>
        <v>74.329396750951346</v>
      </c>
      <c r="BN155" s="1">
        <f>BM155-C155</f>
        <v>7.9396750951346462E-2</v>
      </c>
      <c r="BO155" s="1">
        <f>GK155*3*D155</f>
        <v>56.43</v>
      </c>
      <c r="BP155" s="1">
        <f>DO155*3*D155</f>
        <v>89.1</v>
      </c>
      <c r="BQ155" s="1">
        <f>FJ155*3*D155</f>
        <v>79.199999999999989</v>
      </c>
      <c r="BR155" s="1">
        <f>GL155*3*D155</f>
        <v>59.4</v>
      </c>
      <c r="BT155">
        <v>36.049999999999997</v>
      </c>
      <c r="BU155">
        <v>8.1999999999999993</v>
      </c>
      <c r="BV155" t="s">
        <v>5507</v>
      </c>
      <c r="BW155" t="s">
        <v>5508</v>
      </c>
      <c r="BX155" t="s">
        <v>5509</v>
      </c>
      <c r="BY155" t="s">
        <v>5510</v>
      </c>
      <c r="BZ155" t="s">
        <v>5511</v>
      </c>
      <c r="CA155" t="s">
        <v>2437</v>
      </c>
      <c r="CC155" t="s">
        <v>2758</v>
      </c>
      <c r="CD155" t="s">
        <v>2508</v>
      </c>
      <c r="CE155" t="s">
        <v>2440</v>
      </c>
      <c r="CG155" t="s">
        <v>2761</v>
      </c>
      <c r="CH155" t="s">
        <v>2510</v>
      </c>
      <c r="CI155" t="s">
        <v>2443</v>
      </c>
      <c r="CK155" t="s">
        <v>2795</v>
      </c>
      <c r="CL155" t="s">
        <v>2512</v>
      </c>
      <c r="CM155" t="s">
        <v>2446</v>
      </c>
      <c r="CO155" t="s">
        <v>2796</v>
      </c>
      <c r="CP155" t="s">
        <v>2514</v>
      </c>
      <c r="CQ155" t="s">
        <v>2449</v>
      </c>
      <c r="CS155" t="s">
        <v>2679</v>
      </c>
      <c r="CT155" t="s">
        <v>2524</v>
      </c>
      <c r="CV155">
        <v>9</v>
      </c>
      <c r="CW155">
        <v>9</v>
      </c>
      <c r="CX155">
        <v>9</v>
      </c>
      <c r="CY155">
        <v>9</v>
      </c>
      <c r="CZ155">
        <v>9</v>
      </c>
      <c r="DA155">
        <v>0.1</v>
      </c>
      <c r="DB155">
        <v>0.1</v>
      </c>
      <c r="DC155">
        <v>0.2</v>
      </c>
      <c r="DD155">
        <v>0.3</v>
      </c>
      <c r="DE155">
        <v>0.3</v>
      </c>
      <c r="DF155">
        <v>0.9</v>
      </c>
      <c r="DG155">
        <v>0.9</v>
      </c>
      <c r="DH155">
        <v>1.8</v>
      </c>
      <c r="DI155">
        <v>2.7</v>
      </c>
      <c r="DJ155">
        <v>2.7</v>
      </c>
      <c r="DK155">
        <v>8.1999999999999993</v>
      </c>
      <c r="DL155">
        <v>0</v>
      </c>
      <c r="DM155">
        <v>8.1999999999999993</v>
      </c>
      <c r="DN155">
        <v>8.6999999999999993</v>
      </c>
      <c r="DO155">
        <f>AVERAGE(CV155:CZ155)</f>
        <v>9</v>
      </c>
      <c r="DQ155" t="s">
        <v>27</v>
      </c>
      <c r="DR155" t="s">
        <v>33</v>
      </c>
      <c r="DS155" t="s">
        <v>327</v>
      </c>
      <c r="DT155" t="s">
        <v>328</v>
      </c>
      <c r="DU155" t="s">
        <v>329</v>
      </c>
      <c r="DV155" t="s">
        <v>330</v>
      </c>
      <c r="DW155" t="s">
        <v>3788</v>
      </c>
      <c r="DX155" t="s">
        <v>4505</v>
      </c>
      <c r="DY155" t="s">
        <v>4506</v>
      </c>
      <c r="DZ155" t="s">
        <v>4507</v>
      </c>
      <c r="EA155" t="s">
        <v>3993</v>
      </c>
      <c r="EB155" t="s">
        <v>4074</v>
      </c>
      <c r="EC155" t="s">
        <v>4508</v>
      </c>
      <c r="ED155" t="s">
        <v>4509</v>
      </c>
      <c r="EE155" t="s">
        <v>3937</v>
      </c>
      <c r="EF155" t="s">
        <v>4390</v>
      </c>
      <c r="EG155" t="s">
        <v>4510</v>
      </c>
      <c r="EH155" t="s">
        <v>4511</v>
      </c>
      <c r="EI155" t="s">
        <v>4096</v>
      </c>
      <c r="EJ155" t="s">
        <v>4512</v>
      </c>
      <c r="EK155" t="s">
        <v>4513</v>
      </c>
      <c r="EL155" t="s">
        <v>4514</v>
      </c>
      <c r="EM155" t="s">
        <v>4515</v>
      </c>
      <c r="EN155" t="s">
        <v>4397</v>
      </c>
      <c r="EO155" t="s">
        <v>4516</v>
      </c>
      <c r="EP155" t="s">
        <v>4517</v>
      </c>
      <c r="EQ155">
        <v>7</v>
      </c>
      <c r="ER155">
        <v>8</v>
      </c>
      <c r="ES155">
        <v>8</v>
      </c>
      <c r="ET155">
        <v>7</v>
      </c>
      <c r="EU155">
        <v>8</v>
      </c>
      <c r="EV155">
        <v>0.1</v>
      </c>
      <c r="EW155">
        <v>0.1</v>
      </c>
      <c r="EX155">
        <v>0.2</v>
      </c>
      <c r="EY155">
        <v>0.3</v>
      </c>
      <c r="EZ155">
        <v>0.3</v>
      </c>
      <c r="FA155">
        <f>EV155*EQ155</f>
        <v>0.70000000000000007</v>
      </c>
      <c r="FB155">
        <f>EW155*ER155</f>
        <v>0.8</v>
      </c>
      <c r="FC155">
        <f>EX155*ES155</f>
        <v>1.6</v>
      </c>
      <c r="FD155">
        <f>EY155*ET155</f>
        <v>2.1</v>
      </c>
      <c r="FE155">
        <f>EZ155*EU155</f>
        <v>2.4</v>
      </c>
      <c r="FF155">
        <v>15</v>
      </c>
      <c r="FG155">
        <v>0</v>
      </c>
      <c r="FH155">
        <v>8</v>
      </c>
      <c r="FI155">
        <f>FA155+FB155+FC155+FD155+FE155</f>
        <v>7.6</v>
      </c>
      <c r="FJ155">
        <f>MEDIAN(EQ155:EU155)</f>
        <v>8</v>
      </c>
      <c r="FL155">
        <v>41.29</v>
      </c>
      <c r="FN155" t="s">
        <v>637</v>
      </c>
      <c r="FO155" t="s">
        <v>1334</v>
      </c>
      <c r="FP155" t="s">
        <v>1335</v>
      </c>
      <c r="FQ155" t="s">
        <v>1336</v>
      </c>
      <c r="FR155" t="s">
        <v>1337</v>
      </c>
      <c r="FS155">
        <v>6</v>
      </c>
      <c r="FT155">
        <v>8</v>
      </c>
      <c r="FU155">
        <v>5</v>
      </c>
      <c r="FV155">
        <v>7</v>
      </c>
      <c r="FW155">
        <v>4</v>
      </c>
      <c r="FX155">
        <v>0.1</v>
      </c>
      <c r="FY155">
        <v>0.1</v>
      </c>
      <c r="FZ155">
        <v>0.2</v>
      </c>
      <c r="GA155">
        <v>0.3</v>
      </c>
      <c r="GB155">
        <v>0.3</v>
      </c>
      <c r="GC155">
        <f>FS155*FX155</f>
        <v>0.60000000000000009</v>
      </c>
      <c r="GD155">
        <f>FT155*FY155</f>
        <v>0.8</v>
      </c>
      <c r="GE155">
        <f>FU155*FZ155</f>
        <v>1</v>
      </c>
      <c r="GF155">
        <f>FV155*GA155</f>
        <v>2.1</v>
      </c>
      <c r="GG155">
        <f>FW155*GB155</f>
        <v>1.2</v>
      </c>
      <c r="GH155">
        <v>5.7</v>
      </c>
      <c r="GJ155">
        <v>5.7</v>
      </c>
      <c r="GK155">
        <f>GC155+GD155+GE155+GF155+GG155</f>
        <v>5.7</v>
      </c>
      <c r="GL155">
        <f>MEDIAN(FS155:FW155)</f>
        <v>6</v>
      </c>
    </row>
    <row r="156" spans="1:194" hidden="1" x14ac:dyDescent="0.25">
      <c r="A156">
        <v>155</v>
      </c>
      <c r="B156" t="s">
        <v>2</v>
      </c>
      <c r="C156" s="4">
        <v>84.15</v>
      </c>
      <c r="D156">
        <v>3.3</v>
      </c>
      <c r="E156" s="1">
        <f>C156/3/D156</f>
        <v>8.5</v>
      </c>
      <c r="G156">
        <v>37.950000000000003</v>
      </c>
      <c r="H156">
        <v>8.1</v>
      </c>
      <c r="I156">
        <f>H156*D156*3</f>
        <v>80.19</v>
      </c>
      <c r="J156">
        <v>16.75</v>
      </c>
      <c r="K156">
        <v>8.6999999999999993</v>
      </c>
      <c r="L156" s="3">
        <f>K156*3*D156</f>
        <v>86.129999999999981</v>
      </c>
      <c r="M156">
        <v>4.6900000000000004</v>
      </c>
      <c r="N156">
        <v>3</v>
      </c>
      <c r="O156">
        <f>N156*D156*3</f>
        <v>29.699999999999996</v>
      </c>
      <c r="P156" s="5">
        <v>7.2</v>
      </c>
      <c r="Q156" s="5">
        <f>P156*D156*3</f>
        <v>71.28</v>
      </c>
      <c r="S156" t="s">
        <v>6289</v>
      </c>
      <c r="T156">
        <v>5.3</v>
      </c>
      <c r="U156" s="8">
        <f>T156*D156*3</f>
        <v>52.47</v>
      </c>
      <c r="V156">
        <v>33.340000000000003</v>
      </c>
      <c r="W156">
        <v>8.4</v>
      </c>
      <c r="X156" s="5">
        <f>W156*D156*3</f>
        <v>83.16</v>
      </c>
      <c r="Y156">
        <v>13.16</v>
      </c>
      <c r="Z156">
        <v>6</v>
      </c>
      <c r="AA156">
        <f>Z156*D156*3</f>
        <v>59.399999999999991</v>
      </c>
      <c r="AC156">
        <v>42.72</v>
      </c>
      <c r="AD156">
        <v>5.9</v>
      </c>
      <c r="AE156" s="1">
        <f>AD156*3*D156</f>
        <v>58.410000000000004</v>
      </c>
      <c r="AF156">
        <v>11.84</v>
      </c>
      <c r="AG156" s="5">
        <v>7</v>
      </c>
      <c r="AH156" s="5">
        <f>AG156*D156*3</f>
        <v>69.3</v>
      </c>
      <c r="AI156" s="13"/>
      <c r="AK156" s="8">
        <f>AJ156*D156*3</f>
        <v>0</v>
      </c>
      <c r="AL156" s="13"/>
      <c r="AM156">
        <v>31.4</v>
      </c>
      <c r="AN156">
        <v>6.95</v>
      </c>
      <c r="AO156" s="8">
        <f>AN156*D156*3</f>
        <v>68.804999999999993</v>
      </c>
      <c r="AP156">
        <v>14.83</v>
      </c>
      <c r="AQ156">
        <v>9.5</v>
      </c>
      <c r="AR156">
        <f>AQ156*D156*3</f>
        <v>94.05</v>
      </c>
      <c r="AT156">
        <v>9</v>
      </c>
      <c r="AU156">
        <f>AT156*D156*3</f>
        <v>89.1</v>
      </c>
      <c r="AW156">
        <v>25.41</v>
      </c>
      <c r="AX156">
        <v>8.8000000000000007</v>
      </c>
      <c r="AY156">
        <f>AX156*D156*3</f>
        <v>87.12</v>
      </c>
      <c r="AZ156">
        <v>25.41</v>
      </c>
      <c r="BA156">
        <v>8.6</v>
      </c>
      <c r="BB156">
        <f>BA156*D156*3</f>
        <v>85.14</v>
      </c>
      <c r="BD156">
        <v>8.6</v>
      </c>
      <c r="BE156">
        <f>BD156*D156*3</f>
        <v>85.14</v>
      </c>
      <c r="BG156" s="10"/>
      <c r="BH156" s="1">
        <f>CHOOSE(MATCH(MIN(ABS(BP156-C156),ABS(BQ156-C156),ABS(BR156-C156)),CHOOSE({1;2;3},ABS(BP156-C156),ABS(BQ156-C156),ABS(BR156-C156)),0),BP156,BQ156,BR156)</f>
        <v>89.1</v>
      </c>
      <c r="BJ156" s="1" cm="1">
        <f t="array" ref="BJ156">(INDEX(_xlfn._xlws.SORT(CHOOSE({1;2;3;4;5;6},BQ156,BR156,L156,AE156,BO156,BP156)),3) + INDEX(_xlfn._xlws.SORT(CHOOSE({1;2;3;4;5;6},BQ156,BR156,L156,AE156,BO156,BP156)),4))/2</f>
        <v>78.704999999999998</v>
      </c>
      <c r="BK156">
        <v>8.5189852429226498</v>
      </c>
      <c r="BL156" t="s">
        <v>6117</v>
      </c>
      <c r="BM156" s="1">
        <f>BK156*3*D156</f>
        <v>84.337953904934224</v>
      </c>
      <c r="BN156" s="1">
        <f>BM156-C156</f>
        <v>0.18795390493421849</v>
      </c>
      <c r="BO156" s="1">
        <f>GK156*3*D156</f>
        <v>78.210000000000008</v>
      </c>
      <c r="BP156" s="1">
        <f>DO156*3*D156</f>
        <v>89.1</v>
      </c>
      <c r="BQ156" s="1">
        <f>FJ156*3*D156</f>
        <v>59.4</v>
      </c>
      <c r="BR156" s="1">
        <f>GL156*3*D156</f>
        <v>79.199999999999989</v>
      </c>
      <c r="BT156">
        <v>37.950000000000003</v>
      </c>
      <c r="BU156">
        <v>8.1</v>
      </c>
      <c r="BV156" t="s">
        <v>5512</v>
      </c>
      <c r="BW156" t="s">
        <v>5513</v>
      </c>
      <c r="BX156" t="s">
        <v>5514</v>
      </c>
      <c r="BY156" t="s">
        <v>5515</v>
      </c>
      <c r="BZ156" t="s">
        <v>5516</v>
      </c>
      <c r="CA156" t="s">
        <v>2480</v>
      </c>
      <c r="CC156" t="s">
        <v>3187</v>
      </c>
      <c r="CD156" t="s">
        <v>2508</v>
      </c>
      <c r="CE156" t="s">
        <v>2482</v>
      </c>
      <c r="CG156" t="s">
        <v>3188</v>
      </c>
      <c r="CH156" t="s">
        <v>2510</v>
      </c>
      <c r="CI156" t="s">
        <v>2907</v>
      </c>
      <c r="CK156" t="s">
        <v>3189</v>
      </c>
      <c r="CL156" t="s">
        <v>2512</v>
      </c>
      <c r="CM156" t="s">
        <v>3136</v>
      </c>
      <c r="CO156" t="s">
        <v>3190</v>
      </c>
      <c r="CP156" t="s">
        <v>2514</v>
      </c>
      <c r="CQ156" t="s">
        <v>2644</v>
      </c>
      <c r="CS156" t="s">
        <v>3191</v>
      </c>
      <c r="CT156" t="s">
        <v>2524</v>
      </c>
      <c r="CV156">
        <v>9</v>
      </c>
      <c r="CW156">
        <v>9</v>
      </c>
      <c r="CX156">
        <v>9</v>
      </c>
      <c r="CY156">
        <v>9</v>
      </c>
      <c r="CZ156">
        <v>9</v>
      </c>
      <c r="DA156">
        <v>0.1</v>
      </c>
      <c r="DB156">
        <v>0.1</v>
      </c>
      <c r="DC156">
        <v>0.2</v>
      </c>
      <c r="DD156">
        <v>0.3</v>
      </c>
      <c r="DE156">
        <v>0.3</v>
      </c>
      <c r="DF156">
        <v>0.9</v>
      </c>
      <c r="DG156">
        <v>0.9</v>
      </c>
      <c r="DH156">
        <v>1.8</v>
      </c>
      <c r="DI156">
        <v>2.7</v>
      </c>
      <c r="DJ156">
        <v>2.7</v>
      </c>
      <c r="DK156">
        <v>8.1</v>
      </c>
      <c r="DL156">
        <v>0</v>
      </c>
      <c r="DM156">
        <v>8.1</v>
      </c>
      <c r="DN156">
        <v>8.6999999999999993</v>
      </c>
      <c r="DO156">
        <f>AVERAGE(CV156:CZ156)</f>
        <v>9</v>
      </c>
      <c r="DQ156">
        <v>5</v>
      </c>
      <c r="DR156" t="s">
        <v>331</v>
      </c>
      <c r="DS156" t="s">
        <v>181</v>
      </c>
      <c r="DT156" t="s">
        <v>332</v>
      </c>
      <c r="DU156" t="s">
        <v>333</v>
      </c>
      <c r="DV156" t="s">
        <v>334</v>
      </c>
      <c r="DW156" t="s">
        <v>4518</v>
      </c>
      <c r="DX156" t="s">
        <v>4160</v>
      </c>
      <c r="DY156" t="s">
        <v>4161</v>
      </c>
      <c r="DZ156" t="s">
        <v>4162</v>
      </c>
      <c r="EA156" t="s">
        <v>4178</v>
      </c>
      <c r="EB156" t="s">
        <v>4179</v>
      </c>
      <c r="EE156" t="s">
        <v>4180</v>
      </c>
      <c r="EF156" t="s">
        <v>3813</v>
      </c>
      <c r="EH156" t="s">
        <v>4049</v>
      </c>
      <c r="EI156" t="s">
        <v>4519</v>
      </c>
      <c r="EJ156" t="s">
        <v>4520</v>
      </c>
      <c r="EL156" t="s">
        <v>4521</v>
      </c>
      <c r="EM156" t="s">
        <v>4522</v>
      </c>
      <c r="EN156" t="s">
        <v>3967</v>
      </c>
      <c r="EP156" t="s">
        <v>4185</v>
      </c>
      <c r="EQ156">
        <v>4</v>
      </c>
      <c r="ER156">
        <v>8</v>
      </c>
      <c r="ES156">
        <v>7</v>
      </c>
      <c r="ET156">
        <v>6</v>
      </c>
      <c r="EU156">
        <v>5</v>
      </c>
      <c r="EV156">
        <v>0.1</v>
      </c>
      <c r="EW156">
        <v>0.1</v>
      </c>
      <c r="EX156">
        <v>0.2</v>
      </c>
      <c r="EY156">
        <v>0.3</v>
      </c>
      <c r="EZ156">
        <v>0.3</v>
      </c>
      <c r="FA156">
        <f>EV156*EQ156</f>
        <v>0.4</v>
      </c>
      <c r="FB156">
        <f>EW156*ER156</f>
        <v>0.8</v>
      </c>
      <c r="FC156">
        <f>EX156*ES156</f>
        <v>1.4000000000000001</v>
      </c>
      <c r="FD156">
        <f>EY156*ET156</f>
        <v>1.7999999999999998</v>
      </c>
      <c r="FE156">
        <f>EZ156*EU156</f>
        <v>1.5</v>
      </c>
      <c r="FF156">
        <v>15</v>
      </c>
      <c r="FG156">
        <v>0</v>
      </c>
      <c r="FH156">
        <v>15</v>
      </c>
      <c r="FI156">
        <f>FA156+FB156+FC156+FD156+FE156</f>
        <v>5.9</v>
      </c>
      <c r="FJ156">
        <f>MEDIAN(EQ156:EU156)</f>
        <v>6</v>
      </c>
      <c r="FL156">
        <v>40.89</v>
      </c>
      <c r="FM156">
        <v>8.6999999999999993</v>
      </c>
      <c r="FN156" t="s">
        <v>1338</v>
      </c>
      <c r="FO156" t="s">
        <v>1339</v>
      </c>
      <c r="FP156" t="s">
        <v>1340</v>
      </c>
      <c r="FQ156" t="s">
        <v>1341</v>
      </c>
      <c r="FR156" t="s">
        <v>1342</v>
      </c>
      <c r="FS156">
        <v>7</v>
      </c>
      <c r="FT156">
        <v>8</v>
      </c>
      <c r="FU156">
        <v>6.5</v>
      </c>
      <c r="FV156">
        <v>9</v>
      </c>
      <c r="FW156">
        <v>8</v>
      </c>
      <c r="FX156">
        <v>0.1</v>
      </c>
      <c r="FY156">
        <v>0.1</v>
      </c>
      <c r="FZ156">
        <v>0.2</v>
      </c>
      <c r="GA156">
        <v>0.3</v>
      </c>
      <c r="GB156">
        <v>0.3</v>
      </c>
      <c r="GC156">
        <f>FS156*FX156</f>
        <v>0.70000000000000007</v>
      </c>
      <c r="GD156">
        <f>FT156*FY156</f>
        <v>0.8</v>
      </c>
      <c r="GE156">
        <f>FU156*FZ156</f>
        <v>1.3</v>
      </c>
      <c r="GF156">
        <f>FV156*GA156</f>
        <v>2.6999999999999997</v>
      </c>
      <c r="GG156">
        <f>FW156*GB156</f>
        <v>2.4</v>
      </c>
      <c r="GH156">
        <v>8.6999999999999993</v>
      </c>
      <c r="GJ156">
        <v>8.6999999999999993</v>
      </c>
      <c r="GK156">
        <f>GC156+GD156+GE156+GF156+GG156</f>
        <v>7.9</v>
      </c>
      <c r="GL156">
        <f>MEDIAN(FS156:FW156)</f>
        <v>8</v>
      </c>
    </row>
    <row r="157" spans="1:194" hidden="1" x14ac:dyDescent="0.25">
      <c r="A157">
        <v>156</v>
      </c>
      <c r="B157" t="s">
        <v>2</v>
      </c>
      <c r="C157" s="4">
        <v>89.1</v>
      </c>
      <c r="D157">
        <v>3.3</v>
      </c>
      <c r="E157" s="1">
        <f>C157/3/D157</f>
        <v>9</v>
      </c>
      <c r="G157">
        <v>34.54</v>
      </c>
      <c r="H157">
        <v>8.1999999999999993</v>
      </c>
      <c r="I157">
        <f>H157*D157*3</f>
        <v>81.179999999999978</v>
      </c>
      <c r="J157">
        <v>16.68</v>
      </c>
      <c r="K157">
        <v>8.4</v>
      </c>
      <c r="L157" s="3">
        <f>K157*3*D157</f>
        <v>83.160000000000011</v>
      </c>
      <c r="M157">
        <v>5.04</v>
      </c>
      <c r="N157">
        <v>5.5</v>
      </c>
      <c r="O157">
        <f>N157*D157*3</f>
        <v>54.449999999999996</v>
      </c>
      <c r="P157" s="5">
        <v>7.9</v>
      </c>
      <c r="Q157" s="5">
        <f>P157*D157*3</f>
        <v>78.210000000000008</v>
      </c>
      <c r="S157" t="s">
        <v>6290</v>
      </c>
      <c r="T157">
        <v>2</v>
      </c>
      <c r="U157" s="8">
        <f>T157*D157*3</f>
        <v>19.799999999999997</v>
      </c>
      <c r="V157">
        <v>31.49</v>
      </c>
      <c r="W157">
        <v>8.4</v>
      </c>
      <c r="X157" s="5">
        <f>W157*D157*3</f>
        <v>83.16</v>
      </c>
      <c r="Y157">
        <v>11.33</v>
      </c>
      <c r="Z157">
        <v>7.8</v>
      </c>
      <c r="AA157">
        <f>Z157*D157*3</f>
        <v>77.22</v>
      </c>
      <c r="AC157">
        <v>46.83</v>
      </c>
      <c r="AD157">
        <v>8</v>
      </c>
      <c r="AE157" s="1">
        <f>AD157*3*D157</f>
        <v>79.199999999999989</v>
      </c>
      <c r="AF157">
        <v>11.82</v>
      </c>
      <c r="AG157" s="5">
        <v>7</v>
      </c>
      <c r="AH157" s="5">
        <f>AG157*D157*3</f>
        <v>69.3</v>
      </c>
      <c r="AI157" s="13"/>
      <c r="AJ157">
        <v>7.2</v>
      </c>
      <c r="AK157" s="8">
        <f>AJ157*D157*3</f>
        <v>71.28</v>
      </c>
      <c r="AL157" s="13"/>
      <c r="AM157">
        <v>30.74</v>
      </c>
      <c r="AN157">
        <v>7.7</v>
      </c>
      <c r="AO157" s="8">
        <f>AN157*D157*3</f>
        <v>76.23</v>
      </c>
      <c r="AP157">
        <v>13.59</v>
      </c>
      <c r="AQ157">
        <v>10</v>
      </c>
      <c r="AR157">
        <f>AQ157*D157*3</f>
        <v>99</v>
      </c>
      <c r="AT157">
        <v>8.5</v>
      </c>
      <c r="AU157">
        <f>AT157*D157*3</f>
        <v>84.149999999999991</v>
      </c>
      <c r="AW157">
        <v>24.83</v>
      </c>
      <c r="AX157">
        <v>9.3000000000000007</v>
      </c>
      <c r="AY157">
        <f>AX157*D157*3</f>
        <v>92.070000000000007</v>
      </c>
      <c r="AZ157">
        <v>24.83</v>
      </c>
      <c r="BA157">
        <v>9</v>
      </c>
      <c r="BB157">
        <f>BA157*D157*3</f>
        <v>89.1</v>
      </c>
      <c r="BD157">
        <v>9</v>
      </c>
      <c r="BE157">
        <f>BD157*D157*3</f>
        <v>89.1</v>
      </c>
      <c r="BG157" s="10"/>
      <c r="BH157" s="1">
        <f>CHOOSE(MATCH(MIN(ABS(BP157-C157),ABS(BQ157-C157),ABS(BR157-C157)),CHOOSE({1;2;3},ABS(BP157-C157),ABS(BQ157-C157),ABS(BR157-C157)),0),BP157,BQ157,BR157)</f>
        <v>89.1</v>
      </c>
      <c r="BJ157" s="1" cm="1">
        <f t="array" ref="BJ157">(INDEX(_xlfn._xlws.SORT(CHOOSE({1;2;3;4;5;6},BQ157,BR157,L157,AE157,BO157,BP157)),3) + INDEX(_xlfn._xlws.SORT(CHOOSE({1;2;3;4;5;6},BQ157,BR157,L157,AE157,BO157,BP157)),4))/2</f>
        <v>79.199999999999989</v>
      </c>
      <c r="BK157">
        <v>8.9370565687845502</v>
      </c>
      <c r="BL157" t="s">
        <v>6117</v>
      </c>
      <c r="BM157" s="1">
        <f>BK157*3*D157</f>
        <v>88.476860030967046</v>
      </c>
      <c r="BN157" s="1">
        <f>BM157-C157</f>
        <v>-0.62313996903294822</v>
      </c>
      <c r="BO157" s="1">
        <f>GK157*3*D157</f>
        <v>60.885000000000005</v>
      </c>
      <c r="BP157" s="1">
        <f>DO157*3*D157</f>
        <v>89.1</v>
      </c>
      <c r="BQ157" s="1">
        <f>FJ157*3*D157</f>
        <v>79.199999999999989</v>
      </c>
      <c r="BR157" s="1">
        <f>GL157*3*D157</f>
        <v>64.349999999999994</v>
      </c>
      <c r="BT157">
        <v>34.54</v>
      </c>
      <c r="BU157">
        <v>8.1999999999999993</v>
      </c>
      <c r="BV157" t="s">
        <v>5235</v>
      </c>
      <c r="BW157" t="s">
        <v>5056</v>
      </c>
      <c r="BX157" t="s">
        <v>5057</v>
      </c>
      <c r="BY157" t="s">
        <v>5517</v>
      </c>
      <c r="BZ157" t="s">
        <v>4985</v>
      </c>
      <c r="CA157" t="s">
        <v>2437</v>
      </c>
      <c r="CC157" t="s">
        <v>2758</v>
      </c>
      <c r="CD157" t="s">
        <v>2873</v>
      </c>
      <c r="CE157" t="s">
        <v>2440</v>
      </c>
      <c r="CG157" t="s">
        <v>2761</v>
      </c>
      <c r="CH157" t="s">
        <v>2874</v>
      </c>
      <c r="CI157" t="s">
        <v>2443</v>
      </c>
      <c r="CK157" t="s">
        <v>2795</v>
      </c>
      <c r="CL157" t="s">
        <v>2875</v>
      </c>
      <c r="CM157" t="s">
        <v>2446</v>
      </c>
      <c r="CO157" t="s">
        <v>2796</v>
      </c>
      <c r="CP157" t="s">
        <v>2876</v>
      </c>
      <c r="CQ157" t="s">
        <v>2449</v>
      </c>
      <c r="CS157" t="s">
        <v>2679</v>
      </c>
      <c r="CT157" t="s">
        <v>2877</v>
      </c>
      <c r="CV157">
        <v>9</v>
      </c>
      <c r="CW157">
        <v>9</v>
      </c>
      <c r="CX157">
        <v>9</v>
      </c>
      <c r="CY157">
        <v>9</v>
      </c>
      <c r="CZ157">
        <v>9</v>
      </c>
      <c r="DA157">
        <v>0.1</v>
      </c>
      <c r="DB157">
        <v>0.1</v>
      </c>
      <c r="DC157">
        <v>0.2</v>
      </c>
      <c r="DD157">
        <v>0.3</v>
      </c>
      <c r="DE157">
        <v>0.3</v>
      </c>
      <c r="DF157">
        <v>0.9</v>
      </c>
      <c r="DG157">
        <v>0.9</v>
      </c>
      <c r="DH157">
        <v>1.8</v>
      </c>
      <c r="DI157">
        <v>2.7</v>
      </c>
      <c r="DJ157">
        <v>2.7</v>
      </c>
      <c r="DK157">
        <v>8.1999999999999993</v>
      </c>
      <c r="DL157">
        <v>0</v>
      </c>
      <c r="DM157">
        <v>8.1999999999999993</v>
      </c>
      <c r="DN157">
        <v>8.4</v>
      </c>
      <c r="DO157">
        <f>AVERAGE(CV157:CZ157)</f>
        <v>9</v>
      </c>
      <c r="DQ157">
        <v>8</v>
      </c>
      <c r="DR157" t="s">
        <v>52</v>
      </c>
      <c r="DS157" t="s">
        <v>115</v>
      </c>
      <c r="DT157" t="s">
        <v>116</v>
      </c>
      <c r="DU157" t="s">
        <v>71</v>
      </c>
      <c r="DV157" t="s">
        <v>117</v>
      </c>
      <c r="DW157" t="s">
        <v>3836</v>
      </c>
      <c r="DX157" t="s">
        <v>3837</v>
      </c>
      <c r="DY157" t="s">
        <v>3875</v>
      </c>
      <c r="DZ157" t="s">
        <v>3052</v>
      </c>
      <c r="EA157" t="s">
        <v>3860</v>
      </c>
      <c r="EB157" t="s">
        <v>3840</v>
      </c>
      <c r="EC157" t="s">
        <v>4027</v>
      </c>
      <c r="ED157" t="s">
        <v>2495</v>
      </c>
      <c r="EE157" t="s">
        <v>3877</v>
      </c>
      <c r="EF157" t="s">
        <v>3844</v>
      </c>
      <c r="EG157" t="s">
        <v>4028</v>
      </c>
      <c r="EH157" t="s">
        <v>2498</v>
      </c>
      <c r="EI157" t="s">
        <v>3879</v>
      </c>
      <c r="EJ157" t="s">
        <v>4029</v>
      </c>
      <c r="EK157" t="s">
        <v>4030</v>
      </c>
      <c r="EL157" t="s">
        <v>2501</v>
      </c>
      <c r="EM157" t="s">
        <v>4031</v>
      </c>
      <c r="EN157" t="s">
        <v>3852</v>
      </c>
      <c r="EO157" t="s">
        <v>4032</v>
      </c>
      <c r="EP157" t="s">
        <v>2632</v>
      </c>
      <c r="EQ157">
        <v>8</v>
      </c>
      <c r="ER157">
        <v>8</v>
      </c>
      <c r="ES157">
        <v>8</v>
      </c>
      <c r="ET157">
        <v>8</v>
      </c>
      <c r="EU157">
        <v>8</v>
      </c>
      <c r="EV157">
        <v>0.1</v>
      </c>
      <c r="EW157">
        <v>0.1</v>
      </c>
      <c r="EX157">
        <v>0.2</v>
      </c>
      <c r="EY157">
        <v>0.3</v>
      </c>
      <c r="EZ157">
        <v>0.3</v>
      </c>
      <c r="FA157">
        <f>EV157*EQ157</f>
        <v>0.8</v>
      </c>
      <c r="FB157">
        <f>EW157*ER157</f>
        <v>0.8</v>
      </c>
      <c r="FC157">
        <f>EX157*ES157</f>
        <v>1.6</v>
      </c>
      <c r="FD157">
        <f>EY157*ET157</f>
        <v>2.4</v>
      </c>
      <c r="FE157">
        <f>EZ157*EU157</f>
        <v>2.4</v>
      </c>
      <c r="FF157">
        <v>16</v>
      </c>
      <c r="FG157">
        <v>0</v>
      </c>
      <c r="FH157">
        <v>8</v>
      </c>
      <c r="FI157">
        <f>FA157+FB157+FC157+FD157+FE157</f>
        <v>8</v>
      </c>
      <c r="FJ157">
        <f>MEDIAN(EQ157:EU157)</f>
        <v>8</v>
      </c>
      <c r="FL157">
        <v>39.5</v>
      </c>
      <c r="FM157">
        <v>5.8</v>
      </c>
      <c r="FN157" t="s">
        <v>1343</v>
      </c>
      <c r="FO157" t="s">
        <v>1344</v>
      </c>
      <c r="FP157" t="s">
        <v>1345</v>
      </c>
      <c r="FQ157" t="s">
        <v>1346</v>
      </c>
      <c r="FR157" t="s">
        <v>1347</v>
      </c>
      <c r="FS157">
        <v>7</v>
      </c>
      <c r="FT157">
        <v>9.5</v>
      </c>
      <c r="FU157">
        <v>6</v>
      </c>
      <c r="FV157">
        <v>6.5</v>
      </c>
      <c r="FW157">
        <v>4.5</v>
      </c>
      <c r="FX157">
        <v>0.1</v>
      </c>
      <c r="FY157">
        <v>0.1</v>
      </c>
      <c r="FZ157">
        <v>0.2</v>
      </c>
      <c r="GA157">
        <v>0.3</v>
      </c>
      <c r="GB157">
        <v>0.3</v>
      </c>
      <c r="GC157">
        <f>FS157*FX157</f>
        <v>0.70000000000000007</v>
      </c>
      <c r="GD157">
        <f>FT157*FY157</f>
        <v>0.95000000000000007</v>
      </c>
      <c r="GE157">
        <f>FU157*FZ157</f>
        <v>1.2000000000000002</v>
      </c>
      <c r="GF157">
        <f>FV157*GA157</f>
        <v>1.95</v>
      </c>
      <c r="GG157">
        <f>FW157*GB157</f>
        <v>1.3499999999999999</v>
      </c>
      <c r="GH157">
        <v>5.85</v>
      </c>
      <c r="GJ157">
        <v>5.8</v>
      </c>
      <c r="GK157">
        <f>GC157+GD157+GE157+GF157+GG157</f>
        <v>6.15</v>
      </c>
      <c r="GL157">
        <f>MEDIAN(FS157:FW157)</f>
        <v>6.5</v>
      </c>
    </row>
    <row r="158" spans="1:194" hidden="1" x14ac:dyDescent="0.25">
      <c r="A158">
        <v>157</v>
      </c>
      <c r="B158" t="s">
        <v>2</v>
      </c>
      <c r="C158" s="4">
        <v>74.25</v>
      </c>
      <c r="D158">
        <v>3.3</v>
      </c>
      <c r="E158" s="1">
        <f>C158/3/D158</f>
        <v>7.5</v>
      </c>
      <c r="G158">
        <v>39.36</v>
      </c>
      <c r="H158">
        <v>7.6</v>
      </c>
      <c r="I158">
        <f>H158*D158*3</f>
        <v>75.239999999999995</v>
      </c>
      <c r="J158">
        <v>16.57</v>
      </c>
      <c r="K158">
        <v>9</v>
      </c>
      <c r="L158" s="3">
        <f>K158*3*D158</f>
        <v>89.1</v>
      </c>
      <c r="M158">
        <v>4.12</v>
      </c>
      <c r="N158">
        <v>7.5</v>
      </c>
      <c r="O158">
        <f>N158*D158*3</f>
        <v>74.25</v>
      </c>
      <c r="P158" s="5">
        <v>7.2</v>
      </c>
      <c r="Q158" s="5">
        <f>P158*D158*3</f>
        <v>71.28</v>
      </c>
      <c r="S158" t="s">
        <v>6291</v>
      </c>
      <c r="T158">
        <v>6.8</v>
      </c>
      <c r="U158" s="8">
        <f>T158*D158*3</f>
        <v>67.319999999999993</v>
      </c>
      <c r="V158">
        <v>31.16</v>
      </c>
      <c r="W158">
        <v>8.4</v>
      </c>
      <c r="X158" s="5">
        <f>W158*D158*3</f>
        <v>83.16</v>
      </c>
      <c r="Y158">
        <v>11.32</v>
      </c>
      <c r="Z158">
        <v>8</v>
      </c>
      <c r="AA158">
        <f>Z158*D158*3</f>
        <v>79.199999999999989</v>
      </c>
      <c r="AC158">
        <v>47.01</v>
      </c>
      <c r="AD158">
        <v>7.9</v>
      </c>
      <c r="AE158" s="1">
        <f>AD158*3*D158</f>
        <v>78.210000000000008</v>
      </c>
      <c r="AF158">
        <v>11.86</v>
      </c>
      <c r="AG158" s="5">
        <v>7</v>
      </c>
      <c r="AH158" s="5">
        <f>AG158*D158*3</f>
        <v>69.3</v>
      </c>
      <c r="AI158" s="13"/>
      <c r="AJ158">
        <v>7.5</v>
      </c>
      <c r="AK158" s="8">
        <f>AJ158*D158*3</f>
        <v>74.25</v>
      </c>
      <c r="AL158" s="13"/>
      <c r="AM158">
        <v>31.01</v>
      </c>
      <c r="AN158">
        <v>7</v>
      </c>
      <c r="AO158" s="8">
        <f>AN158*D158*3</f>
        <v>69.3</v>
      </c>
      <c r="AP158">
        <v>13.04</v>
      </c>
      <c r="AQ158">
        <v>10</v>
      </c>
      <c r="AR158">
        <f>AQ158*D158*3</f>
        <v>99</v>
      </c>
      <c r="AT158">
        <v>9</v>
      </c>
      <c r="AU158">
        <f>AT158*D158*3</f>
        <v>89.1</v>
      </c>
      <c r="AW158">
        <v>25.3</v>
      </c>
      <c r="AX158">
        <v>9.1</v>
      </c>
      <c r="AY158">
        <f>AX158*D158*3</f>
        <v>90.089999999999989</v>
      </c>
      <c r="AZ158">
        <v>25.3</v>
      </c>
      <c r="BA158">
        <v>8.6999999999999993</v>
      </c>
      <c r="BB158">
        <f>BA158*D158*3</f>
        <v>86.13</v>
      </c>
      <c r="BD158">
        <v>9</v>
      </c>
      <c r="BE158">
        <f>BD158*D158*3</f>
        <v>89.1</v>
      </c>
      <c r="BG158" s="10"/>
      <c r="BH158" s="1">
        <f>CHOOSE(MATCH(MIN(ABS(BP158-C158),ABS(BQ158-C158),ABS(BR158-C158)),CHOOSE({1;2;3},ABS(BP158-C158),ABS(BQ158-C158),ABS(BR158-C158)),0),BP158,BQ158,BR158)</f>
        <v>79.199999999999989</v>
      </c>
      <c r="BJ158" s="1" cm="1">
        <f t="array" ref="BJ158">(INDEX(_xlfn._xlws.SORT(CHOOSE({1;2;3;4;5;6},BQ158,BR158,L158,AE158,BO158,BP158)),3) + INDEX(_xlfn._xlws.SORT(CHOOSE({1;2;3;4;5;6},BQ158,BR158,L158,AE158,BO158,BP158)),4))/2</f>
        <v>78.704999999999998</v>
      </c>
      <c r="BK158">
        <v>7.5347406165751796</v>
      </c>
      <c r="BL158" t="s">
        <v>6117</v>
      </c>
      <c r="BM158" s="1">
        <f>BK158*3*D158</f>
        <v>74.593932104094279</v>
      </c>
      <c r="BN158" s="1">
        <f>BM158-C158</f>
        <v>0.34393210409427866</v>
      </c>
      <c r="BO158" s="1">
        <f>GK158*3*D158</f>
        <v>49.5</v>
      </c>
      <c r="BP158" s="1">
        <f>DO158*3*D158</f>
        <v>79.199999999999989</v>
      </c>
      <c r="BQ158" s="1">
        <f>FJ158*3*D158</f>
        <v>79.199999999999989</v>
      </c>
      <c r="BR158" s="1">
        <f>GL158*3*D158</f>
        <v>39.599999999999994</v>
      </c>
      <c r="BT158">
        <v>39.36</v>
      </c>
      <c r="BU158">
        <v>7.6</v>
      </c>
      <c r="BV158" t="s">
        <v>5235</v>
      </c>
      <c r="BW158" t="s">
        <v>5082</v>
      </c>
      <c r="BX158" t="s">
        <v>5057</v>
      </c>
      <c r="BY158" t="s">
        <v>5438</v>
      </c>
      <c r="BZ158" t="s">
        <v>5518</v>
      </c>
      <c r="CA158" t="s">
        <v>3192</v>
      </c>
      <c r="CC158" t="s">
        <v>2438</v>
      </c>
      <c r="CD158" t="s">
        <v>2453</v>
      </c>
      <c r="CE158" t="s">
        <v>2698</v>
      </c>
      <c r="CG158" t="s">
        <v>2441</v>
      </c>
      <c r="CH158" t="s">
        <v>2587</v>
      </c>
      <c r="CI158" t="s">
        <v>3193</v>
      </c>
      <c r="CJ158" t="s">
        <v>2458</v>
      </c>
      <c r="CK158" t="s">
        <v>3194</v>
      </c>
      <c r="CL158" t="s">
        <v>2460</v>
      </c>
      <c r="CM158" t="s">
        <v>2983</v>
      </c>
      <c r="CO158" t="s">
        <v>2447</v>
      </c>
      <c r="CP158" t="s">
        <v>2590</v>
      </c>
      <c r="CQ158" t="s">
        <v>3195</v>
      </c>
      <c r="CR158" t="s">
        <v>3195</v>
      </c>
      <c r="CS158" t="s">
        <v>3196</v>
      </c>
      <c r="CT158" t="s">
        <v>3197</v>
      </c>
      <c r="CV158">
        <v>9</v>
      </c>
      <c r="CW158">
        <v>9</v>
      </c>
      <c r="CX158">
        <v>8</v>
      </c>
      <c r="CY158">
        <v>9</v>
      </c>
      <c r="CZ158">
        <v>5</v>
      </c>
      <c r="DA158">
        <v>0.1</v>
      </c>
      <c r="DB158">
        <v>0.1</v>
      </c>
      <c r="DC158">
        <v>0.2</v>
      </c>
      <c r="DD158">
        <v>0.3</v>
      </c>
      <c r="DE158">
        <v>0.3</v>
      </c>
      <c r="DF158">
        <v>0.9</v>
      </c>
      <c r="DG158">
        <v>0.9</v>
      </c>
      <c r="DH158">
        <v>1.6</v>
      </c>
      <c r="DI158">
        <v>2.7</v>
      </c>
      <c r="DJ158">
        <v>1.5</v>
      </c>
      <c r="DK158">
        <v>7.6</v>
      </c>
      <c r="DL158">
        <v>0</v>
      </c>
      <c r="DM158">
        <v>7.6</v>
      </c>
      <c r="DN158">
        <v>9</v>
      </c>
      <c r="DO158">
        <f>AVERAGE(CV158:CZ158)</f>
        <v>8</v>
      </c>
      <c r="DQ158">
        <v>15</v>
      </c>
      <c r="DR158" t="s">
        <v>28</v>
      </c>
      <c r="DS158" t="s">
        <v>29</v>
      </c>
      <c r="DT158" t="s">
        <v>335</v>
      </c>
      <c r="DU158" t="s">
        <v>58</v>
      </c>
      <c r="DV158" t="s">
        <v>59</v>
      </c>
      <c r="DW158" t="s">
        <v>3769</v>
      </c>
      <c r="DX158" t="s">
        <v>3770</v>
      </c>
      <c r="DY158" t="s">
        <v>3771</v>
      </c>
      <c r="DZ158" t="s">
        <v>3772</v>
      </c>
      <c r="EA158" t="s">
        <v>3860</v>
      </c>
      <c r="EB158" t="s">
        <v>3807</v>
      </c>
      <c r="EC158" t="s">
        <v>3775</v>
      </c>
      <c r="ED158" t="s">
        <v>3776</v>
      </c>
      <c r="EE158" t="s">
        <v>3819</v>
      </c>
      <c r="EF158" t="s">
        <v>3809</v>
      </c>
      <c r="EG158" t="s">
        <v>3810</v>
      </c>
      <c r="EH158" t="s">
        <v>3811</v>
      </c>
      <c r="EI158" t="s">
        <v>3820</v>
      </c>
      <c r="EJ158" t="s">
        <v>3813</v>
      </c>
      <c r="EK158" t="s">
        <v>3821</v>
      </c>
      <c r="EL158" t="s">
        <v>3822</v>
      </c>
      <c r="EM158" t="s">
        <v>3816</v>
      </c>
      <c r="EN158" t="s">
        <v>3823</v>
      </c>
      <c r="EO158" t="s">
        <v>3824</v>
      </c>
      <c r="EP158" t="s">
        <v>3825</v>
      </c>
      <c r="EQ158">
        <v>7</v>
      </c>
      <c r="ER158">
        <v>8</v>
      </c>
      <c r="ES158">
        <v>8</v>
      </c>
      <c r="ET158">
        <v>8</v>
      </c>
      <c r="EU158">
        <v>8</v>
      </c>
      <c r="EV158">
        <v>0.1</v>
      </c>
      <c r="EW158">
        <v>0.1</v>
      </c>
      <c r="EX158">
        <v>0.2</v>
      </c>
      <c r="EY158">
        <v>0.3</v>
      </c>
      <c r="EZ158">
        <v>0.3</v>
      </c>
      <c r="FA158">
        <f>EV158*EQ158</f>
        <v>0.70000000000000007</v>
      </c>
      <c r="FB158">
        <f>EW158*ER158</f>
        <v>0.8</v>
      </c>
      <c r="FC158">
        <f>EX158*ES158</f>
        <v>1.6</v>
      </c>
      <c r="FD158">
        <f>EY158*ET158</f>
        <v>2.4</v>
      </c>
      <c r="FE158">
        <f>EZ158*EU158</f>
        <v>2.4</v>
      </c>
      <c r="FF158">
        <v>15</v>
      </c>
      <c r="FG158">
        <v>0</v>
      </c>
      <c r="FH158">
        <v>15</v>
      </c>
      <c r="FI158">
        <f>FA158+FB158+FC158+FD158+FE158</f>
        <v>7.9</v>
      </c>
      <c r="FJ158">
        <f>MEDIAN(EQ158:EU158)</f>
        <v>8</v>
      </c>
      <c r="FL158">
        <v>39.56</v>
      </c>
      <c r="FM158">
        <v>9</v>
      </c>
      <c r="FN158" t="s">
        <v>1017</v>
      </c>
      <c r="FO158" t="s">
        <v>1018</v>
      </c>
      <c r="FP158" t="s">
        <v>1019</v>
      </c>
      <c r="FQ158" t="s">
        <v>606</v>
      </c>
      <c r="FR158" t="s">
        <v>1348</v>
      </c>
      <c r="FS158">
        <v>4</v>
      </c>
      <c r="FT158">
        <v>3</v>
      </c>
      <c r="FU158">
        <v>2</v>
      </c>
      <c r="FV158">
        <v>6</v>
      </c>
      <c r="FW158">
        <v>7</v>
      </c>
      <c r="FX158">
        <v>0.1</v>
      </c>
      <c r="FY158">
        <v>0.1</v>
      </c>
      <c r="FZ158">
        <v>0.2</v>
      </c>
      <c r="GA158">
        <v>0.3</v>
      </c>
      <c r="GB158">
        <v>0.3</v>
      </c>
      <c r="GC158">
        <f>FS158*FX158</f>
        <v>0.4</v>
      </c>
      <c r="GD158">
        <f>FT158*FY158</f>
        <v>0.30000000000000004</v>
      </c>
      <c r="GE158">
        <f>FU158*FZ158</f>
        <v>0.4</v>
      </c>
      <c r="GF158">
        <f>FV158*GA158</f>
        <v>1.7999999999999998</v>
      </c>
      <c r="GG158">
        <f>FW158*GB158</f>
        <v>2.1</v>
      </c>
      <c r="GH158">
        <v>9</v>
      </c>
      <c r="GI158">
        <v>0</v>
      </c>
      <c r="GJ158">
        <v>9</v>
      </c>
      <c r="GK158">
        <f>GC158+GD158+GE158+GF158+GG158</f>
        <v>5</v>
      </c>
      <c r="GL158">
        <f>MEDIAN(FS158:FW158)</f>
        <v>4</v>
      </c>
    </row>
    <row r="159" spans="1:194" hidden="1" x14ac:dyDescent="0.25">
      <c r="A159">
        <v>158</v>
      </c>
      <c r="B159" t="s">
        <v>2</v>
      </c>
      <c r="C159" s="4">
        <v>89.1</v>
      </c>
      <c r="D159">
        <v>3.3</v>
      </c>
      <c r="E159" s="1">
        <f>C159/3/D159</f>
        <v>9</v>
      </c>
      <c r="G159">
        <v>34.64</v>
      </c>
      <c r="H159">
        <v>7.4</v>
      </c>
      <c r="I159">
        <f>H159*D159*3</f>
        <v>73.259999999999991</v>
      </c>
      <c r="J159">
        <v>18.399999999999999</v>
      </c>
      <c r="K159">
        <v>9</v>
      </c>
      <c r="L159" s="3">
        <f>K159*3*D159</f>
        <v>89.1</v>
      </c>
      <c r="M159">
        <v>4.37</v>
      </c>
      <c r="N159">
        <v>8</v>
      </c>
      <c r="O159">
        <f>N159*D159*3</f>
        <v>79.199999999999989</v>
      </c>
      <c r="P159" s="5">
        <v>8.5</v>
      </c>
      <c r="Q159" s="5">
        <f>P159*D159*3</f>
        <v>84.149999999999991</v>
      </c>
      <c r="S159" t="s">
        <v>6292</v>
      </c>
      <c r="T159">
        <v>6.8</v>
      </c>
      <c r="U159" s="8">
        <f>T159*D159*3</f>
        <v>67.319999999999993</v>
      </c>
      <c r="V159">
        <v>33.4</v>
      </c>
      <c r="W159">
        <v>8.4</v>
      </c>
      <c r="X159" s="5">
        <f>W159*D159*3</f>
        <v>83.16</v>
      </c>
      <c r="Y159">
        <v>9.16</v>
      </c>
      <c r="Z159">
        <v>7.5</v>
      </c>
      <c r="AA159">
        <f>Z159*D159*3</f>
        <v>74.25</v>
      </c>
      <c r="AC159">
        <v>53.96</v>
      </c>
      <c r="AD159">
        <v>7.1</v>
      </c>
      <c r="AE159" s="1">
        <f>AD159*3*D159</f>
        <v>70.289999999999992</v>
      </c>
      <c r="AF159">
        <v>9.6</v>
      </c>
      <c r="AH159" s="5">
        <f>AG159*D159*3</f>
        <v>0</v>
      </c>
      <c r="AI159" s="13"/>
      <c r="AJ159">
        <v>8.1999999999999993</v>
      </c>
      <c r="AK159" s="8">
        <f>AJ159*D159*3</f>
        <v>81.179999999999978</v>
      </c>
      <c r="AL159" s="13"/>
      <c r="AM159">
        <v>32.32</v>
      </c>
      <c r="AN159">
        <v>7.5</v>
      </c>
      <c r="AO159" s="8">
        <f>AN159*D159*3</f>
        <v>74.25</v>
      </c>
      <c r="AP159">
        <v>15.32</v>
      </c>
      <c r="AQ159">
        <v>10</v>
      </c>
      <c r="AR159">
        <f>AQ159*D159*3</f>
        <v>99</v>
      </c>
      <c r="AT159">
        <v>8.5</v>
      </c>
      <c r="AU159">
        <f>AT159*D159*3</f>
        <v>84.149999999999991</v>
      </c>
      <c r="AW159">
        <v>24.91</v>
      </c>
      <c r="AX159">
        <v>9.9</v>
      </c>
      <c r="AY159">
        <f>AX159*D159*3</f>
        <v>98.01</v>
      </c>
      <c r="AZ159">
        <v>24.91</v>
      </c>
      <c r="BA159">
        <v>9.1999999999999993</v>
      </c>
      <c r="BB159">
        <f>BA159*D159*3</f>
        <v>91.079999999999984</v>
      </c>
      <c r="BD159">
        <v>8</v>
      </c>
      <c r="BE159">
        <f>BD159*D159*3</f>
        <v>79.199999999999989</v>
      </c>
      <c r="BG159" s="10"/>
      <c r="BH159" s="1">
        <f>CHOOSE(MATCH(MIN(ABS(BP159-C159),ABS(BQ159-C159),ABS(BR159-C159)),CHOOSE({1;2;3},ABS(BP159-C159),ABS(BQ159-C159),ABS(BR159-C159)),0),BP159,BQ159,BR159)</f>
        <v>85.139999999999986</v>
      </c>
      <c r="BJ159" s="1" cm="1">
        <f t="array" ref="BJ159">(INDEX(_xlfn._xlws.SORT(CHOOSE({1;2;3;4;5;6},BQ159,BR159,L159,AE159,BO159,BP159)),3) + INDEX(_xlfn._xlws.SORT(CHOOSE({1;2;3;4;5;6},BQ159,BR159,L159,AE159,BO159,BP159)),4))/2</f>
        <v>73.012499999999989</v>
      </c>
      <c r="BK159">
        <v>8.9702116221572901</v>
      </c>
      <c r="BL159" t="s">
        <v>6117</v>
      </c>
      <c r="BM159" s="1">
        <f>BK159*3*D159</f>
        <v>88.805095059357171</v>
      </c>
      <c r="BN159" s="1">
        <f>BM159-C159</f>
        <v>-0.29490494064282302</v>
      </c>
      <c r="BO159" s="1">
        <f>GK159*3*D159</f>
        <v>71.774999999999991</v>
      </c>
      <c r="BP159" s="1">
        <f>DO159*3*D159</f>
        <v>85.139999999999986</v>
      </c>
      <c r="BQ159" s="1">
        <f>FJ159*3*D159</f>
        <v>69.3</v>
      </c>
      <c r="BR159" s="1">
        <f>GL159*3*D159</f>
        <v>74.25</v>
      </c>
      <c r="BT159">
        <v>34.64</v>
      </c>
      <c r="BU159">
        <v>7.4</v>
      </c>
      <c r="BV159" t="s">
        <v>5114</v>
      </c>
      <c r="BW159" t="s">
        <v>5519</v>
      </c>
      <c r="BX159" t="s">
        <v>5520</v>
      </c>
      <c r="BY159" t="s">
        <v>5521</v>
      </c>
      <c r="BZ159" t="s">
        <v>5522</v>
      </c>
      <c r="CA159" t="s">
        <v>2550</v>
      </c>
      <c r="CC159" t="s">
        <v>2634</v>
      </c>
      <c r="CD159" t="s">
        <v>3031</v>
      </c>
      <c r="CE159" t="s">
        <v>2553</v>
      </c>
      <c r="CG159" t="s">
        <v>2634</v>
      </c>
      <c r="CH159" t="s">
        <v>2773</v>
      </c>
      <c r="CI159" t="s">
        <v>2774</v>
      </c>
      <c r="CK159" t="s">
        <v>2634</v>
      </c>
      <c r="CL159" t="s">
        <v>2775</v>
      </c>
      <c r="CM159" t="s">
        <v>2595</v>
      </c>
      <c r="CO159" t="s">
        <v>2634</v>
      </c>
      <c r="CP159" t="s">
        <v>2776</v>
      </c>
      <c r="CQ159" t="s">
        <v>2777</v>
      </c>
      <c r="CR159" t="s">
        <v>2778</v>
      </c>
      <c r="CS159" t="s">
        <v>2779</v>
      </c>
      <c r="CT159" t="s">
        <v>2780</v>
      </c>
      <c r="CV159">
        <v>9</v>
      </c>
      <c r="CW159">
        <v>9</v>
      </c>
      <c r="CX159">
        <v>9</v>
      </c>
      <c r="CY159">
        <v>9</v>
      </c>
      <c r="CZ159">
        <v>7</v>
      </c>
      <c r="DA159">
        <v>0.1</v>
      </c>
      <c r="DB159">
        <v>0.1</v>
      </c>
      <c r="DC159">
        <v>0.2</v>
      </c>
      <c r="DD159">
        <v>0.3</v>
      </c>
      <c r="DE159">
        <v>0.3</v>
      </c>
      <c r="DF159">
        <v>0.9</v>
      </c>
      <c r="DG159">
        <v>0.9</v>
      </c>
      <c r="DH159">
        <v>1.8</v>
      </c>
      <c r="DI159">
        <v>2.7</v>
      </c>
      <c r="DJ159">
        <v>2.1</v>
      </c>
      <c r="DK159">
        <v>7.4</v>
      </c>
      <c r="DL159">
        <v>0</v>
      </c>
      <c r="DM159">
        <v>7.4</v>
      </c>
      <c r="DN159">
        <v>9</v>
      </c>
      <c r="DO159">
        <f>AVERAGE(CV159:CZ159)</f>
        <v>8.6</v>
      </c>
      <c r="DQ159" t="s">
        <v>125</v>
      </c>
      <c r="DR159" t="s">
        <v>33</v>
      </c>
      <c r="DS159" t="s">
        <v>336</v>
      </c>
      <c r="DT159" t="s">
        <v>279</v>
      </c>
      <c r="DU159" t="s">
        <v>168</v>
      </c>
      <c r="DV159" t="s">
        <v>280</v>
      </c>
      <c r="DW159" t="s">
        <v>3788</v>
      </c>
      <c r="DX159" t="s">
        <v>3789</v>
      </c>
      <c r="DY159" t="s">
        <v>4145</v>
      </c>
      <c r="DZ159" t="s">
        <v>4145</v>
      </c>
      <c r="EA159" t="s">
        <v>3993</v>
      </c>
      <c r="EB159" t="s">
        <v>4146</v>
      </c>
      <c r="EC159" t="s">
        <v>4424</v>
      </c>
      <c r="ED159" t="s">
        <v>4424</v>
      </c>
      <c r="EE159" t="s">
        <v>4425</v>
      </c>
      <c r="EF159" t="s">
        <v>4426</v>
      </c>
      <c r="EG159" t="s">
        <v>4426</v>
      </c>
      <c r="EH159" t="s">
        <v>4426</v>
      </c>
      <c r="EI159" t="s">
        <v>4427</v>
      </c>
      <c r="EJ159" t="s">
        <v>4151</v>
      </c>
      <c r="EK159" t="s">
        <v>4151</v>
      </c>
      <c r="EL159" t="s">
        <v>4151</v>
      </c>
      <c r="EM159" t="s">
        <v>4428</v>
      </c>
      <c r="EN159" t="s">
        <v>4429</v>
      </c>
      <c r="EO159" t="s">
        <v>4429</v>
      </c>
      <c r="EP159" t="s">
        <v>4429</v>
      </c>
      <c r="EQ159">
        <v>8</v>
      </c>
      <c r="ER159">
        <v>7</v>
      </c>
      <c r="ES159">
        <v>7</v>
      </c>
      <c r="ET159">
        <v>7</v>
      </c>
      <c r="EU159">
        <v>7</v>
      </c>
      <c r="EV159">
        <v>0.1</v>
      </c>
      <c r="EW159">
        <v>0.1</v>
      </c>
      <c r="EX159">
        <v>0.2</v>
      </c>
      <c r="EY159">
        <v>0.3</v>
      </c>
      <c r="EZ159">
        <v>0.3</v>
      </c>
      <c r="FA159">
        <f>EV159*EQ159</f>
        <v>0.8</v>
      </c>
      <c r="FB159">
        <f>EW159*ER159</f>
        <v>0.70000000000000007</v>
      </c>
      <c r="FC159">
        <f>EX159*ES159</f>
        <v>1.4000000000000001</v>
      </c>
      <c r="FD159">
        <f>EY159*ET159</f>
        <v>2.1</v>
      </c>
      <c r="FE159">
        <f>EZ159*EU159</f>
        <v>2.1</v>
      </c>
      <c r="FF159">
        <v>15</v>
      </c>
      <c r="FG159">
        <v>0</v>
      </c>
      <c r="FH159">
        <v>9</v>
      </c>
      <c r="FI159">
        <f>FA159+FB159+FC159+FD159+FE159</f>
        <v>7.1</v>
      </c>
      <c r="FJ159">
        <f>MEDIAN(EQ159:EU159)</f>
        <v>7</v>
      </c>
      <c r="FL159">
        <v>38</v>
      </c>
      <c r="FM159">
        <v>7.3</v>
      </c>
      <c r="FN159" t="s">
        <v>1349</v>
      </c>
      <c r="FO159" t="s">
        <v>1350</v>
      </c>
      <c r="FP159" t="s">
        <v>1351</v>
      </c>
      <c r="FQ159" t="s">
        <v>1352</v>
      </c>
      <c r="FR159" t="s">
        <v>1353</v>
      </c>
      <c r="FS159">
        <v>7.5</v>
      </c>
      <c r="FT159">
        <v>8</v>
      </c>
      <c r="FU159">
        <v>7.5</v>
      </c>
      <c r="FV159">
        <v>7.5</v>
      </c>
      <c r="FW159">
        <v>6.5</v>
      </c>
      <c r="FX159">
        <v>0.1</v>
      </c>
      <c r="FY159">
        <v>0.1</v>
      </c>
      <c r="FZ159">
        <v>0.2</v>
      </c>
      <c r="GA159">
        <v>0.3</v>
      </c>
      <c r="GB159">
        <v>0.3</v>
      </c>
      <c r="GC159">
        <f>FS159*FX159</f>
        <v>0.75</v>
      </c>
      <c r="GD159">
        <f>FT159*FY159</f>
        <v>0.8</v>
      </c>
      <c r="GE159">
        <f>FU159*FZ159</f>
        <v>1.5</v>
      </c>
      <c r="GF159">
        <f>FV159*GA159</f>
        <v>2.25</v>
      </c>
      <c r="GG159">
        <f>FW159*GB159</f>
        <v>1.95</v>
      </c>
      <c r="GH159">
        <v>7.4</v>
      </c>
      <c r="GI159">
        <v>-0.1</v>
      </c>
      <c r="GJ159">
        <v>7.3</v>
      </c>
      <c r="GK159">
        <f>GC159+GD159+GE159+GF159+GG159</f>
        <v>7.25</v>
      </c>
      <c r="GL159">
        <f>MEDIAN(FS159:FW159)</f>
        <v>7.5</v>
      </c>
    </row>
    <row r="160" spans="1:194" x14ac:dyDescent="0.25">
      <c r="A160">
        <v>241</v>
      </c>
      <c r="B160" t="s">
        <v>2</v>
      </c>
      <c r="C160" s="4">
        <v>78.400000000000006</v>
      </c>
      <c r="D160">
        <v>3.2</v>
      </c>
      <c r="E160" s="1">
        <f>C160/3/D160</f>
        <v>8.1666666666666679</v>
      </c>
      <c r="G160">
        <v>39.32</v>
      </c>
      <c r="H160">
        <v>8.65</v>
      </c>
      <c r="I160">
        <f>H160*D160*3</f>
        <v>83.04</v>
      </c>
      <c r="J160">
        <v>18.29</v>
      </c>
      <c r="K160">
        <v>8.4</v>
      </c>
      <c r="L160" s="3">
        <f>K160*3*D160</f>
        <v>80.640000000000015</v>
      </c>
      <c r="M160">
        <v>5.59</v>
      </c>
      <c r="N160">
        <v>5</v>
      </c>
      <c r="O160">
        <f>N160*D160*3</f>
        <v>48</v>
      </c>
      <c r="P160" s="5">
        <v>8.9</v>
      </c>
      <c r="Q160" s="5">
        <f>P160*D160*3</f>
        <v>85.440000000000012</v>
      </c>
      <c r="S160" t="s">
        <v>6372</v>
      </c>
      <c r="T160">
        <v>3.8</v>
      </c>
      <c r="U160" s="8">
        <f>T160*D160*3</f>
        <v>36.480000000000004</v>
      </c>
      <c r="V160">
        <v>32.909999999999997</v>
      </c>
      <c r="W160">
        <v>8.4</v>
      </c>
      <c r="X160" s="5">
        <f>W160*D160*3</f>
        <v>80.640000000000015</v>
      </c>
      <c r="Y160">
        <v>9.35</v>
      </c>
      <c r="Z160">
        <v>7.5</v>
      </c>
      <c r="AA160">
        <f>Z160*D160*3</f>
        <v>72</v>
      </c>
      <c r="AC160">
        <v>48.83</v>
      </c>
      <c r="AD160">
        <v>8</v>
      </c>
      <c r="AE160" s="1">
        <f>AD160*3*D160</f>
        <v>76.800000000000011</v>
      </c>
      <c r="AF160">
        <v>11.98</v>
      </c>
      <c r="AG160" s="5">
        <v>7</v>
      </c>
      <c r="AH160" s="5">
        <f>AG160*D160*3</f>
        <v>67.2</v>
      </c>
      <c r="AI160" s="13"/>
      <c r="AJ160">
        <v>8.1</v>
      </c>
      <c r="AK160" s="8">
        <f>AJ160*D160*3</f>
        <v>77.760000000000005</v>
      </c>
      <c r="AL160" s="13"/>
      <c r="AM160">
        <v>31.69</v>
      </c>
      <c r="AN160">
        <v>7</v>
      </c>
      <c r="AO160" s="8">
        <f>AN160*D160*3</f>
        <v>67.2</v>
      </c>
      <c r="AP160">
        <v>13.38</v>
      </c>
      <c r="AQ160">
        <v>9.1999999999999993</v>
      </c>
      <c r="AR160">
        <f>AQ160*D160*3</f>
        <v>88.32</v>
      </c>
      <c r="AT160">
        <v>9</v>
      </c>
      <c r="AU160">
        <f>AT160*D160*3</f>
        <v>86.4</v>
      </c>
      <c r="AW160">
        <v>25.3</v>
      </c>
      <c r="AX160">
        <v>9.4</v>
      </c>
      <c r="AY160">
        <f>AX160*D160*3</f>
        <v>90.240000000000009</v>
      </c>
      <c r="AZ160">
        <v>25.3</v>
      </c>
      <c r="BA160">
        <v>9.1</v>
      </c>
      <c r="BB160">
        <f>BA160*D160*3</f>
        <v>87.36</v>
      </c>
      <c r="BD160">
        <v>8.1</v>
      </c>
      <c r="BE160">
        <f>BD160*D160*3</f>
        <v>77.760000000000005</v>
      </c>
      <c r="BG160" s="10"/>
      <c r="BH160" s="1">
        <f>CHOOSE(MATCH(MIN(ABS(BP160-C160),ABS(BQ160-C160),ABS(BR160-C160)),CHOOSE({1;2;3},ABS(BP160-C160),ABS(BQ160-C160),ABS(BR160-C160)),0),BP160,BQ160,BR160)</f>
        <v>76.800000000000011</v>
      </c>
      <c r="BJ160" s="1" cm="1">
        <f t="array" ref="BJ160">(INDEX(_xlfn._xlws.SORT(CHOOSE({1;2;3;4;5;6},BQ160,BR160,L160,AE160,BO160,BP160)),3) + INDEX(_xlfn._xlws.SORT(CHOOSE({1;2;3;4;5;6},BQ160,BR160,L160,AE160,BO160,BP160)),4))/2</f>
        <v>76.800000000000011</v>
      </c>
      <c r="BK160">
        <v>7.9835761847026196</v>
      </c>
      <c r="BL160" s="11" t="s">
        <v>6116</v>
      </c>
      <c r="BM160" s="1">
        <f>BK160*3*D160</f>
        <v>76.642331373145154</v>
      </c>
      <c r="BN160" s="1">
        <f>BM160-C160</f>
        <v>-1.7576686268548514</v>
      </c>
      <c r="BO160" s="1">
        <f>GK160*3*D160</f>
        <v>49.919999999999995</v>
      </c>
      <c r="BP160" s="1">
        <f>DO160*3*D160</f>
        <v>84.480000000000018</v>
      </c>
      <c r="BQ160" s="1">
        <f>FJ160*3*D160</f>
        <v>76.800000000000011</v>
      </c>
      <c r="BR160" s="1">
        <f>GL160*3*D160</f>
        <v>38.400000000000006</v>
      </c>
      <c r="BT160">
        <v>39.32</v>
      </c>
      <c r="BU160">
        <v>8.65</v>
      </c>
      <c r="BV160" t="s">
        <v>5046</v>
      </c>
      <c r="BW160" t="s">
        <v>5125</v>
      </c>
      <c r="BX160" t="s">
        <v>5776</v>
      </c>
      <c r="BY160" t="s">
        <v>5777</v>
      </c>
      <c r="BZ160" t="s">
        <v>5166</v>
      </c>
      <c r="CA160" t="s">
        <v>2420</v>
      </c>
      <c r="CC160" t="s">
        <v>2525</v>
      </c>
      <c r="CD160" t="s">
        <v>2627</v>
      </c>
      <c r="CE160" t="s">
        <v>2423</v>
      </c>
      <c r="CG160" t="s">
        <v>2527</v>
      </c>
      <c r="CH160" t="s">
        <v>2528</v>
      </c>
      <c r="CI160" t="s">
        <v>2426</v>
      </c>
      <c r="CJ160" t="s">
        <v>2427</v>
      </c>
      <c r="CK160" t="s">
        <v>2529</v>
      </c>
      <c r="CL160" t="s">
        <v>3397</v>
      </c>
      <c r="CM160" t="s">
        <v>2430</v>
      </c>
      <c r="CO160" t="s">
        <v>3252</v>
      </c>
      <c r="CP160" t="s">
        <v>3345</v>
      </c>
      <c r="CQ160" t="s">
        <v>2433</v>
      </c>
      <c r="CR160" t="s">
        <v>2434</v>
      </c>
      <c r="CS160" t="s">
        <v>2532</v>
      </c>
      <c r="CT160" t="s">
        <v>3398</v>
      </c>
      <c r="CV160">
        <v>9</v>
      </c>
      <c r="CW160">
        <v>9</v>
      </c>
      <c r="CX160">
        <v>8.5</v>
      </c>
      <c r="CY160">
        <v>9.5</v>
      </c>
      <c r="CZ160">
        <v>8</v>
      </c>
      <c r="DA160">
        <v>0.1</v>
      </c>
      <c r="DB160">
        <v>0.1</v>
      </c>
      <c r="DC160">
        <v>0.2</v>
      </c>
      <c r="DD160">
        <v>0.3</v>
      </c>
      <c r="DE160">
        <v>0.3</v>
      </c>
      <c r="DF160">
        <v>0.9</v>
      </c>
      <c r="DG160">
        <v>0.9</v>
      </c>
      <c r="DH160">
        <v>1.7</v>
      </c>
      <c r="DI160">
        <v>2.85</v>
      </c>
      <c r="DJ160">
        <v>2.4</v>
      </c>
      <c r="DK160">
        <v>8.65</v>
      </c>
      <c r="DL160">
        <v>0</v>
      </c>
      <c r="DM160">
        <v>8.65</v>
      </c>
      <c r="DN160">
        <v>8.4</v>
      </c>
      <c r="DO160">
        <f>AVERAGE(CV160:CZ160)</f>
        <v>8.8000000000000007</v>
      </c>
      <c r="DQ160">
        <v>8</v>
      </c>
      <c r="DR160" t="s">
        <v>240</v>
      </c>
      <c r="DS160" t="s">
        <v>187</v>
      </c>
      <c r="DT160" t="s">
        <v>338</v>
      </c>
      <c r="DU160" t="s">
        <v>339</v>
      </c>
      <c r="DV160" t="s">
        <v>340</v>
      </c>
      <c r="DW160" t="s">
        <v>3788</v>
      </c>
      <c r="DX160" t="s">
        <v>3789</v>
      </c>
      <c r="DY160" t="s">
        <v>3790</v>
      </c>
      <c r="DZ160" t="s">
        <v>3791</v>
      </c>
      <c r="EA160" t="s">
        <v>3792</v>
      </c>
      <c r="EB160" t="s">
        <v>3793</v>
      </c>
      <c r="EC160" t="s">
        <v>4189</v>
      </c>
      <c r="ED160" t="s">
        <v>4189</v>
      </c>
      <c r="EE160" t="s">
        <v>3796</v>
      </c>
      <c r="EF160" t="s">
        <v>3797</v>
      </c>
      <c r="EG160" t="s">
        <v>4524</v>
      </c>
      <c r="EH160" t="s">
        <v>4524</v>
      </c>
      <c r="EI160" t="s">
        <v>3799</v>
      </c>
      <c r="EJ160" t="s">
        <v>3800</v>
      </c>
      <c r="EK160" t="s">
        <v>4525</v>
      </c>
      <c r="EL160" t="s">
        <v>4525</v>
      </c>
      <c r="EM160" t="s">
        <v>4227</v>
      </c>
      <c r="EN160" t="s">
        <v>3803</v>
      </c>
      <c r="EO160" t="s">
        <v>4526</v>
      </c>
      <c r="EP160" t="s">
        <v>4526</v>
      </c>
      <c r="EQ160">
        <v>8</v>
      </c>
      <c r="ER160">
        <v>8</v>
      </c>
      <c r="ES160">
        <v>8</v>
      </c>
      <c r="ET160">
        <v>8</v>
      </c>
      <c r="EU160">
        <v>8</v>
      </c>
      <c r="EV160">
        <v>0.1</v>
      </c>
      <c r="EW160">
        <v>0.1</v>
      </c>
      <c r="EX160">
        <v>0.2</v>
      </c>
      <c r="EY160">
        <v>0.3</v>
      </c>
      <c r="EZ160">
        <v>0.3</v>
      </c>
      <c r="FA160">
        <f>EV160*EQ160</f>
        <v>0.8</v>
      </c>
      <c r="FB160">
        <f>EW160*ER160</f>
        <v>0.8</v>
      </c>
      <c r="FC160">
        <f>EX160*ES160</f>
        <v>1.6</v>
      </c>
      <c r="FD160">
        <f>EY160*ET160</f>
        <v>2.4</v>
      </c>
      <c r="FE160">
        <f>EZ160*EU160</f>
        <v>2.4</v>
      </c>
      <c r="FF160">
        <v>16</v>
      </c>
      <c r="FG160">
        <v>0</v>
      </c>
      <c r="FH160">
        <v>8</v>
      </c>
      <c r="FI160">
        <f>FA160+FB160+FC160+FD160+FE160</f>
        <v>8</v>
      </c>
      <c r="FJ160">
        <f>MEDIAN(EQ160:EU160)</f>
        <v>8</v>
      </c>
      <c r="FL160">
        <v>39.03</v>
      </c>
      <c r="FM160">
        <v>9</v>
      </c>
      <c r="FN160" t="s">
        <v>1746</v>
      </c>
      <c r="FO160" t="s">
        <v>1747</v>
      </c>
      <c r="FP160" t="s">
        <v>1748</v>
      </c>
      <c r="FQ160" t="s">
        <v>1749</v>
      </c>
      <c r="FR160" t="s">
        <v>1750</v>
      </c>
      <c r="FS160">
        <v>2</v>
      </c>
      <c r="FT160">
        <v>3</v>
      </c>
      <c r="FU160">
        <v>4</v>
      </c>
      <c r="FV160">
        <v>6</v>
      </c>
      <c r="FW160">
        <v>7</v>
      </c>
      <c r="FX160">
        <v>0.1</v>
      </c>
      <c r="FY160">
        <v>0.1</v>
      </c>
      <c r="FZ160">
        <v>0.2</v>
      </c>
      <c r="GA160">
        <v>0.3</v>
      </c>
      <c r="GB160">
        <v>0.3</v>
      </c>
      <c r="GC160">
        <f>FS160*FX160</f>
        <v>0.2</v>
      </c>
      <c r="GD160">
        <f>FT160*FY160</f>
        <v>0.30000000000000004</v>
      </c>
      <c r="GE160">
        <f>FU160*FZ160</f>
        <v>0.8</v>
      </c>
      <c r="GF160">
        <f>FV160*GA160</f>
        <v>1.7999999999999998</v>
      </c>
      <c r="GG160">
        <f>FW160*GB160</f>
        <v>2.1</v>
      </c>
      <c r="GH160">
        <v>9</v>
      </c>
      <c r="GI160">
        <v>0</v>
      </c>
      <c r="GJ160">
        <v>9</v>
      </c>
      <c r="GK160">
        <f>GC160+GD160+GE160+GF160+GG160</f>
        <v>5.1999999999999993</v>
      </c>
      <c r="GL160">
        <f>MEDIAN(FS160:FW160)</f>
        <v>4</v>
      </c>
    </row>
    <row r="161" spans="1:194" x14ac:dyDescent="0.25">
      <c r="A161">
        <v>204</v>
      </c>
      <c r="B161" t="s">
        <v>2</v>
      </c>
      <c r="C161" s="4">
        <v>78.400000000000006</v>
      </c>
      <c r="D161">
        <v>3.2</v>
      </c>
      <c r="E161" s="1">
        <f>C161/3/D161</f>
        <v>8.1666666666666679</v>
      </c>
      <c r="G161">
        <v>37.18</v>
      </c>
      <c r="H161">
        <v>8.1999999999999993</v>
      </c>
      <c r="I161">
        <f>H161*D161*3</f>
        <v>78.72</v>
      </c>
      <c r="J161">
        <v>17.489999999999998</v>
      </c>
      <c r="K161">
        <v>9.5</v>
      </c>
      <c r="L161" s="3">
        <f>K161*3*D161</f>
        <v>91.2</v>
      </c>
      <c r="M161">
        <v>4.9800000000000004</v>
      </c>
      <c r="N161">
        <v>7.7</v>
      </c>
      <c r="O161">
        <f>N161*D161*3</f>
        <v>73.92</v>
      </c>
      <c r="P161" s="5">
        <v>8</v>
      </c>
      <c r="Q161" s="5">
        <f>P161*D161*3</f>
        <v>76.800000000000011</v>
      </c>
      <c r="S161" t="s">
        <v>6336</v>
      </c>
      <c r="T161">
        <v>5.4</v>
      </c>
      <c r="U161" s="8">
        <f>T161*D161*3</f>
        <v>51.84</v>
      </c>
      <c r="V161">
        <v>30.16</v>
      </c>
      <c r="W161">
        <v>9</v>
      </c>
      <c r="X161" s="5">
        <f>W161*D161*3</f>
        <v>86.4</v>
      </c>
      <c r="Y161">
        <v>11.26</v>
      </c>
      <c r="Z161">
        <v>6.7</v>
      </c>
      <c r="AA161">
        <f>Z161*D161*3</f>
        <v>64.320000000000007</v>
      </c>
      <c r="AC161">
        <v>46.6</v>
      </c>
      <c r="AD161">
        <v>7.6</v>
      </c>
      <c r="AE161" s="1">
        <f>AD161*3*D161</f>
        <v>72.959999999999994</v>
      </c>
      <c r="AF161">
        <v>11.79</v>
      </c>
      <c r="AG161" s="5">
        <v>4</v>
      </c>
      <c r="AH161" s="5">
        <f>AG161*D161*3</f>
        <v>38.400000000000006</v>
      </c>
      <c r="AI161" s="13"/>
      <c r="AJ161">
        <v>31.5</v>
      </c>
      <c r="AK161" s="8">
        <f>AJ161*D161*3</f>
        <v>302.40000000000003</v>
      </c>
      <c r="AL161" s="13"/>
      <c r="AM161">
        <v>31.52</v>
      </c>
      <c r="AN161">
        <v>6.2</v>
      </c>
      <c r="AO161" s="8">
        <f>AN161*D161*3</f>
        <v>59.52000000000001</v>
      </c>
      <c r="AP161">
        <v>13.5</v>
      </c>
      <c r="AQ161">
        <v>10</v>
      </c>
      <c r="AR161">
        <f>AQ161*D161*3</f>
        <v>96</v>
      </c>
      <c r="AT161">
        <v>8.8000000000000007</v>
      </c>
      <c r="AU161">
        <f>AT161*D161*3</f>
        <v>84.480000000000018</v>
      </c>
      <c r="AW161">
        <v>25.56</v>
      </c>
      <c r="AX161">
        <v>8.6</v>
      </c>
      <c r="AY161">
        <f>AX161*D161*3</f>
        <v>82.56</v>
      </c>
      <c r="AZ161">
        <v>25.56</v>
      </c>
      <c r="BA161">
        <v>8.6999999999999993</v>
      </c>
      <c r="BB161">
        <f>BA161*D161*3</f>
        <v>83.52</v>
      </c>
      <c r="BD161">
        <v>9</v>
      </c>
      <c r="BE161">
        <f>BD161*D161*3</f>
        <v>86.4</v>
      </c>
      <c r="BG161" s="10"/>
      <c r="BH161" s="1">
        <f>CHOOSE(MATCH(MIN(ABS(BP161-C161),ABS(BQ161-C161),ABS(BR161-C161)),CHOOSE({1;2;3},ABS(BP161-C161),ABS(BQ161-C161),ABS(BR161-C161)),0),BP161,BQ161,BR161)</f>
        <v>76.800000000000011</v>
      </c>
      <c r="BJ161" s="1" cm="1">
        <f t="array" ref="BJ161">(INDEX(_xlfn._xlws.SORT(CHOOSE({1;2;3;4;5;6},BQ161,BR161,L161,AE161,BO161,BP161)),3) + INDEX(_xlfn._xlws.SORT(CHOOSE({1;2;3;4;5;6},BQ161,BR161,L161,AE161,BO161,BP161)),4))/2</f>
        <v>74.88</v>
      </c>
      <c r="BK161">
        <v>7.9853200176469299</v>
      </c>
      <c r="BL161" s="11" t="s">
        <v>6116</v>
      </c>
      <c r="BM161" s="1">
        <f>BK161*3*D161</f>
        <v>76.659072169410521</v>
      </c>
      <c r="BN161" s="1">
        <f>BM161-C161</f>
        <v>-1.7409278305894844</v>
      </c>
      <c r="BO161" s="1">
        <f>GK161*3*D161</f>
        <v>51.840000000000011</v>
      </c>
      <c r="BP161" s="1">
        <f>DO161*3*D161</f>
        <v>86.4</v>
      </c>
      <c r="BQ161" s="1">
        <f>FJ161*3*D161</f>
        <v>76.800000000000011</v>
      </c>
      <c r="BR161" s="1">
        <f>GL161*3*D161</f>
        <v>48</v>
      </c>
      <c r="BT161">
        <v>37.18</v>
      </c>
      <c r="BU161">
        <v>8.1999999999999993</v>
      </c>
      <c r="BV161" t="s">
        <v>5665</v>
      </c>
      <c r="BW161" t="s">
        <v>5666</v>
      </c>
      <c r="BX161" t="s">
        <v>5667</v>
      </c>
      <c r="BY161" t="s">
        <v>5668</v>
      </c>
      <c r="BZ161" t="s">
        <v>5669</v>
      </c>
      <c r="CA161" t="s">
        <v>2490</v>
      </c>
      <c r="CC161" t="s">
        <v>2491</v>
      </c>
      <c r="CD161" t="s">
        <v>2492</v>
      </c>
      <c r="CE161" t="s">
        <v>2493</v>
      </c>
      <c r="CG161" t="s">
        <v>2494</v>
      </c>
      <c r="CH161" t="s">
        <v>2495</v>
      </c>
      <c r="CI161" t="s">
        <v>2496</v>
      </c>
      <c r="CK161" t="s">
        <v>2497</v>
      </c>
      <c r="CL161" t="s">
        <v>2498</v>
      </c>
      <c r="CM161" t="s">
        <v>3308</v>
      </c>
      <c r="CO161" t="s">
        <v>3309</v>
      </c>
      <c r="CP161" t="s">
        <v>2501</v>
      </c>
      <c r="CQ161" t="s">
        <v>3310</v>
      </c>
      <c r="CS161" t="s">
        <v>3311</v>
      </c>
      <c r="CT161" t="s">
        <v>2632</v>
      </c>
      <c r="CV161">
        <v>9</v>
      </c>
      <c r="CW161">
        <v>9</v>
      </c>
      <c r="CX161">
        <v>9</v>
      </c>
      <c r="CY161">
        <v>9</v>
      </c>
      <c r="CZ161">
        <v>9</v>
      </c>
      <c r="DA161">
        <v>0.1</v>
      </c>
      <c r="DB161">
        <v>0.1</v>
      </c>
      <c r="DC161">
        <v>0.2</v>
      </c>
      <c r="DD161">
        <v>0.3</v>
      </c>
      <c r="DE161">
        <v>0.3</v>
      </c>
      <c r="DF161">
        <v>0.9</v>
      </c>
      <c r="DG161">
        <v>0.9</v>
      </c>
      <c r="DH161">
        <v>1.8</v>
      </c>
      <c r="DI161">
        <v>2.7</v>
      </c>
      <c r="DJ161">
        <v>2.7</v>
      </c>
      <c r="DK161">
        <v>8.1999999999999993</v>
      </c>
      <c r="DL161">
        <v>0</v>
      </c>
      <c r="DM161">
        <v>8.1999999999999993</v>
      </c>
      <c r="DN161">
        <v>9.5</v>
      </c>
      <c r="DO161">
        <f>AVERAGE(CV161:CZ161)</f>
        <v>9</v>
      </c>
      <c r="DQ161">
        <v>8</v>
      </c>
      <c r="DR161" t="s">
        <v>28</v>
      </c>
      <c r="DS161" t="s">
        <v>29</v>
      </c>
      <c r="DT161" t="s">
        <v>227</v>
      </c>
      <c r="DU161" t="s">
        <v>374</v>
      </c>
      <c r="DV161" t="s">
        <v>396</v>
      </c>
      <c r="DW161" t="s">
        <v>3836</v>
      </c>
      <c r="DX161" t="s">
        <v>3770</v>
      </c>
      <c r="DY161" t="s">
        <v>3771</v>
      </c>
      <c r="DZ161" t="s">
        <v>3772</v>
      </c>
      <c r="EA161" t="s">
        <v>3860</v>
      </c>
      <c r="EB161" t="s">
        <v>3807</v>
      </c>
      <c r="EC161" t="s">
        <v>3775</v>
      </c>
      <c r="ED161" t="s">
        <v>3776</v>
      </c>
      <c r="EE161" t="s">
        <v>4240</v>
      </c>
      <c r="EF161" t="s">
        <v>3809</v>
      </c>
      <c r="EG161" t="s">
        <v>3810</v>
      </c>
      <c r="EH161" t="s">
        <v>3811</v>
      </c>
      <c r="EI161" t="s">
        <v>4590</v>
      </c>
      <c r="EJ161" t="s">
        <v>3813</v>
      </c>
      <c r="EK161" t="s">
        <v>4014</v>
      </c>
      <c r="EL161" t="s">
        <v>3815</v>
      </c>
      <c r="EM161" t="s">
        <v>4623</v>
      </c>
      <c r="EN161" t="s">
        <v>3809</v>
      </c>
      <c r="EO161" t="s">
        <v>4624</v>
      </c>
      <c r="EP161" t="s">
        <v>3811</v>
      </c>
      <c r="EQ161">
        <v>7</v>
      </c>
      <c r="ER161">
        <v>8</v>
      </c>
      <c r="ES161">
        <v>8</v>
      </c>
      <c r="ET161">
        <v>7</v>
      </c>
      <c r="EU161">
        <v>8</v>
      </c>
      <c r="EV161">
        <v>0.1</v>
      </c>
      <c r="EW161">
        <v>0.1</v>
      </c>
      <c r="EX161">
        <v>0.2</v>
      </c>
      <c r="EY161">
        <v>0.3</v>
      </c>
      <c r="EZ161">
        <v>0.3</v>
      </c>
      <c r="FA161">
        <f>EV161*EQ161</f>
        <v>0.70000000000000007</v>
      </c>
      <c r="FB161">
        <f>EW161*ER161</f>
        <v>0.8</v>
      </c>
      <c r="FC161">
        <f>EX161*ES161</f>
        <v>1.6</v>
      </c>
      <c r="FD161">
        <f>EY161*ET161</f>
        <v>2.1</v>
      </c>
      <c r="FE161">
        <f>EZ161*EU161</f>
        <v>2.4</v>
      </c>
      <c r="FF161">
        <v>17</v>
      </c>
      <c r="FG161">
        <v>0</v>
      </c>
      <c r="FH161">
        <v>8</v>
      </c>
      <c r="FI161">
        <f>FA161+FB161+FC161+FD161+FE161</f>
        <v>7.6</v>
      </c>
      <c r="FJ161">
        <f>MEDIAN(EQ161:EU161)</f>
        <v>8</v>
      </c>
      <c r="FL161">
        <v>39.97</v>
      </c>
      <c r="FM161">
        <v>9</v>
      </c>
      <c r="FN161" t="s">
        <v>1567</v>
      </c>
      <c r="FO161" t="s">
        <v>1568</v>
      </c>
      <c r="FP161" t="s">
        <v>1569</v>
      </c>
      <c r="FQ161" t="s">
        <v>1570</v>
      </c>
      <c r="FR161" t="s">
        <v>1571</v>
      </c>
      <c r="FS161">
        <v>5</v>
      </c>
      <c r="FT161">
        <v>4</v>
      </c>
      <c r="FU161">
        <v>3</v>
      </c>
      <c r="FV161">
        <v>6</v>
      </c>
      <c r="FW161">
        <v>7</v>
      </c>
      <c r="FX161">
        <v>0.1</v>
      </c>
      <c r="FY161">
        <v>0.1</v>
      </c>
      <c r="FZ161">
        <v>0.2</v>
      </c>
      <c r="GA161">
        <v>0.3</v>
      </c>
      <c r="GB161">
        <v>0.3</v>
      </c>
      <c r="GC161">
        <f>FS161*FX161</f>
        <v>0.5</v>
      </c>
      <c r="GD161">
        <f>FT161*FY161</f>
        <v>0.4</v>
      </c>
      <c r="GE161">
        <f>FU161*FZ161</f>
        <v>0.60000000000000009</v>
      </c>
      <c r="GF161">
        <f>FV161*GA161</f>
        <v>1.7999999999999998</v>
      </c>
      <c r="GG161">
        <f>FW161*GB161</f>
        <v>2.1</v>
      </c>
      <c r="GH161">
        <v>9</v>
      </c>
      <c r="GI161">
        <v>0</v>
      </c>
      <c r="GJ161">
        <v>9</v>
      </c>
      <c r="GK161">
        <f>GC161+GD161+GE161+GF161+GG161</f>
        <v>5.4</v>
      </c>
      <c r="GL161">
        <f>MEDIAN(FS161:FW161)</f>
        <v>5</v>
      </c>
    </row>
    <row r="162" spans="1:194" hidden="1" x14ac:dyDescent="0.25">
      <c r="A162">
        <v>161</v>
      </c>
      <c r="B162" t="s">
        <v>2</v>
      </c>
      <c r="C162" s="4">
        <v>75.599999999999994</v>
      </c>
      <c r="D162">
        <v>3.6</v>
      </c>
      <c r="E162" s="1">
        <f>C162/3/D162</f>
        <v>7</v>
      </c>
      <c r="G162">
        <v>36.78</v>
      </c>
      <c r="H162">
        <v>8</v>
      </c>
      <c r="I162">
        <f>H162*D162*3</f>
        <v>86.4</v>
      </c>
      <c r="J162">
        <v>17.16</v>
      </c>
      <c r="K162">
        <v>9.4</v>
      </c>
      <c r="L162" s="3">
        <f>K162*3*D162</f>
        <v>101.52000000000001</v>
      </c>
      <c r="M162">
        <v>5.14</v>
      </c>
      <c r="N162">
        <v>4</v>
      </c>
      <c r="O162">
        <f>N162*D162*3</f>
        <v>43.2</v>
      </c>
      <c r="P162" s="5">
        <v>7</v>
      </c>
      <c r="Q162" s="5">
        <f>P162*D162*3</f>
        <v>75.599999999999994</v>
      </c>
      <c r="S162" t="s">
        <v>6278</v>
      </c>
      <c r="T162">
        <v>5.5</v>
      </c>
      <c r="U162" s="8">
        <f>T162*D162*3</f>
        <v>59.400000000000006</v>
      </c>
      <c r="V162">
        <v>30.9</v>
      </c>
      <c r="W162">
        <v>8.6999999999999993</v>
      </c>
      <c r="X162" s="5">
        <f>W162*D162*3</f>
        <v>93.96</v>
      </c>
      <c r="Y162">
        <v>11.58</v>
      </c>
      <c r="Z162">
        <v>8</v>
      </c>
      <c r="AA162">
        <f>Z162*D162*3</f>
        <v>86.4</v>
      </c>
      <c r="AC162">
        <v>47.98</v>
      </c>
      <c r="AD162">
        <v>8</v>
      </c>
      <c r="AE162" s="1">
        <f>AD162*3*D162</f>
        <v>86.4</v>
      </c>
      <c r="AF162">
        <v>11.87</v>
      </c>
      <c r="AG162" s="5">
        <v>7</v>
      </c>
      <c r="AH162" s="5">
        <f>AG162*D162*3</f>
        <v>75.599999999999994</v>
      </c>
      <c r="AI162" s="13"/>
      <c r="AJ162">
        <v>8.1999999999999993</v>
      </c>
      <c r="AK162" s="8">
        <f>AJ162*D162*3</f>
        <v>88.56</v>
      </c>
      <c r="AL162" s="13"/>
      <c r="AM162">
        <v>31.55</v>
      </c>
      <c r="AN162">
        <v>7.9</v>
      </c>
      <c r="AO162" s="8">
        <f>AN162*D162*3</f>
        <v>85.320000000000007</v>
      </c>
      <c r="AP162">
        <v>15.03</v>
      </c>
      <c r="AQ162">
        <v>10</v>
      </c>
      <c r="AR162">
        <f>AQ162*D162*3</f>
        <v>108</v>
      </c>
      <c r="AT162">
        <v>9.1</v>
      </c>
      <c r="AU162">
        <f>AT162*D162*3</f>
        <v>98.28</v>
      </c>
      <c r="AW162">
        <v>23.49</v>
      </c>
      <c r="AX162">
        <v>9.6</v>
      </c>
      <c r="AY162">
        <f>AX162*D162*3</f>
        <v>103.68</v>
      </c>
      <c r="AZ162">
        <v>23.49</v>
      </c>
      <c r="BA162">
        <v>9.6</v>
      </c>
      <c r="BB162">
        <f>BA162*D162*3</f>
        <v>103.68</v>
      </c>
      <c r="BD162">
        <v>9</v>
      </c>
      <c r="BE162">
        <f>BD162*D162*3</f>
        <v>97.199999999999989</v>
      </c>
      <c r="BG162" s="10"/>
      <c r="BH162" s="1">
        <f>CHOOSE(MATCH(MIN(ABS(BP162-C162),ABS(BQ162-C162),ABS(BR162-C162)),CHOOSE({1;2;3},ABS(BP162-C162),ABS(BQ162-C162),ABS(BR162-C162)),0),BP162,BQ162,BR162)</f>
        <v>64.8</v>
      </c>
      <c r="BJ162" s="1" cm="1">
        <f t="array" ref="BJ162">(INDEX(_xlfn._xlws.SORT(CHOOSE({1;2;3;4;5;6},BQ162,BR162,L162,AE162,BO162,BP162)),3) + INDEX(_xlfn._xlws.SORT(CHOOSE({1;2;3;4;5;6},BQ162,BR162,L162,AE162,BO162,BP162)),4))/2</f>
        <v>86.4</v>
      </c>
      <c r="BK162">
        <v>7.00902929432094</v>
      </c>
      <c r="BL162" t="s">
        <v>6117</v>
      </c>
      <c r="BM162" s="1">
        <f>BK162*3*D162</f>
        <v>75.697516378666151</v>
      </c>
      <c r="BN162" s="1">
        <f>BM162-C162</f>
        <v>9.7516378666156811E-2</v>
      </c>
      <c r="BO162" s="1">
        <f>GK162*3*D162</f>
        <v>62.639999999999993</v>
      </c>
      <c r="BP162" s="1">
        <f>DO162*3*D162</f>
        <v>97.2</v>
      </c>
      <c r="BQ162" s="1">
        <f>FJ162*3*D162</f>
        <v>86.4</v>
      </c>
      <c r="BR162" s="1">
        <f>GL162*3*D162</f>
        <v>64.8</v>
      </c>
      <c r="BT162">
        <v>36.78</v>
      </c>
      <c r="BU162">
        <v>8</v>
      </c>
      <c r="BV162" t="s">
        <v>5055</v>
      </c>
      <c r="BW162" t="s">
        <v>5056</v>
      </c>
      <c r="BX162" t="s">
        <v>5057</v>
      </c>
      <c r="BY162" t="s">
        <v>5528</v>
      </c>
      <c r="BZ162" t="s">
        <v>5529</v>
      </c>
      <c r="CA162" t="s">
        <v>2506</v>
      </c>
      <c r="CC162" t="s">
        <v>2507</v>
      </c>
      <c r="CD162" t="s">
        <v>2508</v>
      </c>
      <c r="CE162" t="s">
        <v>2440</v>
      </c>
      <c r="CG162" t="s">
        <v>2947</v>
      </c>
      <c r="CH162" t="s">
        <v>2510</v>
      </c>
      <c r="CI162" t="s">
        <v>2948</v>
      </c>
      <c r="CK162" t="s">
        <v>2949</v>
      </c>
      <c r="CL162" t="s">
        <v>2950</v>
      </c>
      <c r="CM162" t="s">
        <v>2521</v>
      </c>
      <c r="CO162" t="s">
        <v>3204</v>
      </c>
      <c r="CP162" t="s">
        <v>2514</v>
      </c>
      <c r="CQ162" t="s">
        <v>2449</v>
      </c>
      <c r="CS162" t="s">
        <v>3205</v>
      </c>
      <c r="CT162" t="s">
        <v>2524</v>
      </c>
      <c r="CV162">
        <v>9</v>
      </c>
      <c r="CW162">
        <v>9</v>
      </c>
      <c r="CX162">
        <v>9</v>
      </c>
      <c r="CY162">
        <v>9</v>
      </c>
      <c r="CZ162">
        <v>9</v>
      </c>
      <c r="DA162">
        <v>0.1</v>
      </c>
      <c r="DB162">
        <v>0.1</v>
      </c>
      <c r="DC162">
        <v>0.2</v>
      </c>
      <c r="DD162">
        <v>0.3</v>
      </c>
      <c r="DE162">
        <v>0.3</v>
      </c>
      <c r="DF162">
        <v>0.9</v>
      </c>
      <c r="DG162">
        <v>0.9</v>
      </c>
      <c r="DH162">
        <v>1.8</v>
      </c>
      <c r="DI162">
        <v>2.7</v>
      </c>
      <c r="DJ162">
        <v>2.7</v>
      </c>
      <c r="DK162">
        <v>8</v>
      </c>
      <c r="DL162">
        <v>0</v>
      </c>
      <c r="DM162">
        <v>8</v>
      </c>
      <c r="DN162">
        <v>9.4</v>
      </c>
      <c r="DO162">
        <f>AVERAGE(CV162:CZ162)</f>
        <v>9</v>
      </c>
      <c r="DQ162">
        <v>8</v>
      </c>
      <c r="DR162" t="s">
        <v>240</v>
      </c>
      <c r="DS162" t="s">
        <v>187</v>
      </c>
      <c r="DT162" t="s">
        <v>338</v>
      </c>
      <c r="DU162" t="s">
        <v>339</v>
      </c>
      <c r="DV162" t="s">
        <v>340</v>
      </c>
      <c r="DW162" t="s">
        <v>3788</v>
      </c>
      <c r="DX162" t="s">
        <v>3789</v>
      </c>
      <c r="DY162" t="s">
        <v>3790</v>
      </c>
      <c r="DZ162" t="s">
        <v>3791</v>
      </c>
      <c r="EA162" t="s">
        <v>3792</v>
      </c>
      <c r="EB162" t="s">
        <v>3793</v>
      </c>
      <c r="EC162" t="s">
        <v>4189</v>
      </c>
      <c r="ED162" t="s">
        <v>4189</v>
      </c>
      <c r="EE162" t="s">
        <v>3796</v>
      </c>
      <c r="EF162" t="s">
        <v>3797</v>
      </c>
      <c r="EG162" t="s">
        <v>4524</v>
      </c>
      <c r="EH162" t="s">
        <v>4524</v>
      </c>
      <c r="EI162" t="s">
        <v>3799</v>
      </c>
      <c r="EJ162" t="s">
        <v>3800</v>
      </c>
      <c r="EK162" t="s">
        <v>4525</v>
      </c>
      <c r="EL162" t="s">
        <v>4525</v>
      </c>
      <c r="EM162" t="s">
        <v>4227</v>
      </c>
      <c r="EN162" t="s">
        <v>3803</v>
      </c>
      <c r="EO162" t="s">
        <v>4526</v>
      </c>
      <c r="EP162" t="s">
        <v>4526</v>
      </c>
      <c r="EQ162">
        <v>8</v>
      </c>
      <c r="ER162">
        <v>8</v>
      </c>
      <c r="ES162">
        <v>8</v>
      </c>
      <c r="ET162">
        <v>8</v>
      </c>
      <c r="EU162">
        <v>8</v>
      </c>
      <c r="EV162">
        <v>0.1</v>
      </c>
      <c r="EW162">
        <v>0.1</v>
      </c>
      <c r="EX162">
        <v>0.2</v>
      </c>
      <c r="EY162">
        <v>0.3</v>
      </c>
      <c r="EZ162">
        <v>0.3</v>
      </c>
      <c r="FA162">
        <f>EV162*EQ162</f>
        <v>0.8</v>
      </c>
      <c r="FB162">
        <f>EW162*ER162</f>
        <v>0.8</v>
      </c>
      <c r="FC162">
        <f>EX162*ES162</f>
        <v>1.6</v>
      </c>
      <c r="FD162">
        <f>EY162*ET162</f>
        <v>2.4</v>
      </c>
      <c r="FE162">
        <f>EZ162*EU162</f>
        <v>2.4</v>
      </c>
      <c r="FF162">
        <v>16</v>
      </c>
      <c r="FG162">
        <v>0</v>
      </c>
      <c r="FH162">
        <v>8</v>
      </c>
      <c r="FI162">
        <f>FA162+FB162+FC162+FD162+FE162</f>
        <v>8</v>
      </c>
      <c r="FJ162">
        <f>MEDIAN(EQ162:EU162)</f>
        <v>8</v>
      </c>
      <c r="FL162">
        <v>34.68</v>
      </c>
      <c r="FM162">
        <v>6.5</v>
      </c>
      <c r="FN162" t="s">
        <v>1363</v>
      </c>
      <c r="FO162" t="s">
        <v>1364</v>
      </c>
      <c r="FP162" t="s">
        <v>1365</v>
      </c>
      <c r="FQ162" t="s">
        <v>1366</v>
      </c>
      <c r="FR162" t="s">
        <v>606</v>
      </c>
      <c r="FS162">
        <v>5</v>
      </c>
      <c r="FT162">
        <v>8</v>
      </c>
      <c r="FU162">
        <v>6</v>
      </c>
      <c r="FV162">
        <v>7</v>
      </c>
      <c r="FW162">
        <v>4</v>
      </c>
      <c r="FX162">
        <v>0.1</v>
      </c>
      <c r="FY162">
        <v>0.1</v>
      </c>
      <c r="FZ162">
        <v>0.2</v>
      </c>
      <c r="GA162">
        <v>0.3</v>
      </c>
      <c r="GB162">
        <v>0.3</v>
      </c>
      <c r="GC162">
        <f>FS162*FX162</f>
        <v>0.5</v>
      </c>
      <c r="GD162">
        <f>FT162*FY162</f>
        <v>0.8</v>
      </c>
      <c r="GE162">
        <f>FU162*FZ162</f>
        <v>1.2000000000000002</v>
      </c>
      <c r="GF162">
        <f>FV162*GA162</f>
        <v>2.1</v>
      </c>
      <c r="GG162">
        <f>FW162*GB162</f>
        <v>1.2</v>
      </c>
      <c r="GH162">
        <v>6.6</v>
      </c>
      <c r="GI162">
        <v>-0.1</v>
      </c>
      <c r="GJ162">
        <v>6.5</v>
      </c>
      <c r="GK162">
        <f>GC162+GD162+GE162+GF162+GG162</f>
        <v>5.8</v>
      </c>
      <c r="GL162">
        <f>MEDIAN(FS162:FW162)</f>
        <v>6</v>
      </c>
    </row>
    <row r="163" spans="1:194" hidden="1" x14ac:dyDescent="0.25">
      <c r="A163">
        <v>162</v>
      </c>
      <c r="B163" t="s">
        <v>2</v>
      </c>
      <c r="C163" s="4">
        <v>94.35</v>
      </c>
      <c r="D163">
        <v>3.7</v>
      </c>
      <c r="E163" s="1">
        <f>C163/3/D163</f>
        <v>8.5</v>
      </c>
      <c r="G163">
        <v>120.84</v>
      </c>
      <c r="H163">
        <v>6.3</v>
      </c>
      <c r="I163">
        <f>H163*D163*3</f>
        <v>69.929999999999993</v>
      </c>
      <c r="J163">
        <v>19.440000000000001</v>
      </c>
      <c r="K163">
        <v>8.4</v>
      </c>
      <c r="L163" s="3">
        <f>K163*3*D163</f>
        <v>93.240000000000009</v>
      </c>
      <c r="M163">
        <v>4.42</v>
      </c>
      <c r="N163">
        <v>9</v>
      </c>
      <c r="O163">
        <f>N163*D163*3</f>
        <v>99.9</v>
      </c>
      <c r="P163" s="5">
        <v>8.5</v>
      </c>
      <c r="Q163" s="5">
        <f>P163*D163*3</f>
        <v>94.350000000000009</v>
      </c>
      <c r="S163" t="s">
        <v>6295</v>
      </c>
      <c r="T163">
        <v>5.8</v>
      </c>
      <c r="U163" s="8">
        <f>T163*D163*3</f>
        <v>64.38</v>
      </c>
      <c r="V163">
        <v>32.880000000000003</v>
      </c>
      <c r="W163">
        <v>8</v>
      </c>
      <c r="X163" s="5">
        <f>W163*D163*3</f>
        <v>88.800000000000011</v>
      </c>
      <c r="Y163">
        <v>9.25</v>
      </c>
      <c r="Z163">
        <v>7.5</v>
      </c>
      <c r="AA163">
        <f>Z163*D163*3</f>
        <v>83.25</v>
      </c>
      <c r="AC163">
        <v>48.63</v>
      </c>
      <c r="AD163">
        <v>7.3000000000000007</v>
      </c>
      <c r="AE163" s="1">
        <f>AD163*3*D163</f>
        <v>81.030000000000015</v>
      </c>
      <c r="AF163">
        <v>12.15</v>
      </c>
      <c r="AG163" s="5">
        <v>7</v>
      </c>
      <c r="AH163" s="5">
        <f>AG163*D163*3</f>
        <v>77.7</v>
      </c>
      <c r="AI163" s="13"/>
      <c r="AJ163">
        <v>3.2</v>
      </c>
      <c r="AK163" s="8">
        <f>AJ163*D163*3</f>
        <v>35.520000000000003</v>
      </c>
      <c r="AL163" s="13"/>
      <c r="AM163">
        <v>30.04</v>
      </c>
      <c r="AN163">
        <v>7.5</v>
      </c>
      <c r="AO163" s="8">
        <f>AN163*D163*3</f>
        <v>83.25</v>
      </c>
      <c r="AP163">
        <v>13.29</v>
      </c>
      <c r="AQ163">
        <v>10</v>
      </c>
      <c r="AR163">
        <f>AQ163*D163*3</f>
        <v>111</v>
      </c>
      <c r="AT163">
        <v>8.5</v>
      </c>
      <c r="AU163">
        <f>AT163*D163*3</f>
        <v>94.350000000000009</v>
      </c>
      <c r="AW163">
        <v>23.66</v>
      </c>
      <c r="AX163">
        <v>9.1</v>
      </c>
      <c r="AY163">
        <f>AX163*D163*3</f>
        <v>101.01</v>
      </c>
      <c r="AZ163">
        <v>23.66</v>
      </c>
      <c r="BA163">
        <v>9</v>
      </c>
      <c r="BB163">
        <f>BA163*D163*3</f>
        <v>99.9</v>
      </c>
      <c r="BD163">
        <v>8.9</v>
      </c>
      <c r="BE163">
        <f>BD163*D163*3</f>
        <v>98.789999999999992</v>
      </c>
      <c r="BG163" s="10"/>
      <c r="BH163" s="1">
        <f>CHOOSE(MATCH(MIN(ABS(BP163-C163),ABS(BQ163-C163),ABS(BR163-C163)),CHOOSE({1;2;3},ABS(BP163-C163),ABS(BQ163-C163),ABS(BR163-C163)),0),BP163,BQ163,BR163)</f>
        <v>88.800000000000011</v>
      </c>
      <c r="BJ163" s="1" cm="1">
        <f t="array" ref="BJ163">(INDEX(_xlfn._xlws.SORT(CHOOSE({1;2;3;4;5;6},BQ163,BR163,L163,AE163,BO163,BP163)),3) + INDEX(_xlfn._xlws.SORT(CHOOSE({1;2;3;4;5;6},BQ163,BR163,L163,AE163,BO163,BP163)),4))/2</f>
        <v>85.19250000000001</v>
      </c>
      <c r="BK163">
        <v>8.5028486962139507</v>
      </c>
      <c r="BL163" t="s">
        <v>6117</v>
      </c>
      <c r="BM163" s="1">
        <f>BK163*3*D163</f>
        <v>94.381620527974846</v>
      </c>
      <c r="BN163" s="1">
        <f>BM163-C163</f>
        <v>3.1620527974851598E-2</v>
      </c>
      <c r="BO163" s="1">
        <f>GK163*3*D163</f>
        <v>86.02500000000002</v>
      </c>
      <c r="BP163" s="1">
        <f>DO163*3*D163</f>
        <v>84.36</v>
      </c>
      <c r="BQ163" s="1">
        <f>FJ163*3*D163</f>
        <v>77.7</v>
      </c>
      <c r="BR163" s="1">
        <f>GL163*3*D163</f>
        <v>88.800000000000011</v>
      </c>
      <c r="BT163">
        <v>120.84</v>
      </c>
      <c r="BU163">
        <v>6.3</v>
      </c>
      <c r="BV163" t="s">
        <v>5159</v>
      </c>
      <c r="BW163" t="s">
        <v>5530</v>
      </c>
      <c r="BX163" t="s">
        <v>5531</v>
      </c>
      <c r="BY163" t="s">
        <v>5532</v>
      </c>
      <c r="BZ163" t="s">
        <v>5533</v>
      </c>
      <c r="CA163" t="s">
        <v>2452</v>
      </c>
      <c r="CC163" t="s">
        <v>2438</v>
      </c>
      <c r="CD163" t="s">
        <v>2453</v>
      </c>
      <c r="CE163" t="s">
        <v>2454</v>
      </c>
      <c r="CG163" t="s">
        <v>2455</v>
      </c>
      <c r="CH163" t="s">
        <v>2456</v>
      </c>
      <c r="CI163" t="s">
        <v>2457</v>
      </c>
      <c r="CJ163" t="s">
        <v>2458</v>
      </c>
      <c r="CK163" t="s">
        <v>3206</v>
      </c>
      <c r="CL163" t="s">
        <v>3207</v>
      </c>
      <c r="CM163" t="s">
        <v>2461</v>
      </c>
      <c r="CN163" t="s">
        <v>2462</v>
      </c>
      <c r="CO163" t="s">
        <v>3208</v>
      </c>
      <c r="CP163" t="s">
        <v>3209</v>
      </c>
      <c r="CQ163" t="s">
        <v>3210</v>
      </c>
      <c r="CR163" t="s">
        <v>2466</v>
      </c>
      <c r="CS163" t="s">
        <v>3211</v>
      </c>
      <c r="CT163" t="s">
        <v>3212</v>
      </c>
      <c r="CV163">
        <v>9</v>
      </c>
      <c r="CW163">
        <v>9</v>
      </c>
      <c r="CX163">
        <v>7</v>
      </c>
      <c r="CY163">
        <v>6</v>
      </c>
      <c r="CZ163">
        <v>7</v>
      </c>
      <c r="DA163">
        <v>0.1</v>
      </c>
      <c r="DB163">
        <v>0.1</v>
      </c>
      <c r="DC163">
        <v>0.2</v>
      </c>
      <c r="DD163">
        <v>0.3</v>
      </c>
      <c r="DE163">
        <v>0.3</v>
      </c>
      <c r="DF163">
        <v>0.9</v>
      </c>
      <c r="DG163">
        <v>0.9</v>
      </c>
      <c r="DH163">
        <v>1.4</v>
      </c>
      <c r="DI163">
        <v>1.8</v>
      </c>
      <c r="DJ163">
        <v>2.1</v>
      </c>
      <c r="DK163">
        <v>6.3</v>
      </c>
      <c r="DL163">
        <v>0</v>
      </c>
      <c r="DM163">
        <v>6.3</v>
      </c>
      <c r="DN163">
        <v>8.4</v>
      </c>
      <c r="DO163">
        <f>AVERAGE(CV163:CZ163)</f>
        <v>7.6</v>
      </c>
      <c r="DQ163" t="s">
        <v>341</v>
      </c>
      <c r="DR163" t="s">
        <v>342</v>
      </c>
      <c r="DS163" t="s">
        <v>196</v>
      </c>
      <c r="DT163" t="s">
        <v>197</v>
      </c>
      <c r="DU163" t="s">
        <v>343</v>
      </c>
      <c r="DV163" t="s">
        <v>344</v>
      </c>
      <c r="DW163" t="s">
        <v>4208</v>
      </c>
      <c r="DX163" t="s">
        <v>4209</v>
      </c>
      <c r="DY163" t="s">
        <v>4527</v>
      </c>
      <c r="DZ163" t="s">
        <v>4528</v>
      </c>
      <c r="EA163" t="s">
        <v>4212</v>
      </c>
      <c r="EB163" t="s">
        <v>4213</v>
      </c>
      <c r="EC163" t="s">
        <v>4529</v>
      </c>
      <c r="ED163" t="s">
        <v>4530</v>
      </c>
      <c r="EE163" t="s">
        <v>3966</v>
      </c>
      <c r="EF163" t="s">
        <v>4216</v>
      </c>
      <c r="EG163" t="s">
        <v>4217</v>
      </c>
      <c r="EH163" t="s">
        <v>4530</v>
      </c>
      <c r="EI163" t="s">
        <v>4531</v>
      </c>
      <c r="EJ163" t="s">
        <v>4220</v>
      </c>
      <c r="EK163" t="s">
        <v>4532</v>
      </c>
      <c r="EL163" t="s">
        <v>4530</v>
      </c>
      <c r="EM163" t="s">
        <v>4533</v>
      </c>
      <c r="EN163" t="s">
        <v>4493</v>
      </c>
      <c r="EO163" t="s">
        <v>4534</v>
      </c>
      <c r="EP163" t="s">
        <v>4530</v>
      </c>
      <c r="EQ163">
        <v>8</v>
      </c>
      <c r="ER163">
        <v>7</v>
      </c>
      <c r="ES163">
        <v>8</v>
      </c>
      <c r="ET163">
        <v>7</v>
      </c>
      <c r="EU163">
        <v>7</v>
      </c>
      <c r="EV163">
        <v>0.1</v>
      </c>
      <c r="EW163">
        <v>0.1</v>
      </c>
      <c r="EX163">
        <v>0.2</v>
      </c>
      <c r="EY163">
        <v>0.3</v>
      </c>
      <c r="EZ163">
        <v>0.3</v>
      </c>
      <c r="FA163">
        <f>EV163*EQ163</f>
        <v>0.8</v>
      </c>
      <c r="FB163">
        <f>EW163*ER163</f>
        <v>0.70000000000000007</v>
      </c>
      <c r="FC163">
        <f>EX163*ES163</f>
        <v>1.6</v>
      </c>
      <c r="FD163">
        <f>EY163*ET163</f>
        <v>2.1</v>
      </c>
      <c r="FE163">
        <f>EZ163*EU163</f>
        <v>2.1</v>
      </c>
      <c r="FF163">
        <v>15.3</v>
      </c>
      <c r="FG163">
        <v>0.5</v>
      </c>
      <c r="FH163">
        <v>10</v>
      </c>
      <c r="FI163">
        <f>FA163+FB163+FC163+FD163+FE163</f>
        <v>7.3000000000000007</v>
      </c>
      <c r="FJ163">
        <f>MEDIAN(EQ163:EU163)</f>
        <v>7</v>
      </c>
      <c r="FL163">
        <v>92.54</v>
      </c>
      <c r="FM163">
        <v>7.4</v>
      </c>
      <c r="FN163" t="s">
        <v>1367</v>
      </c>
      <c r="FO163" t="s">
        <v>1368</v>
      </c>
      <c r="FP163" t="s">
        <v>1369</v>
      </c>
      <c r="FQ163" t="s">
        <v>1370</v>
      </c>
      <c r="FR163" t="s">
        <v>1371</v>
      </c>
      <c r="FS163">
        <v>10</v>
      </c>
      <c r="FT163">
        <v>9.5</v>
      </c>
      <c r="FU163">
        <v>8</v>
      </c>
      <c r="FV163">
        <v>7.5</v>
      </c>
      <c r="FW163">
        <v>6.5</v>
      </c>
      <c r="FX163">
        <v>0.1</v>
      </c>
      <c r="FY163">
        <v>0.1</v>
      </c>
      <c r="FZ163">
        <v>0.2</v>
      </c>
      <c r="GA163">
        <v>0.3</v>
      </c>
      <c r="GB163">
        <v>0.3</v>
      </c>
      <c r="GC163">
        <f>FS163*FX163</f>
        <v>1</v>
      </c>
      <c r="GD163">
        <f>FT163*FY163</f>
        <v>0.95000000000000007</v>
      </c>
      <c r="GE163">
        <f>FU163*FZ163</f>
        <v>1.6</v>
      </c>
      <c r="GF163">
        <f>FV163*GA163</f>
        <v>2.25</v>
      </c>
      <c r="GG163">
        <f>FW163*GB163</f>
        <v>1.95</v>
      </c>
      <c r="GH163">
        <v>7.4</v>
      </c>
      <c r="GJ163">
        <v>7.4</v>
      </c>
      <c r="GK163">
        <f>GC163+GD163+GE163+GF163+GG163</f>
        <v>7.7500000000000009</v>
      </c>
      <c r="GL163">
        <f>MEDIAN(FS163:FW163)</f>
        <v>8</v>
      </c>
    </row>
    <row r="164" spans="1:194" hidden="1" x14ac:dyDescent="0.25">
      <c r="A164">
        <v>163</v>
      </c>
      <c r="B164" t="s">
        <v>2</v>
      </c>
      <c r="C164" s="4">
        <v>93.6</v>
      </c>
      <c r="D164">
        <v>3.6</v>
      </c>
      <c r="E164" s="1">
        <f>C164/3/D164</f>
        <v>8.6666666666666661</v>
      </c>
      <c r="G164">
        <v>35.159999999999997</v>
      </c>
      <c r="H164">
        <v>8.1999999999999993</v>
      </c>
      <c r="I164">
        <f>H164*D164*3</f>
        <v>88.56</v>
      </c>
      <c r="J164">
        <v>16.54</v>
      </c>
      <c r="K164">
        <v>9</v>
      </c>
      <c r="L164" s="3">
        <f>K164*3*D164</f>
        <v>97.2</v>
      </c>
      <c r="M164">
        <v>4.67</v>
      </c>
      <c r="N164">
        <v>5.5</v>
      </c>
      <c r="O164">
        <f>N164*D164*3</f>
        <v>59.400000000000006</v>
      </c>
      <c r="P164" s="5">
        <v>9</v>
      </c>
      <c r="Q164" s="5">
        <f>P164*D164*3</f>
        <v>97.199999999999989</v>
      </c>
      <c r="S164" t="s">
        <v>6296</v>
      </c>
      <c r="T164">
        <v>6</v>
      </c>
      <c r="U164" s="8">
        <f>T164*D164*3</f>
        <v>64.800000000000011</v>
      </c>
      <c r="V164">
        <v>30.81</v>
      </c>
      <c r="W164">
        <v>8</v>
      </c>
      <c r="X164" s="5">
        <f>W164*D164*3</f>
        <v>86.4</v>
      </c>
      <c r="Y164">
        <v>11.35</v>
      </c>
      <c r="Z164">
        <v>7.8</v>
      </c>
      <c r="AA164">
        <f>Z164*D164*3</f>
        <v>84.24</v>
      </c>
      <c r="AC164">
        <v>44.81</v>
      </c>
      <c r="AD164">
        <v>8</v>
      </c>
      <c r="AE164" s="1">
        <f>AD164*3*D164</f>
        <v>86.4</v>
      </c>
      <c r="AF164">
        <v>12.12</v>
      </c>
      <c r="AG164" s="5">
        <v>7</v>
      </c>
      <c r="AH164" s="5">
        <f>AG164*D164*3</f>
        <v>75.599999999999994</v>
      </c>
      <c r="AI164" s="13"/>
      <c r="AJ164">
        <v>23</v>
      </c>
      <c r="AK164" s="8">
        <f>AJ164*D164*3</f>
        <v>248.39999999999998</v>
      </c>
      <c r="AL164" s="13"/>
      <c r="AM164">
        <v>30.67</v>
      </c>
      <c r="AN164">
        <v>7.3</v>
      </c>
      <c r="AO164" s="8">
        <f>AN164*D164*3</f>
        <v>78.84</v>
      </c>
      <c r="AP164">
        <v>13.32</v>
      </c>
      <c r="AQ164">
        <v>9.1999999999999993</v>
      </c>
      <c r="AR164">
        <f>AQ164*D164*3</f>
        <v>99.359999999999985</v>
      </c>
      <c r="AT164">
        <v>9</v>
      </c>
      <c r="AU164">
        <f>AT164*D164*3</f>
        <v>97.199999999999989</v>
      </c>
      <c r="AW164">
        <v>24.84</v>
      </c>
      <c r="AX164">
        <v>9.3000000000000007</v>
      </c>
      <c r="AY164">
        <f>AX164*D164*3</f>
        <v>100.44000000000001</v>
      </c>
      <c r="AZ164">
        <v>24.84</v>
      </c>
      <c r="BA164">
        <v>9</v>
      </c>
      <c r="BB164">
        <f>BA164*D164*3</f>
        <v>97.199999999999989</v>
      </c>
      <c r="BD164">
        <v>8.5</v>
      </c>
      <c r="BE164">
        <f>BD164*D164*3</f>
        <v>91.800000000000011</v>
      </c>
      <c r="BG164" s="10"/>
      <c r="BH164" s="1">
        <f>CHOOSE(MATCH(MIN(ABS(BP164-C164),ABS(BQ164-C164),ABS(BR164-C164)),CHOOSE({1;2;3},ABS(BP164-C164),ABS(BQ164-C164),ABS(BR164-C164)),0),BP164,BQ164,BR164)</f>
        <v>97.2</v>
      </c>
      <c r="BJ164" s="1" cm="1">
        <f t="array" ref="BJ164">(INDEX(_xlfn._xlws.SORT(CHOOSE({1;2;3;4;5;6},BQ164,BR164,L164,AE164,BO164,BP164)),3) + INDEX(_xlfn._xlws.SORT(CHOOSE({1;2;3;4;5;6},BQ164,BR164,L164,AE164,BO164,BP164)),4))/2</f>
        <v>86.4</v>
      </c>
      <c r="BK164">
        <v>8.6290894027713794</v>
      </c>
      <c r="BL164" t="s">
        <v>6117</v>
      </c>
      <c r="BM164" s="1">
        <f>BK164*3*D164</f>
        <v>93.194165549930901</v>
      </c>
      <c r="BN164" s="1">
        <f>BM164-C164</f>
        <v>-0.40583445006909358</v>
      </c>
      <c r="BO164" s="1">
        <f>GK164*3*D164</f>
        <v>56.16</v>
      </c>
      <c r="BP164" s="1">
        <f>DO164*3*D164</f>
        <v>97.2</v>
      </c>
      <c r="BQ164" s="1">
        <f>FJ164*3*D164</f>
        <v>86.4</v>
      </c>
      <c r="BR164" s="1">
        <f>GL164*3*D164</f>
        <v>43.2</v>
      </c>
      <c r="BT164">
        <v>35.159999999999997</v>
      </c>
      <c r="BU164">
        <v>8.1999999999999993</v>
      </c>
      <c r="BV164" t="s">
        <v>5534</v>
      </c>
      <c r="BW164" t="s">
        <v>5535</v>
      </c>
      <c r="BX164" t="s">
        <v>5536</v>
      </c>
      <c r="BY164" t="s">
        <v>5537</v>
      </c>
      <c r="BZ164" t="s">
        <v>5538</v>
      </c>
      <c r="CA164" t="s">
        <v>2723</v>
      </c>
      <c r="CC164" t="s">
        <v>2758</v>
      </c>
      <c r="CD164" t="s">
        <v>2508</v>
      </c>
      <c r="CE164" t="s">
        <v>2440</v>
      </c>
      <c r="CG164" t="s">
        <v>2761</v>
      </c>
      <c r="CH164" t="s">
        <v>2510</v>
      </c>
      <c r="CI164" t="s">
        <v>2443</v>
      </c>
      <c r="CK164" t="s">
        <v>2795</v>
      </c>
      <c r="CL164" t="s">
        <v>2512</v>
      </c>
      <c r="CM164" t="s">
        <v>2446</v>
      </c>
      <c r="CO164" t="s">
        <v>2796</v>
      </c>
      <c r="CP164" t="s">
        <v>2514</v>
      </c>
      <c r="CQ164" t="s">
        <v>2449</v>
      </c>
      <c r="CS164" t="s">
        <v>2679</v>
      </c>
      <c r="CT164" t="s">
        <v>2524</v>
      </c>
      <c r="CV164">
        <v>9</v>
      </c>
      <c r="CW164">
        <v>9</v>
      </c>
      <c r="CX164">
        <v>9</v>
      </c>
      <c r="CY164">
        <v>9</v>
      </c>
      <c r="CZ164">
        <v>9</v>
      </c>
      <c r="DA164">
        <v>0.1</v>
      </c>
      <c r="DB164">
        <v>0.1</v>
      </c>
      <c r="DC164">
        <v>0.2</v>
      </c>
      <c r="DD164">
        <v>0.3</v>
      </c>
      <c r="DE164">
        <v>0.3</v>
      </c>
      <c r="DF164">
        <v>0.9</v>
      </c>
      <c r="DG164">
        <v>0.9</v>
      </c>
      <c r="DH164">
        <v>1.8</v>
      </c>
      <c r="DI164">
        <v>2.7</v>
      </c>
      <c r="DJ164">
        <v>2.7</v>
      </c>
      <c r="DK164">
        <v>8.1999999999999993</v>
      </c>
      <c r="DL164">
        <v>0</v>
      </c>
      <c r="DM164">
        <v>8.1999999999999993</v>
      </c>
      <c r="DN164">
        <v>9</v>
      </c>
      <c r="DO164">
        <f>AVERAGE(CV164:CZ164)</f>
        <v>9</v>
      </c>
      <c r="DQ164">
        <v>8</v>
      </c>
      <c r="DR164" t="s">
        <v>65</v>
      </c>
      <c r="DS164" t="s">
        <v>66</v>
      </c>
      <c r="DT164" t="s">
        <v>67</v>
      </c>
      <c r="DU164" t="s">
        <v>68</v>
      </c>
      <c r="DV164" t="s">
        <v>69</v>
      </c>
      <c r="DW164" t="s">
        <v>3836</v>
      </c>
      <c r="DX164" t="s">
        <v>3858</v>
      </c>
      <c r="DY164" t="s">
        <v>3875</v>
      </c>
      <c r="DZ164" t="s">
        <v>3827</v>
      </c>
      <c r="EA164" t="s">
        <v>3860</v>
      </c>
      <c r="EB164" t="s">
        <v>3840</v>
      </c>
      <c r="EC164" t="s">
        <v>3876</v>
      </c>
      <c r="ED164" t="s">
        <v>3827</v>
      </c>
      <c r="EE164" t="s">
        <v>3877</v>
      </c>
      <c r="EF164" t="s">
        <v>4204</v>
      </c>
      <c r="EG164" t="s">
        <v>3878</v>
      </c>
      <c r="EH164" t="s">
        <v>3827</v>
      </c>
      <c r="EI164" t="s">
        <v>3879</v>
      </c>
      <c r="EJ164" t="s">
        <v>4230</v>
      </c>
      <c r="EK164" t="s">
        <v>3987</v>
      </c>
      <c r="EL164" t="s">
        <v>3827</v>
      </c>
      <c r="EM164" t="s">
        <v>3881</v>
      </c>
      <c r="EN164" t="s">
        <v>4207</v>
      </c>
      <c r="EO164" t="s">
        <v>3882</v>
      </c>
      <c r="EP164" t="s">
        <v>3827</v>
      </c>
      <c r="EQ164">
        <v>8</v>
      </c>
      <c r="ER164">
        <v>8</v>
      </c>
      <c r="ES164">
        <v>8</v>
      </c>
      <c r="ET164">
        <v>8</v>
      </c>
      <c r="EU164">
        <v>8</v>
      </c>
      <c r="EV164">
        <v>0.1</v>
      </c>
      <c r="EW164">
        <v>0.1</v>
      </c>
      <c r="EX164">
        <v>0.2</v>
      </c>
      <c r="EY164">
        <v>0.3</v>
      </c>
      <c r="EZ164">
        <v>0.3</v>
      </c>
      <c r="FA164">
        <f>EV164*EQ164</f>
        <v>0.8</v>
      </c>
      <c r="FB164">
        <f>EW164*ER164</f>
        <v>0.8</v>
      </c>
      <c r="FC164">
        <f>EX164*ES164</f>
        <v>1.6</v>
      </c>
      <c r="FD164">
        <f>EY164*ET164</f>
        <v>2.4</v>
      </c>
      <c r="FE164">
        <f>EZ164*EU164</f>
        <v>2.4</v>
      </c>
      <c r="FF164">
        <v>16</v>
      </c>
      <c r="FG164">
        <v>0</v>
      </c>
      <c r="FH164">
        <v>8</v>
      </c>
      <c r="FI164">
        <f>FA164+FB164+FC164+FD164+FE164</f>
        <v>8</v>
      </c>
      <c r="FJ164">
        <f>MEDIAN(EQ164:EU164)</f>
        <v>8</v>
      </c>
      <c r="FL164">
        <v>39.6</v>
      </c>
      <c r="FM164">
        <v>9</v>
      </c>
      <c r="FN164" t="s">
        <v>1372</v>
      </c>
      <c r="FO164" t="s">
        <v>1373</v>
      </c>
      <c r="FP164" t="s">
        <v>1374</v>
      </c>
      <c r="FQ164" t="s">
        <v>1375</v>
      </c>
      <c r="FR164" t="s">
        <v>1376</v>
      </c>
      <c r="FS164">
        <v>2</v>
      </c>
      <c r="FT164">
        <v>3</v>
      </c>
      <c r="FU164">
        <v>4</v>
      </c>
      <c r="FV164">
        <v>6</v>
      </c>
      <c r="FW164">
        <v>7</v>
      </c>
      <c r="FX164">
        <v>0.1</v>
      </c>
      <c r="FY164">
        <v>0.1</v>
      </c>
      <c r="FZ164">
        <v>0.2</v>
      </c>
      <c r="GA164">
        <v>0.3</v>
      </c>
      <c r="GB164">
        <v>0.3</v>
      </c>
      <c r="GC164">
        <f>FS164*FX164</f>
        <v>0.2</v>
      </c>
      <c r="GD164">
        <f>FT164*FY164</f>
        <v>0.30000000000000004</v>
      </c>
      <c r="GE164">
        <f>FU164*FZ164</f>
        <v>0.8</v>
      </c>
      <c r="GF164">
        <f>FV164*GA164</f>
        <v>1.7999999999999998</v>
      </c>
      <c r="GG164">
        <f>FW164*GB164</f>
        <v>2.1</v>
      </c>
      <c r="GH164">
        <v>9</v>
      </c>
      <c r="GI164">
        <v>0</v>
      </c>
      <c r="GJ164">
        <v>9</v>
      </c>
      <c r="GK164">
        <f>GC164+GD164+GE164+GF164+GG164</f>
        <v>5.1999999999999993</v>
      </c>
      <c r="GL164">
        <f>MEDIAN(FS164:FW164)</f>
        <v>4</v>
      </c>
    </row>
    <row r="165" spans="1:194" hidden="1" x14ac:dyDescent="0.25">
      <c r="A165">
        <v>164</v>
      </c>
      <c r="B165" t="s">
        <v>2</v>
      </c>
      <c r="C165" s="4">
        <v>90</v>
      </c>
      <c r="D165">
        <v>3.6</v>
      </c>
      <c r="E165" s="1">
        <f>C165/3/D165</f>
        <v>8.3333333333333339</v>
      </c>
      <c r="G165">
        <v>36.86</v>
      </c>
      <c r="H165">
        <v>8.1999999999999993</v>
      </c>
      <c r="I165">
        <f>H165*D165*3</f>
        <v>88.56</v>
      </c>
      <c r="J165">
        <v>17.329999999999998</v>
      </c>
      <c r="K165">
        <v>9</v>
      </c>
      <c r="L165" s="3">
        <f>K165*3*D165</f>
        <v>97.2</v>
      </c>
      <c r="M165">
        <v>5.21</v>
      </c>
      <c r="N165">
        <v>5</v>
      </c>
      <c r="O165">
        <f>N165*D165*3</f>
        <v>54</v>
      </c>
      <c r="P165" s="5">
        <v>7</v>
      </c>
      <c r="Q165" s="5">
        <f>P165*D165*3</f>
        <v>75.599999999999994</v>
      </c>
      <c r="S165" t="s">
        <v>6297</v>
      </c>
      <c r="T165">
        <v>4</v>
      </c>
      <c r="U165" s="8">
        <f>T165*D165*3</f>
        <v>43.2</v>
      </c>
      <c r="V165">
        <v>36.619999999999997</v>
      </c>
      <c r="W165">
        <v>8.5</v>
      </c>
      <c r="X165" s="5">
        <f>W165*D165*3</f>
        <v>91.800000000000011</v>
      </c>
      <c r="Y165">
        <v>11.42</v>
      </c>
      <c r="Z165">
        <v>7.8</v>
      </c>
      <c r="AA165">
        <f>Z165*D165*3</f>
        <v>84.24</v>
      </c>
      <c r="AC165">
        <v>45.12</v>
      </c>
      <c r="AD165">
        <v>8</v>
      </c>
      <c r="AE165" s="1">
        <f>AD165*3*D165</f>
        <v>86.4</v>
      </c>
      <c r="AF165">
        <v>11.88</v>
      </c>
      <c r="AG165" s="5">
        <v>7</v>
      </c>
      <c r="AH165" s="5">
        <f>AG165*D165*3</f>
        <v>75.599999999999994</v>
      </c>
      <c r="AI165" s="13"/>
      <c r="AJ165">
        <v>6.2</v>
      </c>
      <c r="AK165" s="8">
        <f>AJ165*D165*3</f>
        <v>66.960000000000008</v>
      </c>
      <c r="AL165" s="13"/>
      <c r="AM165">
        <v>32.4</v>
      </c>
      <c r="AN165">
        <v>7</v>
      </c>
      <c r="AO165" s="8">
        <f>AN165*D165*3</f>
        <v>75.599999999999994</v>
      </c>
      <c r="AP165">
        <v>13.03</v>
      </c>
      <c r="AQ165">
        <v>10</v>
      </c>
      <c r="AR165">
        <f>AQ165*D165*3</f>
        <v>108</v>
      </c>
      <c r="AT165">
        <v>9</v>
      </c>
      <c r="AU165">
        <f>AT165*D165*3</f>
        <v>97.199999999999989</v>
      </c>
      <c r="AW165">
        <v>24.79</v>
      </c>
      <c r="AX165">
        <v>9</v>
      </c>
      <c r="AY165">
        <f>AX165*D165*3</f>
        <v>97.199999999999989</v>
      </c>
      <c r="AZ165">
        <v>24.79</v>
      </c>
      <c r="BA165">
        <v>9.1999999999999993</v>
      </c>
      <c r="BB165">
        <f>BA165*D165*3</f>
        <v>99.359999999999985</v>
      </c>
      <c r="BD165">
        <v>8.3000000000000007</v>
      </c>
      <c r="BE165">
        <f>BD165*D165*3</f>
        <v>89.640000000000015</v>
      </c>
      <c r="BG165" s="10"/>
      <c r="BH165" s="1">
        <f>CHOOSE(MATCH(MIN(ABS(BP165-C165),ABS(BQ165-C165),ABS(BR165-C165)),CHOOSE({1;2;3},ABS(BP165-C165),ABS(BQ165-C165),ABS(BR165-C165)),0),BP165,BQ165,BR165)</f>
        <v>86.4</v>
      </c>
      <c r="BJ165" s="1" cm="1">
        <f t="array" ref="BJ165">(INDEX(_xlfn._xlws.SORT(CHOOSE({1;2;3;4;5;6},BQ165,BR165,L165,AE165,BO165,BP165)),3) + INDEX(_xlfn._xlws.SORT(CHOOSE({1;2;3;4;5;6},BQ165,BR165,L165,AE165,BO165,BP165)),4))/2</f>
        <v>97.2</v>
      </c>
      <c r="BK165">
        <v>8.3920218211109798</v>
      </c>
      <c r="BL165" t="s">
        <v>6117</v>
      </c>
      <c r="BM165" s="1">
        <f>BK165*3*D165</f>
        <v>90.633835667998582</v>
      </c>
      <c r="BN165" s="1">
        <f>BM165-C165</f>
        <v>0.63383566799858215</v>
      </c>
      <c r="BO165" s="1">
        <f>GK165*3*D165</f>
        <v>108</v>
      </c>
      <c r="BP165" s="1">
        <f>DO165*3*D165</f>
        <v>97.2</v>
      </c>
      <c r="BQ165" s="1">
        <f>FJ165*3*D165</f>
        <v>86.4</v>
      </c>
      <c r="BR165" s="1">
        <f>GL165*3*D165</f>
        <v>108</v>
      </c>
      <c r="BT165">
        <v>36.86</v>
      </c>
      <c r="BU165">
        <v>8.1999999999999993</v>
      </c>
      <c r="BV165" t="s">
        <v>5032</v>
      </c>
      <c r="BW165" t="s">
        <v>5424</v>
      </c>
      <c r="BX165" t="s">
        <v>5425</v>
      </c>
      <c r="BY165" t="s">
        <v>5426</v>
      </c>
      <c r="BZ165" t="s">
        <v>5427</v>
      </c>
      <c r="CA165" t="s">
        <v>2954</v>
      </c>
      <c r="CC165" t="s">
        <v>2551</v>
      </c>
      <c r="CD165" t="s">
        <v>2552</v>
      </c>
      <c r="CE165" t="s">
        <v>2586</v>
      </c>
      <c r="CG165" t="s">
        <v>2424</v>
      </c>
      <c r="CH165" t="s">
        <v>2554</v>
      </c>
      <c r="CI165" t="s">
        <v>2567</v>
      </c>
      <c r="CK165" t="s">
        <v>2556</v>
      </c>
      <c r="CL165" t="s">
        <v>2557</v>
      </c>
      <c r="CM165" t="s">
        <v>3136</v>
      </c>
      <c r="CO165" t="s">
        <v>2431</v>
      </c>
      <c r="CP165" t="s">
        <v>2559</v>
      </c>
      <c r="CQ165" t="s">
        <v>3030</v>
      </c>
      <c r="CS165" t="s">
        <v>2435</v>
      </c>
      <c r="CT165" t="s">
        <v>2562</v>
      </c>
      <c r="CV165">
        <v>9</v>
      </c>
      <c r="CW165">
        <v>9</v>
      </c>
      <c r="CX165">
        <v>9</v>
      </c>
      <c r="CY165">
        <v>9</v>
      </c>
      <c r="CZ165">
        <v>9</v>
      </c>
      <c r="DA165">
        <v>0.1</v>
      </c>
      <c r="DB165">
        <v>0.1</v>
      </c>
      <c r="DC165">
        <v>0.2</v>
      </c>
      <c r="DD165">
        <v>0.3</v>
      </c>
      <c r="DE165">
        <v>0.3</v>
      </c>
      <c r="DF165">
        <v>0.9</v>
      </c>
      <c r="DG165">
        <v>0.9</v>
      </c>
      <c r="DH165">
        <v>1.8</v>
      </c>
      <c r="DI165">
        <v>2.7</v>
      </c>
      <c r="DJ165">
        <v>2.7</v>
      </c>
      <c r="DK165">
        <v>8.1999999999999993</v>
      </c>
      <c r="DL165">
        <v>0</v>
      </c>
      <c r="DM165">
        <v>8.1999999999999993</v>
      </c>
      <c r="DN165">
        <v>9</v>
      </c>
      <c r="DO165">
        <f>AVERAGE(CV165:CZ165)</f>
        <v>9</v>
      </c>
      <c r="DQ165" t="s">
        <v>27</v>
      </c>
      <c r="DR165" t="s">
        <v>65</v>
      </c>
      <c r="DS165" t="s">
        <v>66</v>
      </c>
      <c r="DT165" t="s">
        <v>118</v>
      </c>
      <c r="DU165" t="s">
        <v>68</v>
      </c>
      <c r="DV165" t="s">
        <v>97</v>
      </c>
      <c r="DW165" t="s">
        <v>3836</v>
      </c>
      <c r="DX165" t="s">
        <v>3858</v>
      </c>
      <c r="DY165" t="s">
        <v>4033</v>
      </c>
      <c r="DZ165" t="s">
        <v>4034</v>
      </c>
      <c r="EA165" t="s">
        <v>3860</v>
      </c>
      <c r="EB165" t="s">
        <v>3840</v>
      </c>
      <c r="EC165" t="s">
        <v>4035</v>
      </c>
      <c r="ED165" t="s">
        <v>4036</v>
      </c>
      <c r="EE165" t="s">
        <v>3966</v>
      </c>
      <c r="EF165" t="s">
        <v>3900</v>
      </c>
      <c r="EG165" t="s">
        <v>4037</v>
      </c>
      <c r="EH165" t="s">
        <v>3966</v>
      </c>
      <c r="EI165" t="s">
        <v>3246</v>
      </c>
      <c r="EJ165" t="s">
        <v>3904</v>
      </c>
      <c r="EK165" t="s">
        <v>4038</v>
      </c>
      <c r="EL165" t="s">
        <v>3246</v>
      </c>
      <c r="EM165" t="s">
        <v>4039</v>
      </c>
      <c r="EN165" t="s">
        <v>4040</v>
      </c>
      <c r="EO165" t="s">
        <v>4041</v>
      </c>
      <c r="EP165" t="s">
        <v>4039</v>
      </c>
      <c r="EQ165">
        <v>8</v>
      </c>
      <c r="ER165">
        <v>8</v>
      </c>
      <c r="ES165">
        <v>8</v>
      </c>
      <c r="ET165">
        <v>8</v>
      </c>
      <c r="EU165">
        <v>8</v>
      </c>
      <c r="EV165">
        <v>0.1</v>
      </c>
      <c r="EW165">
        <v>0.1</v>
      </c>
      <c r="EX165">
        <v>0.2</v>
      </c>
      <c r="EY165">
        <v>0.3</v>
      </c>
      <c r="EZ165">
        <v>0.3</v>
      </c>
      <c r="FA165">
        <f>EV165*EQ165</f>
        <v>0.8</v>
      </c>
      <c r="FB165">
        <f>EW165*ER165</f>
        <v>0.8</v>
      </c>
      <c r="FC165">
        <f>EX165*ES165</f>
        <v>1.6</v>
      </c>
      <c r="FD165">
        <f>EY165*ET165</f>
        <v>2.4</v>
      </c>
      <c r="FE165">
        <f>EZ165*EU165</f>
        <v>2.4</v>
      </c>
      <c r="FF165">
        <v>17</v>
      </c>
      <c r="FG165">
        <v>0</v>
      </c>
      <c r="FH165">
        <v>8</v>
      </c>
      <c r="FI165">
        <f>FA165+FB165+FC165+FD165+FE165</f>
        <v>8</v>
      </c>
      <c r="FJ165">
        <f>MEDIAN(EQ165:EU165)</f>
        <v>8</v>
      </c>
      <c r="FL165">
        <v>63.48</v>
      </c>
      <c r="FM165">
        <v>10</v>
      </c>
      <c r="FN165" t="s">
        <v>1377</v>
      </c>
      <c r="FO165" t="s">
        <v>1378</v>
      </c>
      <c r="FP165" t="s">
        <v>1379</v>
      </c>
      <c r="FQ165" t="s">
        <v>1380</v>
      </c>
      <c r="FR165" t="s">
        <v>1381</v>
      </c>
      <c r="FS165">
        <v>10</v>
      </c>
      <c r="FT165">
        <v>10</v>
      </c>
      <c r="FU165">
        <v>10</v>
      </c>
      <c r="FV165">
        <v>10</v>
      </c>
      <c r="FW165">
        <v>10</v>
      </c>
      <c r="FX165">
        <v>0.1</v>
      </c>
      <c r="FY165">
        <v>0.1</v>
      </c>
      <c r="FZ165">
        <v>0.2</v>
      </c>
      <c r="GA165">
        <v>0.3</v>
      </c>
      <c r="GB165">
        <v>0.3</v>
      </c>
      <c r="GC165">
        <f>FS165*FX165</f>
        <v>1</v>
      </c>
      <c r="GD165">
        <f>FT165*FY165</f>
        <v>1</v>
      </c>
      <c r="GE165">
        <f>FU165*FZ165</f>
        <v>2</v>
      </c>
      <c r="GF165">
        <f>FV165*GA165</f>
        <v>3</v>
      </c>
      <c r="GG165">
        <f>FW165*GB165</f>
        <v>3</v>
      </c>
      <c r="GH165">
        <v>10</v>
      </c>
      <c r="GI165">
        <v>0</v>
      </c>
      <c r="GJ165">
        <v>10</v>
      </c>
      <c r="GK165">
        <f>GC165+GD165+GE165+GF165+GG165</f>
        <v>10</v>
      </c>
      <c r="GL165">
        <f>MEDIAN(FS165:FW165)</f>
        <v>10</v>
      </c>
    </row>
    <row r="166" spans="1:194" hidden="1" x14ac:dyDescent="0.25">
      <c r="A166">
        <v>165</v>
      </c>
      <c r="B166" t="s">
        <v>2</v>
      </c>
      <c r="C166" s="4">
        <v>84.6</v>
      </c>
      <c r="D166">
        <v>3.6</v>
      </c>
      <c r="E166" s="1">
        <f>C166/3/D166</f>
        <v>7.833333333333333</v>
      </c>
      <c r="G166">
        <v>35.69</v>
      </c>
      <c r="H166">
        <v>8.1999999999999993</v>
      </c>
      <c r="I166">
        <f>H166*D166*3</f>
        <v>88.56</v>
      </c>
      <c r="J166">
        <v>16.61</v>
      </c>
      <c r="K166">
        <v>9</v>
      </c>
      <c r="L166" s="3">
        <f>K166*3*D166</f>
        <v>97.2</v>
      </c>
      <c r="M166">
        <v>5.42</v>
      </c>
      <c r="N166">
        <v>2</v>
      </c>
      <c r="O166">
        <f>N166*D166*3</f>
        <v>21.6</v>
      </c>
      <c r="P166" s="5">
        <v>7</v>
      </c>
      <c r="Q166" s="5">
        <f>P166*D166*3</f>
        <v>75.599999999999994</v>
      </c>
      <c r="S166" t="s">
        <v>6298</v>
      </c>
      <c r="T166">
        <v>4.7</v>
      </c>
      <c r="U166" s="8">
        <f>T166*D166*3</f>
        <v>50.760000000000005</v>
      </c>
      <c r="V166">
        <v>33.14</v>
      </c>
      <c r="W166">
        <v>8.4</v>
      </c>
      <c r="X166" s="5">
        <f>W166*D166*3</f>
        <v>90.72</v>
      </c>
      <c r="Y166">
        <v>8.9600000000000009</v>
      </c>
      <c r="Z166">
        <v>7.5</v>
      </c>
      <c r="AA166">
        <f>Z166*D166*3</f>
        <v>81</v>
      </c>
      <c r="AC166">
        <v>45.64</v>
      </c>
      <c r="AD166">
        <v>8</v>
      </c>
      <c r="AE166" s="1">
        <f>AD166*3*D166</f>
        <v>86.4</v>
      </c>
      <c r="AF166">
        <v>11.96</v>
      </c>
      <c r="AG166" s="5">
        <v>7</v>
      </c>
      <c r="AH166" s="5">
        <f>AG166*D166*3</f>
        <v>75.599999999999994</v>
      </c>
      <c r="AI166" s="13"/>
      <c r="AK166" s="8">
        <f>AJ166*D166*3</f>
        <v>0</v>
      </c>
      <c r="AL166" s="13"/>
      <c r="AM166">
        <v>31.12</v>
      </c>
      <c r="AN166">
        <v>7</v>
      </c>
      <c r="AO166" s="8">
        <f>AN166*D166*3</f>
        <v>75.599999999999994</v>
      </c>
      <c r="AP166">
        <v>12.24</v>
      </c>
      <c r="AQ166">
        <v>10</v>
      </c>
      <c r="AR166">
        <f>AQ166*D166*3</f>
        <v>108</v>
      </c>
      <c r="AT166">
        <v>8.5</v>
      </c>
      <c r="AU166">
        <f>AT166*D166*3</f>
        <v>91.800000000000011</v>
      </c>
      <c r="AW166">
        <v>24.7</v>
      </c>
      <c r="AX166">
        <v>9.9</v>
      </c>
      <c r="AY166">
        <f>AX166*D166*3</f>
        <v>106.92</v>
      </c>
      <c r="AZ166">
        <v>24.7</v>
      </c>
      <c r="BA166">
        <v>9.4</v>
      </c>
      <c r="BB166">
        <f>BA166*D166*3</f>
        <v>101.52000000000001</v>
      </c>
      <c r="BD166">
        <v>7.6</v>
      </c>
      <c r="BE166">
        <f>BD166*D166*3</f>
        <v>82.08</v>
      </c>
      <c r="BG166" s="10"/>
      <c r="BH166" s="1">
        <f>CHOOSE(MATCH(MIN(ABS(BP166-C166),ABS(BQ166-C166),ABS(BR166-C166)),CHOOSE({1;2;3},ABS(BP166-C166),ABS(BQ166-C166),ABS(BR166-C166)),0),BP166,BQ166,BR166)</f>
        <v>86.4</v>
      </c>
      <c r="BJ166" s="1" cm="1">
        <f t="array" ref="BJ166">(INDEX(_xlfn._xlws.SORT(CHOOSE({1;2;3;4;5;6},BQ166,BR166,L166,AE166,BO166,BP166)),3) + INDEX(_xlfn._xlws.SORT(CHOOSE({1;2;3;4;5;6},BQ166,BR166,L166,AE166,BO166,BP166)),4))/2</f>
        <v>86.4</v>
      </c>
      <c r="BK166">
        <v>7.8313960775556799</v>
      </c>
      <c r="BL166" t="s">
        <v>6117</v>
      </c>
      <c r="BM166" s="1">
        <f>BK166*3*D166</f>
        <v>84.579077637601344</v>
      </c>
      <c r="BN166" s="1">
        <f>BM166-C166</f>
        <v>-2.0922362398650307E-2</v>
      </c>
      <c r="BO166" s="1">
        <f>GK166*3*D166</f>
        <v>56.7</v>
      </c>
      <c r="BP166" s="1">
        <f>DO166*3*D166</f>
        <v>97.2</v>
      </c>
      <c r="BQ166" s="1">
        <f>FJ166*3*D166</f>
        <v>86.4</v>
      </c>
      <c r="BR166" s="1">
        <f>GL166*3*D166</f>
        <v>43.2</v>
      </c>
      <c r="BT166">
        <v>35.69</v>
      </c>
      <c r="BU166">
        <v>8.1999999999999993</v>
      </c>
      <c r="BV166" t="s">
        <v>5539</v>
      </c>
      <c r="BW166" t="s">
        <v>5004</v>
      </c>
      <c r="BX166" t="s">
        <v>5540</v>
      </c>
      <c r="BY166" t="s">
        <v>5541</v>
      </c>
      <c r="BZ166" t="s">
        <v>5542</v>
      </c>
      <c r="CA166" t="s">
        <v>2550</v>
      </c>
      <c r="CC166" t="s">
        <v>2634</v>
      </c>
      <c r="CD166" t="s">
        <v>2635</v>
      </c>
      <c r="CE166" t="s">
        <v>2553</v>
      </c>
      <c r="CG166" t="s">
        <v>2634</v>
      </c>
      <c r="CH166" t="s">
        <v>2773</v>
      </c>
      <c r="CI166" t="s">
        <v>3213</v>
      </c>
      <c r="CK166" t="s">
        <v>2634</v>
      </c>
      <c r="CL166" t="s">
        <v>3214</v>
      </c>
      <c r="CM166" t="s">
        <v>2704</v>
      </c>
      <c r="CO166" t="s">
        <v>2634</v>
      </c>
      <c r="CP166" t="s">
        <v>2869</v>
      </c>
      <c r="CQ166" t="s">
        <v>2926</v>
      </c>
      <c r="CR166" t="s">
        <v>2561</v>
      </c>
      <c r="CS166" t="s">
        <v>2634</v>
      </c>
      <c r="CT166" t="s">
        <v>2996</v>
      </c>
      <c r="CV166">
        <v>9</v>
      </c>
      <c r="CW166">
        <v>9</v>
      </c>
      <c r="CX166">
        <v>9</v>
      </c>
      <c r="CY166">
        <v>9</v>
      </c>
      <c r="CZ166">
        <v>9</v>
      </c>
      <c r="DA166">
        <v>0.1</v>
      </c>
      <c r="DB166">
        <v>0.1</v>
      </c>
      <c r="DC166">
        <v>0.2</v>
      </c>
      <c r="DD166">
        <v>0.3</v>
      </c>
      <c r="DE166">
        <v>0.3</v>
      </c>
      <c r="DF166">
        <v>0.9</v>
      </c>
      <c r="DG166">
        <v>0.9</v>
      </c>
      <c r="DH166">
        <v>1.8</v>
      </c>
      <c r="DI166">
        <v>2.7</v>
      </c>
      <c r="DJ166">
        <v>2.7</v>
      </c>
      <c r="DK166">
        <v>8.1999999999999993</v>
      </c>
      <c r="DL166">
        <v>0</v>
      </c>
      <c r="DM166">
        <v>8.1999999999999993</v>
      </c>
      <c r="DN166">
        <v>9</v>
      </c>
      <c r="DO166">
        <f>AVERAGE(CV166:CZ166)</f>
        <v>9</v>
      </c>
      <c r="DQ166">
        <v>8</v>
      </c>
      <c r="DR166" t="s">
        <v>221</v>
      </c>
      <c r="DS166" t="s">
        <v>61</v>
      </c>
      <c r="DT166" t="s">
        <v>54</v>
      </c>
      <c r="DU166" t="s">
        <v>218</v>
      </c>
      <c r="DV166" t="s">
        <v>345</v>
      </c>
      <c r="DW166" t="s">
        <v>3836</v>
      </c>
      <c r="DX166" t="s">
        <v>3858</v>
      </c>
      <c r="DY166" t="s">
        <v>4233</v>
      </c>
      <c r="DZ166" t="s">
        <v>4234</v>
      </c>
      <c r="EA166" t="s">
        <v>3860</v>
      </c>
      <c r="EB166" t="s">
        <v>3840</v>
      </c>
      <c r="EC166" t="s">
        <v>4235</v>
      </c>
      <c r="ED166" t="s">
        <v>4235</v>
      </c>
      <c r="EE166" t="s">
        <v>3843</v>
      </c>
      <c r="EF166" t="s">
        <v>3844</v>
      </c>
      <c r="EG166" t="s">
        <v>4236</v>
      </c>
      <c r="EH166" t="s">
        <v>4236</v>
      </c>
      <c r="EI166" t="s">
        <v>4256</v>
      </c>
      <c r="EJ166" t="s">
        <v>3848</v>
      </c>
      <c r="EK166" t="s">
        <v>4237</v>
      </c>
      <c r="EL166" t="s">
        <v>4237</v>
      </c>
      <c r="EM166" t="s">
        <v>3989</v>
      </c>
      <c r="EN166" t="s">
        <v>3852</v>
      </c>
      <c r="EO166" t="s">
        <v>4239</v>
      </c>
      <c r="EP166" t="s">
        <v>4239</v>
      </c>
      <c r="EQ166">
        <v>8</v>
      </c>
      <c r="ER166">
        <v>8</v>
      </c>
      <c r="ES166">
        <v>8</v>
      </c>
      <c r="ET166">
        <v>8</v>
      </c>
      <c r="EU166">
        <v>8</v>
      </c>
      <c r="EV166">
        <v>0.1</v>
      </c>
      <c r="EW166">
        <v>0.1</v>
      </c>
      <c r="EX166">
        <v>0.2</v>
      </c>
      <c r="EY166">
        <v>0.3</v>
      </c>
      <c r="EZ166">
        <v>0.3</v>
      </c>
      <c r="FA166">
        <f>EV166*EQ166</f>
        <v>0.8</v>
      </c>
      <c r="FB166">
        <f>EW166*ER166</f>
        <v>0.8</v>
      </c>
      <c r="FC166">
        <f>EX166*ES166</f>
        <v>1.6</v>
      </c>
      <c r="FD166">
        <f>EY166*ET166</f>
        <v>2.4</v>
      </c>
      <c r="FE166">
        <f>EZ166*EU166</f>
        <v>2.4</v>
      </c>
      <c r="FF166">
        <v>16</v>
      </c>
      <c r="FG166">
        <v>0</v>
      </c>
      <c r="FH166">
        <v>8</v>
      </c>
      <c r="FI166">
        <f>FA166+FB166+FC166+FD166+FE166</f>
        <v>8</v>
      </c>
      <c r="FJ166">
        <f>MEDIAN(EQ166:EU166)</f>
        <v>8</v>
      </c>
      <c r="FL166">
        <v>39.32</v>
      </c>
      <c r="FM166">
        <v>9</v>
      </c>
      <c r="FN166" t="s">
        <v>1382</v>
      </c>
      <c r="FO166" t="s">
        <v>1383</v>
      </c>
      <c r="FP166" t="s">
        <v>1384</v>
      </c>
      <c r="FQ166" t="s">
        <v>1385</v>
      </c>
      <c r="FR166" t="s">
        <v>1386</v>
      </c>
      <c r="FS166">
        <v>2.5</v>
      </c>
      <c r="FT166">
        <v>3</v>
      </c>
      <c r="FU166">
        <v>4</v>
      </c>
      <c r="FV166">
        <v>6</v>
      </c>
      <c r="FW166">
        <v>7</v>
      </c>
      <c r="FX166">
        <v>0.1</v>
      </c>
      <c r="FY166">
        <v>0.1</v>
      </c>
      <c r="FZ166">
        <v>0.2</v>
      </c>
      <c r="GA166">
        <v>0.3</v>
      </c>
      <c r="GB166">
        <v>0.3</v>
      </c>
      <c r="GC166">
        <f>FS166*FX166</f>
        <v>0.25</v>
      </c>
      <c r="GD166">
        <f>FT166*FY166</f>
        <v>0.30000000000000004</v>
      </c>
      <c r="GE166">
        <f>FU166*FZ166</f>
        <v>0.8</v>
      </c>
      <c r="GF166">
        <f>FV166*GA166</f>
        <v>1.7999999999999998</v>
      </c>
      <c r="GG166">
        <f>FW166*GB166</f>
        <v>2.1</v>
      </c>
      <c r="GH166">
        <v>9</v>
      </c>
      <c r="GI166">
        <v>0</v>
      </c>
      <c r="GJ166">
        <v>9</v>
      </c>
      <c r="GK166">
        <f>GC166+GD166+GE166+GF166+GG166</f>
        <v>5.25</v>
      </c>
      <c r="GL166">
        <f>MEDIAN(FS166:FW166)</f>
        <v>4</v>
      </c>
    </row>
    <row r="167" spans="1:194" x14ac:dyDescent="0.25">
      <c r="A167">
        <v>298</v>
      </c>
      <c r="B167" t="s">
        <v>2</v>
      </c>
      <c r="C167" s="4">
        <v>77.7</v>
      </c>
      <c r="D167">
        <v>3.7</v>
      </c>
      <c r="E167" s="1">
        <f>C167/3/D167</f>
        <v>7</v>
      </c>
      <c r="G167">
        <v>81.319999999999993</v>
      </c>
      <c r="H167">
        <v>8.1999999999999993</v>
      </c>
      <c r="I167">
        <f>H167*D167*3</f>
        <v>91.02</v>
      </c>
      <c r="J167">
        <v>18.57</v>
      </c>
      <c r="K167">
        <v>8.4</v>
      </c>
      <c r="L167" s="3">
        <f>K167*3*D167</f>
        <v>93.240000000000009</v>
      </c>
      <c r="M167">
        <v>4.12</v>
      </c>
      <c r="N167">
        <v>8.9</v>
      </c>
      <c r="O167">
        <f>N167*D167*3</f>
        <v>98.789999999999992</v>
      </c>
      <c r="P167" s="5">
        <v>8.6999999999999993</v>
      </c>
      <c r="Q167" s="5">
        <f>P167*D167*3</f>
        <v>96.57</v>
      </c>
      <c r="S167" t="s">
        <v>6424</v>
      </c>
      <c r="T167">
        <v>6.8</v>
      </c>
      <c r="U167" s="8">
        <f>T167*D167*3</f>
        <v>75.48</v>
      </c>
      <c r="V167">
        <v>30.6</v>
      </c>
      <c r="W167">
        <v>8.4</v>
      </c>
      <c r="X167" s="5">
        <f>W167*D167*3</f>
        <v>93.240000000000009</v>
      </c>
      <c r="Y167">
        <v>8.75</v>
      </c>
      <c r="Z167">
        <v>7</v>
      </c>
      <c r="AA167">
        <f>Z167*D167*3</f>
        <v>77.7</v>
      </c>
      <c r="AC167">
        <v>142.16999999999999</v>
      </c>
      <c r="AD167">
        <v>7.9</v>
      </c>
      <c r="AE167" s="1">
        <f>AD167*3*D167</f>
        <v>87.690000000000012</v>
      </c>
      <c r="AF167">
        <v>11.95</v>
      </c>
      <c r="AG167" s="5">
        <v>7</v>
      </c>
      <c r="AH167" s="5">
        <f>AG167*D167*3</f>
        <v>77.7</v>
      </c>
      <c r="AI167" s="13"/>
      <c r="AJ167">
        <v>23.5</v>
      </c>
      <c r="AK167" s="8">
        <f>AJ167*D167*3</f>
        <v>260.85000000000002</v>
      </c>
      <c r="AL167" s="13"/>
      <c r="AM167">
        <v>31.55</v>
      </c>
      <c r="AN167">
        <v>7.5</v>
      </c>
      <c r="AO167" s="8">
        <f>AN167*D167*3</f>
        <v>83.25</v>
      </c>
      <c r="AP167">
        <v>14.62</v>
      </c>
      <c r="AQ167">
        <v>9.5</v>
      </c>
      <c r="AR167">
        <f>AQ167*D167*3</f>
        <v>105.44999999999999</v>
      </c>
      <c r="AT167">
        <v>9</v>
      </c>
      <c r="AU167">
        <f>AT167*D167*3</f>
        <v>99.9</v>
      </c>
      <c r="AX167">
        <v>9.3000000000000007</v>
      </c>
      <c r="AY167">
        <f>AX167*D167*3</f>
        <v>103.23000000000002</v>
      </c>
      <c r="BA167">
        <v>9.1</v>
      </c>
      <c r="BB167">
        <f>BA167*D167*3</f>
        <v>101.01</v>
      </c>
      <c r="BD167">
        <v>8.9</v>
      </c>
      <c r="BE167">
        <f>BD167*D167*3</f>
        <v>98.789999999999992</v>
      </c>
      <c r="BG167" s="10"/>
      <c r="BH167" s="1">
        <f>CHOOSE(MATCH(MIN(ABS(BP167-C167),ABS(BQ167-C167),ABS(BR167-C167)),CHOOSE({1;2;3},ABS(BP167-C167),ABS(BQ167-C167),ABS(BR167-C167)),0),BP167,BQ167,BR167)</f>
        <v>88.800000000000011</v>
      </c>
      <c r="BJ167" s="1" cm="1">
        <f t="array" ref="BJ167">(INDEX(_xlfn._xlws.SORT(CHOOSE({1;2;3;4;5;6},BQ167,BR167,L167,AE167,BO167,BP167)),3) + INDEX(_xlfn._xlws.SORT(CHOOSE({1;2;3;4;5;6},BQ167,BR167,L167,AE167,BO167,BP167)),4))/2</f>
        <v>93.795000000000016</v>
      </c>
      <c r="BK167">
        <v>6.91565827992323</v>
      </c>
      <c r="BL167" s="11" t="s">
        <v>6116</v>
      </c>
      <c r="BM167" s="1">
        <f>BK167*3*D167</f>
        <v>76.763806907147867</v>
      </c>
      <c r="BN167" s="1">
        <f>BM167-C167</f>
        <v>-0.93619309285213603</v>
      </c>
      <c r="BO167" s="1">
        <f>GK167*3*D167</f>
        <v>94.350000000000009</v>
      </c>
      <c r="BP167" s="1">
        <f>DO167*3*D167</f>
        <v>99.9</v>
      </c>
      <c r="BQ167" s="1">
        <f>FJ167*3*D167</f>
        <v>88.800000000000011</v>
      </c>
      <c r="BR167" s="1">
        <f>GL167*3*D167</f>
        <v>99.9</v>
      </c>
      <c r="BT167">
        <v>81.319999999999993</v>
      </c>
      <c r="BU167">
        <v>8.1999999999999993</v>
      </c>
      <c r="BV167" t="s">
        <v>5602</v>
      </c>
      <c r="BW167" t="s">
        <v>5915</v>
      </c>
      <c r="BX167" t="s">
        <v>5916</v>
      </c>
      <c r="BY167" t="s">
        <v>5917</v>
      </c>
      <c r="BZ167" t="s">
        <v>5918</v>
      </c>
      <c r="CA167" t="s">
        <v>2550</v>
      </c>
      <c r="CC167" t="s">
        <v>2634</v>
      </c>
      <c r="CD167" t="s">
        <v>2635</v>
      </c>
      <c r="CE167" t="s">
        <v>2565</v>
      </c>
      <c r="CG167" t="s">
        <v>2636</v>
      </c>
      <c r="CH167" t="s">
        <v>2637</v>
      </c>
      <c r="CI167" t="s">
        <v>2496</v>
      </c>
      <c r="CK167" t="s">
        <v>2927</v>
      </c>
      <c r="CL167" t="s">
        <v>2928</v>
      </c>
      <c r="CM167" t="s">
        <v>2670</v>
      </c>
      <c r="CO167" t="s">
        <v>3425</v>
      </c>
      <c r="CP167" t="s">
        <v>3426</v>
      </c>
      <c r="CQ167" t="s">
        <v>2969</v>
      </c>
      <c r="CS167" t="s">
        <v>2645</v>
      </c>
      <c r="CT167" t="s">
        <v>2930</v>
      </c>
      <c r="CV167">
        <v>9</v>
      </c>
      <c r="CW167">
        <v>9</v>
      </c>
      <c r="CX167">
        <v>9</v>
      </c>
      <c r="CY167">
        <v>9</v>
      </c>
      <c r="CZ167">
        <v>9</v>
      </c>
      <c r="DA167">
        <v>0.1</v>
      </c>
      <c r="DB167">
        <v>0.1</v>
      </c>
      <c r="DC167">
        <v>0.2</v>
      </c>
      <c r="DD167">
        <v>0.3</v>
      </c>
      <c r="DE167">
        <v>0.3</v>
      </c>
      <c r="DF167">
        <v>0.9</v>
      </c>
      <c r="DG167">
        <v>0.9</v>
      </c>
      <c r="DH167">
        <v>1.8</v>
      </c>
      <c r="DI167">
        <v>2.7</v>
      </c>
      <c r="DJ167">
        <v>2.7</v>
      </c>
      <c r="DK167">
        <v>8.1999999999999993</v>
      </c>
      <c r="DL167">
        <v>0</v>
      </c>
      <c r="DM167">
        <v>8.1999999999999993</v>
      </c>
      <c r="DN167">
        <v>8.4</v>
      </c>
      <c r="DO167">
        <f>AVERAGE(CV167:CZ167)</f>
        <v>9</v>
      </c>
      <c r="DQ167">
        <v>15</v>
      </c>
      <c r="DR167" t="s">
        <v>38</v>
      </c>
      <c r="DS167" t="s">
        <v>39</v>
      </c>
      <c r="DT167" t="s">
        <v>40</v>
      </c>
      <c r="DU167" t="s">
        <v>41</v>
      </c>
      <c r="DV167" t="s">
        <v>42</v>
      </c>
      <c r="DW167" t="s">
        <v>3805</v>
      </c>
      <c r="DX167" t="s">
        <v>3770</v>
      </c>
      <c r="DY167" t="s">
        <v>3771</v>
      </c>
      <c r="DZ167" t="s">
        <v>3772</v>
      </c>
      <c r="EA167" t="s">
        <v>3806</v>
      </c>
      <c r="EB167" t="s">
        <v>3807</v>
      </c>
      <c r="EC167" t="s">
        <v>3775</v>
      </c>
      <c r="ED167" t="s">
        <v>3776</v>
      </c>
      <c r="EE167" t="s">
        <v>3946</v>
      </c>
      <c r="EF167" t="s">
        <v>3809</v>
      </c>
      <c r="EG167" t="s">
        <v>3810</v>
      </c>
      <c r="EH167" t="s">
        <v>3811</v>
      </c>
      <c r="EI167" t="s">
        <v>3947</v>
      </c>
      <c r="EJ167" t="s">
        <v>3813</v>
      </c>
      <c r="EK167" t="s">
        <v>3948</v>
      </c>
      <c r="EL167" t="s">
        <v>3815</v>
      </c>
      <c r="EM167" t="s">
        <v>3949</v>
      </c>
      <c r="EN167" t="s">
        <v>3809</v>
      </c>
      <c r="EO167" t="s">
        <v>3950</v>
      </c>
      <c r="EP167" t="s">
        <v>3818</v>
      </c>
      <c r="EQ167">
        <v>7</v>
      </c>
      <c r="ER167">
        <v>8</v>
      </c>
      <c r="ES167">
        <v>8</v>
      </c>
      <c r="ET167">
        <v>8</v>
      </c>
      <c r="EU167">
        <v>8</v>
      </c>
      <c r="EV167">
        <v>0.1</v>
      </c>
      <c r="EW167">
        <v>0.1</v>
      </c>
      <c r="EX167">
        <v>0.2</v>
      </c>
      <c r="EY167">
        <v>0.3</v>
      </c>
      <c r="EZ167">
        <v>0.3</v>
      </c>
      <c r="FA167">
        <f>EV167*EQ167</f>
        <v>0.70000000000000007</v>
      </c>
      <c r="FB167">
        <f>EW167*ER167</f>
        <v>0.8</v>
      </c>
      <c r="FC167">
        <f>EX167*ES167</f>
        <v>1.6</v>
      </c>
      <c r="FD167">
        <f>EY167*ET167</f>
        <v>2.4</v>
      </c>
      <c r="FE167">
        <f>EZ167*EU167</f>
        <v>2.4</v>
      </c>
      <c r="FF167">
        <v>15</v>
      </c>
      <c r="FG167">
        <v>0</v>
      </c>
      <c r="FH167">
        <v>15</v>
      </c>
      <c r="FI167">
        <f>FA167+FB167+FC167+FD167+FE167</f>
        <v>7.9</v>
      </c>
      <c r="FJ167">
        <f>MEDIAN(EQ167:EU167)</f>
        <v>8</v>
      </c>
      <c r="FL167">
        <v>76.78</v>
      </c>
      <c r="FM167">
        <v>6.5</v>
      </c>
      <c r="FN167" t="s">
        <v>2019</v>
      </c>
      <c r="FO167" t="s">
        <v>2020</v>
      </c>
      <c r="FP167" t="s">
        <v>2021</v>
      </c>
      <c r="FQ167" t="s">
        <v>2022</v>
      </c>
      <c r="FR167" t="s">
        <v>2023</v>
      </c>
      <c r="FS167">
        <v>8</v>
      </c>
      <c r="FT167">
        <v>9</v>
      </c>
      <c r="FU167">
        <v>10</v>
      </c>
      <c r="FV167">
        <v>9</v>
      </c>
      <c r="FW167">
        <v>7</v>
      </c>
      <c r="FX167">
        <v>0.1</v>
      </c>
      <c r="FY167">
        <v>0.1</v>
      </c>
      <c r="FZ167">
        <v>0.2</v>
      </c>
      <c r="GA167">
        <v>0.3</v>
      </c>
      <c r="GB167">
        <v>0.3</v>
      </c>
      <c r="GC167">
        <f>FS167*FX167</f>
        <v>0.8</v>
      </c>
      <c r="GD167">
        <f>FT167*FY167</f>
        <v>0.9</v>
      </c>
      <c r="GE167">
        <f>FU167*FZ167</f>
        <v>2</v>
      </c>
      <c r="GF167">
        <f>FV167*GA167</f>
        <v>2.6999999999999997</v>
      </c>
      <c r="GG167">
        <f>FW167*GB167</f>
        <v>2.1</v>
      </c>
      <c r="GH167">
        <v>6.5</v>
      </c>
      <c r="GI167">
        <v>0</v>
      </c>
      <c r="GJ167">
        <v>6.5</v>
      </c>
      <c r="GK167">
        <f>GC167+GD167+GE167+GF167+GG167</f>
        <v>8.5</v>
      </c>
      <c r="GL167">
        <f>MEDIAN(FS167:FW167)</f>
        <v>9</v>
      </c>
    </row>
    <row r="168" spans="1:194" x14ac:dyDescent="0.25">
      <c r="A168">
        <v>38</v>
      </c>
      <c r="B168" t="s">
        <v>2</v>
      </c>
      <c r="C168" s="4">
        <v>79.2</v>
      </c>
      <c r="D168">
        <v>3.3</v>
      </c>
      <c r="E168" s="1">
        <f>C168/3/D168</f>
        <v>8.0000000000000018</v>
      </c>
      <c r="G168">
        <v>37.14</v>
      </c>
      <c r="H168">
        <v>8.1999999999999993</v>
      </c>
      <c r="I168">
        <f>H168*D168*3</f>
        <v>81.179999999999978</v>
      </c>
      <c r="J168">
        <v>16.579999999999998</v>
      </c>
      <c r="K168">
        <v>8.4</v>
      </c>
      <c r="L168" s="3">
        <f>K168*3*D168</f>
        <v>83.160000000000011</v>
      </c>
      <c r="M168">
        <v>4.34</v>
      </c>
      <c r="N168">
        <v>9</v>
      </c>
      <c r="O168">
        <f>N168*D168*3</f>
        <v>89.1</v>
      </c>
      <c r="P168" s="5">
        <v>7.1</v>
      </c>
      <c r="Q168" s="5">
        <f>P168*D168*3</f>
        <v>70.289999999999992</v>
      </c>
      <c r="S168" t="s">
        <v>6176</v>
      </c>
      <c r="T168">
        <v>6.8</v>
      </c>
      <c r="U168" s="8">
        <f>T168*D168*3</f>
        <v>67.319999999999993</v>
      </c>
      <c r="V168">
        <v>31.35</v>
      </c>
      <c r="W168">
        <v>8</v>
      </c>
      <c r="X168" s="5">
        <f>W168*D168*3</f>
        <v>79.199999999999989</v>
      </c>
      <c r="Y168">
        <v>11.74</v>
      </c>
      <c r="Z168">
        <v>7.6</v>
      </c>
      <c r="AA168">
        <f>Z168*D168*3</f>
        <v>75.239999999999995</v>
      </c>
      <c r="AC168">
        <v>50.42</v>
      </c>
      <c r="AD168">
        <v>7.4</v>
      </c>
      <c r="AE168" s="1">
        <f>AD168*3*D168</f>
        <v>73.260000000000005</v>
      </c>
      <c r="AF168">
        <v>12.37</v>
      </c>
      <c r="AG168" s="5">
        <v>7</v>
      </c>
      <c r="AH168" s="5">
        <f>AG168*D168*3</f>
        <v>69.3</v>
      </c>
      <c r="AI168" s="13"/>
      <c r="AJ168">
        <v>2.4</v>
      </c>
      <c r="AK168" s="8">
        <f>AJ168*D168*3</f>
        <v>23.759999999999998</v>
      </c>
      <c r="AL168" s="13"/>
      <c r="AM168">
        <v>30.74</v>
      </c>
      <c r="AN168">
        <v>7.1</v>
      </c>
      <c r="AO168" s="8">
        <f>AN168*D168*3</f>
        <v>70.289999999999992</v>
      </c>
      <c r="AP168">
        <v>12.78</v>
      </c>
      <c r="AQ168">
        <v>9.3000000000000007</v>
      </c>
      <c r="AR168">
        <f>AQ168*D168*3</f>
        <v>92.070000000000007</v>
      </c>
      <c r="AS168">
        <v>11.17</v>
      </c>
      <c r="AT168">
        <v>8.8000000000000007</v>
      </c>
      <c r="AU168">
        <f>AT168*D168*3</f>
        <v>87.12</v>
      </c>
      <c r="AW168">
        <v>24.3</v>
      </c>
      <c r="AX168">
        <v>8.8000000000000007</v>
      </c>
      <c r="AY168">
        <f>AX168*D168*3</f>
        <v>87.12</v>
      </c>
      <c r="AZ168">
        <v>24.3</v>
      </c>
      <c r="BA168">
        <v>9.1</v>
      </c>
      <c r="BB168">
        <f>BA168*D168*3</f>
        <v>90.089999999999989</v>
      </c>
      <c r="BD168">
        <v>8.6</v>
      </c>
      <c r="BE168">
        <f>BD168*D168*3</f>
        <v>85.14</v>
      </c>
      <c r="BG168" s="10"/>
      <c r="BH168" s="1">
        <f>CHOOSE(MATCH(MIN(ABS(BP168-C168),ABS(BQ168-C168),ABS(BR168-C168)),CHOOSE({1;2;3},ABS(BP168-C168),ABS(BQ168-C168),ABS(BR168-C168)),0),BP168,BQ168,BR168)</f>
        <v>89.1</v>
      </c>
      <c r="BJ168" s="1" cm="1">
        <f t="array" ref="BJ168">(INDEX(_xlfn._xlws.SORT(CHOOSE({1;2;3;4;5;6},BQ168,BR168,L168,AE168,BO168,BP168)),3) + INDEX(_xlfn._xlws.SORT(CHOOSE({1;2;3;4;5;6},BQ168,BR168,L168,AE168,BO168,BP168)),4))/2</f>
        <v>71.28</v>
      </c>
      <c r="BK168">
        <v>7.9147603661246899</v>
      </c>
      <c r="BL168" s="11" t="s">
        <v>6116</v>
      </c>
      <c r="BM168" s="1">
        <f>BK168*3*D168</f>
        <v>78.356127624634425</v>
      </c>
      <c r="BN168" s="1">
        <f>BM168-C168</f>
        <v>-0.84387237536557791</v>
      </c>
      <c r="BO168" s="1">
        <f>GK168*3*D168</f>
        <v>25.987499999999997</v>
      </c>
      <c r="BP168" s="1">
        <f>DO168*3*D168</f>
        <v>89.1</v>
      </c>
      <c r="BQ168" s="1">
        <f>FJ168*3*D168</f>
        <v>69.3</v>
      </c>
      <c r="BR168" s="1">
        <f>GL168*3*D168</f>
        <v>19.799999999999997</v>
      </c>
      <c r="BT168">
        <v>37.14</v>
      </c>
      <c r="BU168">
        <v>8.1999999999999993</v>
      </c>
      <c r="BV168" t="s">
        <v>5055</v>
      </c>
      <c r="BW168" t="s">
        <v>5056</v>
      </c>
      <c r="BX168" t="s">
        <v>5133</v>
      </c>
      <c r="BY168" t="s">
        <v>4984</v>
      </c>
      <c r="BZ168" t="s">
        <v>5084</v>
      </c>
      <c r="CA168" t="s">
        <v>2480</v>
      </c>
      <c r="CC168" t="s">
        <v>2551</v>
      </c>
      <c r="CD168" t="s">
        <v>2552</v>
      </c>
      <c r="CE168" t="s">
        <v>2725</v>
      </c>
      <c r="CG168" t="s">
        <v>2424</v>
      </c>
      <c r="CH168" t="s">
        <v>2554</v>
      </c>
      <c r="CI168" t="s">
        <v>2726</v>
      </c>
      <c r="CK168" t="s">
        <v>2556</v>
      </c>
      <c r="CL168" t="s">
        <v>2557</v>
      </c>
      <c r="CM168" t="s">
        <v>2727</v>
      </c>
      <c r="CO168" t="s">
        <v>2431</v>
      </c>
      <c r="CP168" t="s">
        <v>2559</v>
      </c>
      <c r="CQ168" t="s">
        <v>2728</v>
      </c>
      <c r="CS168" t="s">
        <v>2435</v>
      </c>
      <c r="CT168" t="s">
        <v>2562</v>
      </c>
      <c r="CV168">
        <v>9</v>
      </c>
      <c r="CW168">
        <v>9</v>
      </c>
      <c r="CX168">
        <v>9</v>
      </c>
      <c r="CY168">
        <v>9</v>
      </c>
      <c r="CZ168">
        <v>9</v>
      </c>
      <c r="DA168">
        <v>0.1</v>
      </c>
      <c r="DB168">
        <v>0.1</v>
      </c>
      <c r="DC168">
        <v>0.2</v>
      </c>
      <c r="DD168">
        <v>0.3</v>
      </c>
      <c r="DE168">
        <v>0.3</v>
      </c>
      <c r="DF168">
        <v>0.9</v>
      </c>
      <c r="DG168">
        <v>0.9</v>
      </c>
      <c r="DH168">
        <v>1.8</v>
      </c>
      <c r="DI168">
        <v>2.7</v>
      </c>
      <c r="DJ168">
        <v>2.7</v>
      </c>
      <c r="DK168">
        <v>8.1999999999999993</v>
      </c>
      <c r="DL168">
        <v>0</v>
      </c>
      <c r="DM168">
        <v>8.1999999999999993</v>
      </c>
      <c r="DN168">
        <v>8.4</v>
      </c>
      <c r="DO168">
        <f>AVERAGE(CV168:CZ168)</f>
        <v>9</v>
      </c>
      <c r="DQ168" t="s">
        <v>27</v>
      </c>
      <c r="DR168" t="s">
        <v>33</v>
      </c>
      <c r="DS168" t="s">
        <v>136</v>
      </c>
      <c r="DT168" t="s">
        <v>137</v>
      </c>
      <c r="DU168" t="s">
        <v>138</v>
      </c>
      <c r="DV168" t="s">
        <v>139</v>
      </c>
      <c r="DW168" t="s">
        <v>3788</v>
      </c>
      <c r="DX168" t="s">
        <v>4071</v>
      </c>
      <c r="DY168" t="s">
        <v>4072</v>
      </c>
      <c r="DZ168" t="s">
        <v>4073</v>
      </c>
      <c r="EA168" t="s">
        <v>3792</v>
      </c>
      <c r="EB168" t="s">
        <v>4074</v>
      </c>
      <c r="EC168" t="s">
        <v>4075</v>
      </c>
      <c r="ED168" t="s">
        <v>4076</v>
      </c>
      <c r="EE168" t="s">
        <v>3796</v>
      </c>
      <c r="EF168" t="s">
        <v>4077</v>
      </c>
      <c r="EG168" t="s">
        <v>4078</v>
      </c>
      <c r="EH168" t="s">
        <v>4079</v>
      </c>
      <c r="EI168" t="s">
        <v>4080</v>
      </c>
      <c r="EJ168" t="s">
        <v>4081</v>
      </c>
      <c r="EK168" t="s">
        <v>4082</v>
      </c>
      <c r="EL168" t="s">
        <v>4083</v>
      </c>
      <c r="EM168" t="s">
        <v>4084</v>
      </c>
      <c r="EN168" t="s">
        <v>4085</v>
      </c>
      <c r="EO168" t="s">
        <v>4086</v>
      </c>
      <c r="EP168" t="s">
        <v>4087</v>
      </c>
      <c r="EQ168">
        <v>7</v>
      </c>
      <c r="ER168">
        <v>8</v>
      </c>
      <c r="ES168">
        <v>7</v>
      </c>
      <c r="ET168">
        <v>8</v>
      </c>
      <c r="EU168">
        <v>7</v>
      </c>
      <c r="EV168">
        <v>0.1</v>
      </c>
      <c r="EW168">
        <v>0.1</v>
      </c>
      <c r="EX168">
        <v>0.2</v>
      </c>
      <c r="EY168">
        <v>0.3</v>
      </c>
      <c r="EZ168">
        <v>0.3</v>
      </c>
      <c r="FA168">
        <f>EV168*EQ168</f>
        <v>0.70000000000000007</v>
      </c>
      <c r="FB168">
        <f>EW168*ER168</f>
        <v>0.8</v>
      </c>
      <c r="FC168">
        <f>EX168*ES168</f>
        <v>1.4000000000000001</v>
      </c>
      <c r="FD168">
        <f>EY168*ET168</f>
        <v>2.4</v>
      </c>
      <c r="FE168">
        <f>EZ168*EU168</f>
        <v>2.1</v>
      </c>
      <c r="FF168">
        <v>21</v>
      </c>
      <c r="FG168">
        <v>0</v>
      </c>
      <c r="FH168">
        <v>8</v>
      </c>
      <c r="FI168">
        <f>FA168+FB168+FC168+FD168+FE168</f>
        <v>7.4</v>
      </c>
      <c r="FJ168">
        <f>MEDIAN(EQ168:EU168)</f>
        <v>7</v>
      </c>
      <c r="FL168">
        <v>58.62</v>
      </c>
      <c r="FM168">
        <v>8.8000000000000007</v>
      </c>
      <c r="FN168" t="s">
        <v>785</v>
      </c>
      <c r="FO168" t="s">
        <v>786</v>
      </c>
      <c r="FP168" t="s">
        <v>787</v>
      </c>
      <c r="FQ168" t="s">
        <v>788</v>
      </c>
      <c r="FR168" t="s">
        <v>789</v>
      </c>
      <c r="FS168">
        <v>1</v>
      </c>
      <c r="FT168">
        <v>1</v>
      </c>
      <c r="FU168">
        <v>2</v>
      </c>
      <c r="FV168">
        <v>2.25</v>
      </c>
      <c r="FW168">
        <v>4.5</v>
      </c>
      <c r="FX168">
        <v>0.1</v>
      </c>
      <c r="FY168">
        <v>0.1</v>
      </c>
      <c r="FZ168">
        <v>0.2</v>
      </c>
      <c r="GA168">
        <v>0.3</v>
      </c>
      <c r="GB168">
        <v>0.3</v>
      </c>
      <c r="GC168">
        <f>FS168*FX168</f>
        <v>0.1</v>
      </c>
      <c r="GD168">
        <f>FT168*FY168</f>
        <v>0.1</v>
      </c>
      <c r="GE168">
        <f>FU168*FZ168</f>
        <v>0.4</v>
      </c>
      <c r="GF168">
        <f>FV168*GA168</f>
        <v>0.67499999999999993</v>
      </c>
      <c r="GG168">
        <f>FW168*GB168</f>
        <v>1.3499999999999999</v>
      </c>
      <c r="GH168">
        <v>8.75</v>
      </c>
      <c r="GI168">
        <v>0</v>
      </c>
      <c r="GJ168">
        <v>8.8000000000000007</v>
      </c>
      <c r="GK168">
        <f>GC168+GD168+GE168+GF168+GG168</f>
        <v>2.625</v>
      </c>
      <c r="GL168">
        <f>MEDIAN(FS168:FW168)</f>
        <v>2</v>
      </c>
    </row>
    <row r="169" spans="1:194" hidden="1" x14ac:dyDescent="0.25">
      <c r="A169">
        <v>168</v>
      </c>
      <c r="B169" t="s">
        <v>2</v>
      </c>
      <c r="C169" s="4">
        <v>79.2</v>
      </c>
      <c r="D169">
        <v>3.3</v>
      </c>
      <c r="E169" s="1">
        <f>C169/3/D169</f>
        <v>8.0000000000000018</v>
      </c>
      <c r="G169">
        <v>37.57</v>
      </c>
      <c r="H169">
        <v>8.1</v>
      </c>
      <c r="I169">
        <f>H169*D169*3</f>
        <v>80.19</v>
      </c>
      <c r="J169">
        <v>15.94</v>
      </c>
      <c r="K169">
        <v>9</v>
      </c>
      <c r="L169" s="3">
        <f>K169*3*D169</f>
        <v>89.1</v>
      </c>
      <c r="M169">
        <v>4.7699999999999996</v>
      </c>
      <c r="N169">
        <v>5</v>
      </c>
      <c r="O169">
        <f>N169*D169*3</f>
        <v>49.5</v>
      </c>
      <c r="P169" s="5">
        <v>9</v>
      </c>
      <c r="Q169" s="5">
        <f>P169*D169*3</f>
        <v>89.1</v>
      </c>
      <c r="S169" t="s">
        <v>6301</v>
      </c>
      <c r="T169">
        <v>6.2</v>
      </c>
      <c r="U169" s="8">
        <f>T169*D169*3</f>
        <v>61.38</v>
      </c>
      <c r="V169">
        <v>34.450000000000003</v>
      </c>
      <c r="W169">
        <v>8.4</v>
      </c>
      <c r="X169" s="5">
        <f>W169*D169*3</f>
        <v>83.16</v>
      </c>
      <c r="Y169">
        <v>11.8</v>
      </c>
      <c r="Z169">
        <v>7.5</v>
      </c>
      <c r="AA169">
        <f>Z169*D169*3</f>
        <v>74.25</v>
      </c>
      <c r="AC169">
        <v>48.61</v>
      </c>
      <c r="AD169">
        <v>7.9</v>
      </c>
      <c r="AE169" s="1">
        <f>AD169*3*D169</f>
        <v>78.210000000000008</v>
      </c>
      <c r="AF169">
        <v>11.97</v>
      </c>
      <c r="AG169" s="5">
        <v>7</v>
      </c>
      <c r="AH169" s="5">
        <f>AG169*D169*3</f>
        <v>69.3</v>
      </c>
      <c r="AI169" s="13"/>
      <c r="AK169" s="8">
        <f>AJ169*D169*3</f>
        <v>0</v>
      </c>
      <c r="AL169" s="13"/>
      <c r="AM169">
        <v>31.77</v>
      </c>
      <c r="AN169">
        <v>7.2</v>
      </c>
      <c r="AO169" s="8">
        <f>AN169*D169*3</f>
        <v>71.28</v>
      </c>
      <c r="AP169">
        <v>11.54</v>
      </c>
      <c r="AQ169">
        <v>10</v>
      </c>
      <c r="AR169">
        <f>AQ169*D169*3</f>
        <v>99</v>
      </c>
      <c r="AT169">
        <v>8.9</v>
      </c>
      <c r="AU169">
        <f>AT169*D169*3</f>
        <v>88.11</v>
      </c>
      <c r="AW169">
        <v>24.95</v>
      </c>
      <c r="AX169">
        <v>8.6999999999999993</v>
      </c>
      <c r="AY169">
        <f>AX169*D169*3</f>
        <v>86.13</v>
      </c>
      <c r="AZ169">
        <v>24.95</v>
      </c>
      <c r="BA169">
        <v>9.1999999999999993</v>
      </c>
      <c r="BB169">
        <f>BA169*D169*3</f>
        <v>91.079999999999984</v>
      </c>
      <c r="BD169">
        <v>7.4</v>
      </c>
      <c r="BE169">
        <f>BD169*D169*3</f>
        <v>73.259999999999991</v>
      </c>
      <c r="BG169" s="10"/>
      <c r="BH169" s="1">
        <f>CHOOSE(MATCH(MIN(ABS(BP169-C169),ABS(BQ169-C169),ABS(BR169-C169)),CHOOSE({1;2;3},ABS(BP169-C169),ABS(BQ169-C169),ABS(BR169-C169)),0),BP169,BQ169,BR169)</f>
        <v>79.199999999999989</v>
      </c>
      <c r="BJ169" s="1" cm="1">
        <f t="array" ref="BJ169">(INDEX(_xlfn._xlws.SORT(CHOOSE({1;2;3;4;5;6},BQ169,BR169,L169,AE169,BO169,BP169)),3) + INDEX(_xlfn._xlws.SORT(CHOOSE({1;2;3;4;5;6},BQ169,BR169,L169,AE169,BO169,BP169)),4))/2</f>
        <v>78.704999999999998</v>
      </c>
      <c r="BK169">
        <v>7.9325809727619703</v>
      </c>
      <c r="BL169" t="s">
        <v>6117</v>
      </c>
      <c r="BM169" s="1">
        <f>BK169*3*D169</f>
        <v>78.532551630343505</v>
      </c>
      <c r="BN169" s="1">
        <f>BM169-C169</f>
        <v>-0.66744836965649768</v>
      </c>
      <c r="BO169" s="1">
        <f>GK169*3*D169</f>
        <v>51.47999999999999</v>
      </c>
      <c r="BP169" s="1">
        <f>DO169*3*D169</f>
        <v>89.1</v>
      </c>
      <c r="BQ169" s="1">
        <f>FJ169*3*D169</f>
        <v>79.199999999999989</v>
      </c>
      <c r="BR169" s="1">
        <f>GL169*3*D169</f>
        <v>39.599999999999994</v>
      </c>
      <c r="BT169">
        <v>37.57</v>
      </c>
      <c r="BU169">
        <v>8.1</v>
      </c>
      <c r="BV169" t="s">
        <v>4991</v>
      </c>
      <c r="BW169" t="s">
        <v>5552</v>
      </c>
      <c r="BX169" t="s">
        <v>5553</v>
      </c>
      <c r="BY169" t="s">
        <v>5554</v>
      </c>
      <c r="BZ169" t="s">
        <v>5555</v>
      </c>
      <c r="CA169" t="s">
        <v>2723</v>
      </c>
      <c r="CC169" t="s">
        <v>2893</v>
      </c>
      <c r="CD169" t="s">
        <v>2894</v>
      </c>
      <c r="CE169" t="s">
        <v>2440</v>
      </c>
      <c r="CG169" t="s">
        <v>2895</v>
      </c>
      <c r="CH169" t="s">
        <v>2896</v>
      </c>
      <c r="CI169" t="s">
        <v>2897</v>
      </c>
      <c r="CK169" t="s">
        <v>2898</v>
      </c>
      <c r="CL169" t="s">
        <v>2899</v>
      </c>
      <c r="CM169" t="s">
        <v>2900</v>
      </c>
      <c r="CO169" t="s">
        <v>2901</v>
      </c>
      <c r="CP169" t="s">
        <v>2902</v>
      </c>
      <c r="CQ169" t="s">
        <v>2449</v>
      </c>
      <c r="CS169" t="s">
        <v>2903</v>
      </c>
      <c r="CT169" t="s">
        <v>2904</v>
      </c>
      <c r="CV169">
        <v>9</v>
      </c>
      <c r="CW169">
        <v>9</v>
      </c>
      <c r="CX169">
        <v>9</v>
      </c>
      <c r="CY169">
        <v>9</v>
      </c>
      <c r="CZ169">
        <v>9</v>
      </c>
      <c r="DA169">
        <v>0.1</v>
      </c>
      <c r="DB169">
        <v>0.1</v>
      </c>
      <c r="DC169">
        <v>0.2</v>
      </c>
      <c r="DD169">
        <v>0.3</v>
      </c>
      <c r="DE169">
        <v>0.3</v>
      </c>
      <c r="DF169">
        <v>0.9</v>
      </c>
      <c r="DG169">
        <v>0.9</v>
      </c>
      <c r="DH169">
        <v>1.8</v>
      </c>
      <c r="DI169">
        <v>2.7</v>
      </c>
      <c r="DJ169">
        <v>2.7</v>
      </c>
      <c r="DK169">
        <v>8.1</v>
      </c>
      <c r="DL169">
        <v>0</v>
      </c>
      <c r="DM169">
        <v>8.1</v>
      </c>
      <c r="DN169">
        <v>9</v>
      </c>
      <c r="DO169">
        <f>AVERAGE(CV169:CZ169)</f>
        <v>9</v>
      </c>
      <c r="DQ169">
        <v>8</v>
      </c>
      <c r="DR169" t="s">
        <v>28</v>
      </c>
      <c r="DS169" t="s">
        <v>349</v>
      </c>
      <c r="DT169" t="s">
        <v>350</v>
      </c>
      <c r="DU169" t="s">
        <v>157</v>
      </c>
      <c r="DV169" t="s">
        <v>351</v>
      </c>
      <c r="DW169" t="s">
        <v>3769</v>
      </c>
      <c r="DX169" t="s">
        <v>3770</v>
      </c>
      <c r="DY169" t="s">
        <v>3771</v>
      </c>
      <c r="DZ169" t="s">
        <v>3772</v>
      </c>
      <c r="EA169" t="s">
        <v>3806</v>
      </c>
      <c r="EB169" t="s">
        <v>3807</v>
      </c>
      <c r="EC169" t="s">
        <v>3775</v>
      </c>
      <c r="ED169" t="s">
        <v>3776</v>
      </c>
      <c r="EE169" t="s">
        <v>3819</v>
      </c>
      <c r="EF169" t="s">
        <v>3809</v>
      </c>
      <c r="EG169" t="s">
        <v>3810</v>
      </c>
      <c r="EH169" t="s">
        <v>3811</v>
      </c>
      <c r="EI169" t="s">
        <v>3820</v>
      </c>
      <c r="EJ169" t="s">
        <v>3813</v>
      </c>
      <c r="EK169" t="s">
        <v>3855</v>
      </c>
      <c r="EL169" t="s">
        <v>4548</v>
      </c>
      <c r="EM169" t="s">
        <v>3816</v>
      </c>
      <c r="EN169" t="s">
        <v>3931</v>
      </c>
      <c r="EO169" t="s">
        <v>4259</v>
      </c>
      <c r="EP169" t="s">
        <v>3857</v>
      </c>
      <c r="EQ169">
        <v>7</v>
      </c>
      <c r="ER169">
        <v>8</v>
      </c>
      <c r="ES169">
        <v>8</v>
      </c>
      <c r="ET169">
        <v>8</v>
      </c>
      <c r="EU169">
        <v>8</v>
      </c>
      <c r="EV169">
        <v>0.1</v>
      </c>
      <c r="EW169">
        <v>0.1</v>
      </c>
      <c r="EX169">
        <v>0.2</v>
      </c>
      <c r="EY169">
        <v>0.3</v>
      </c>
      <c r="EZ169">
        <v>0.3</v>
      </c>
      <c r="FA169">
        <f>EV169*EQ169</f>
        <v>0.70000000000000007</v>
      </c>
      <c r="FB169">
        <f>EW169*ER169</f>
        <v>0.8</v>
      </c>
      <c r="FC169">
        <f>EX169*ES169</f>
        <v>1.6</v>
      </c>
      <c r="FD169">
        <f>EY169*ET169</f>
        <v>2.4</v>
      </c>
      <c r="FE169">
        <f>EZ169*EU169</f>
        <v>2.4</v>
      </c>
      <c r="FF169">
        <v>15</v>
      </c>
      <c r="FG169">
        <v>0</v>
      </c>
      <c r="FH169">
        <v>8</v>
      </c>
      <c r="FI169">
        <f>FA169+FB169+FC169+FD169+FE169</f>
        <v>7.9</v>
      </c>
      <c r="FJ169">
        <f>MEDIAN(EQ169:EU169)</f>
        <v>8</v>
      </c>
      <c r="FL169">
        <v>40</v>
      </c>
      <c r="FM169">
        <v>9</v>
      </c>
      <c r="FN169" t="s">
        <v>1397</v>
      </c>
      <c r="FO169" t="s">
        <v>653</v>
      </c>
      <c r="FP169" t="s">
        <v>1398</v>
      </c>
      <c r="FQ169" t="s">
        <v>1399</v>
      </c>
      <c r="FR169" t="s">
        <v>1400</v>
      </c>
      <c r="FS169">
        <v>2</v>
      </c>
      <c r="FT169">
        <v>3</v>
      </c>
      <c r="FU169">
        <v>4</v>
      </c>
      <c r="FV169">
        <v>6</v>
      </c>
      <c r="FW169">
        <v>7</v>
      </c>
      <c r="FX169">
        <v>0.1</v>
      </c>
      <c r="FY169">
        <v>0.1</v>
      </c>
      <c r="FZ169">
        <v>0.2</v>
      </c>
      <c r="GA169">
        <v>0.3</v>
      </c>
      <c r="GB169">
        <v>0.3</v>
      </c>
      <c r="GC169">
        <f>FS169*FX169</f>
        <v>0.2</v>
      </c>
      <c r="GD169">
        <f>FT169*FY169</f>
        <v>0.30000000000000004</v>
      </c>
      <c r="GE169">
        <f>FU169*FZ169</f>
        <v>0.8</v>
      </c>
      <c r="GF169">
        <f>FV169*GA169</f>
        <v>1.7999999999999998</v>
      </c>
      <c r="GG169">
        <f>FW169*GB169</f>
        <v>2.1</v>
      </c>
      <c r="GH169">
        <v>9</v>
      </c>
      <c r="GI169">
        <v>0</v>
      </c>
      <c r="GJ169">
        <v>9</v>
      </c>
      <c r="GK169">
        <f>GC169+GD169+GE169+GF169+GG169</f>
        <v>5.1999999999999993</v>
      </c>
      <c r="GL169">
        <f>MEDIAN(FS169:FW169)</f>
        <v>4</v>
      </c>
    </row>
    <row r="170" spans="1:194" hidden="1" x14ac:dyDescent="0.25">
      <c r="A170">
        <v>169</v>
      </c>
      <c r="B170" t="s">
        <v>2</v>
      </c>
      <c r="C170" s="4">
        <v>91.8</v>
      </c>
      <c r="D170">
        <v>3.6</v>
      </c>
      <c r="E170" s="1">
        <f>C170/3/D170</f>
        <v>8.5</v>
      </c>
      <c r="G170">
        <v>41.69</v>
      </c>
      <c r="H170">
        <v>8.5</v>
      </c>
      <c r="I170">
        <f>H170*D170*3</f>
        <v>91.800000000000011</v>
      </c>
      <c r="J170">
        <v>18.53</v>
      </c>
      <c r="K170">
        <v>9</v>
      </c>
      <c r="L170" s="3">
        <f>K170*3*D170</f>
        <v>97.2</v>
      </c>
      <c r="M170">
        <v>4.74</v>
      </c>
      <c r="N170">
        <v>4</v>
      </c>
      <c r="O170">
        <f>N170*D170*3</f>
        <v>43.2</v>
      </c>
      <c r="P170" s="5">
        <v>7.9</v>
      </c>
      <c r="Q170" s="5">
        <f>P170*D170*3</f>
        <v>85.320000000000007</v>
      </c>
      <c r="S170" t="s">
        <v>6302</v>
      </c>
      <c r="T170">
        <v>4</v>
      </c>
      <c r="U170" s="8">
        <f>T170*D170*3</f>
        <v>43.2</v>
      </c>
      <c r="V170">
        <v>33.69</v>
      </c>
      <c r="W170">
        <v>8.4</v>
      </c>
      <c r="X170" s="5">
        <f>W170*D170*3</f>
        <v>90.72</v>
      </c>
      <c r="Y170">
        <v>11.39</v>
      </c>
      <c r="Z170">
        <v>7.8</v>
      </c>
      <c r="AA170">
        <f>Z170*D170*3</f>
        <v>84.24</v>
      </c>
      <c r="AC170">
        <v>44.93</v>
      </c>
      <c r="AD170">
        <v>8</v>
      </c>
      <c r="AE170" s="1">
        <f>AD170*3*D170</f>
        <v>86.4</v>
      </c>
      <c r="AF170">
        <v>11.78</v>
      </c>
      <c r="AG170" s="5">
        <v>7</v>
      </c>
      <c r="AH170" s="5">
        <f>AG170*D170*3</f>
        <v>75.599999999999994</v>
      </c>
      <c r="AI170" s="13"/>
      <c r="AK170" s="8">
        <f>AJ170*D170*3</f>
        <v>0</v>
      </c>
      <c r="AL170" s="13"/>
      <c r="AM170">
        <v>31.56</v>
      </c>
      <c r="AN170">
        <v>8.1</v>
      </c>
      <c r="AO170" s="8">
        <f>AN170*D170*3</f>
        <v>87.48</v>
      </c>
      <c r="AP170">
        <v>12.88</v>
      </c>
      <c r="AQ170">
        <v>10</v>
      </c>
      <c r="AR170">
        <f>AQ170*D170*3</f>
        <v>108</v>
      </c>
      <c r="AT170">
        <v>9</v>
      </c>
      <c r="AU170">
        <f>AT170*D170*3</f>
        <v>97.199999999999989</v>
      </c>
      <c r="AW170">
        <v>27.59</v>
      </c>
      <c r="AX170">
        <v>9.1999999999999993</v>
      </c>
      <c r="AY170">
        <f>AX170*D170*3</f>
        <v>99.359999999999985</v>
      </c>
      <c r="AZ170">
        <v>27.59</v>
      </c>
      <c r="BA170">
        <v>9.1</v>
      </c>
      <c r="BB170">
        <f>BA170*D170*3</f>
        <v>98.28</v>
      </c>
      <c r="BD170">
        <v>8.9</v>
      </c>
      <c r="BE170">
        <f>BD170*D170*3</f>
        <v>96.12</v>
      </c>
      <c r="BG170" s="10"/>
      <c r="BH170" s="1">
        <f>CHOOSE(MATCH(MIN(ABS(BP170-C170),ABS(BQ170-C170),ABS(BR170-C170)),CHOOSE({1;2;3},ABS(BP170-C170),ABS(BQ170-C170),ABS(BR170-C170)),0),BP170,BQ170,BR170)</f>
        <v>92.88</v>
      </c>
      <c r="BJ170" s="1" cm="1">
        <f t="array" ref="BJ170">(INDEX(_xlfn._xlws.SORT(CHOOSE({1;2;3;4;5;6},BQ170,BR170,L170,AE170,BO170,BP170)),3) + INDEX(_xlfn._xlws.SORT(CHOOSE({1;2;3;4;5;6},BQ170,BR170,L170,AE170,BO170,BP170)),4))/2</f>
        <v>86.4</v>
      </c>
      <c r="BK170">
        <v>8.4949859795096607</v>
      </c>
      <c r="BL170" t="s">
        <v>6117</v>
      </c>
      <c r="BM170" s="1">
        <f>BK170*3*D170</f>
        <v>91.74584857870434</v>
      </c>
      <c r="BN170" s="1">
        <f>BM170-C170</f>
        <v>-5.4151421295657087E-2</v>
      </c>
      <c r="BO170" s="1">
        <f>GK170*3*D170</f>
        <v>39.960000000000008</v>
      </c>
      <c r="BP170" s="1">
        <f>DO170*3*D170</f>
        <v>92.88</v>
      </c>
      <c r="BQ170" s="1">
        <f>FJ170*3*D170</f>
        <v>86.4</v>
      </c>
      <c r="BR170" s="1">
        <f>GL170*3*D170</f>
        <v>43.2</v>
      </c>
      <c r="BT170">
        <v>41.69</v>
      </c>
      <c r="BU170">
        <v>8.5</v>
      </c>
      <c r="BV170" t="s">
        <v>5556</v>
      </c>
      <c r="BW170" t="s">
        <v>5557</v>
      </c>
      <c r="BX170" t="s">
        <v>5558</v>
      </c>
      <c r="BY170" t="s">
        <v>5559</v>
      </c>
      <c r="BZ170" t="s">
        <v>5560</v>
      </c>
      <c r="CA170" t="s">
        <v>2420</v>
      </c>
      <c r="CC170" t="s">
        <v>2525</v>
      </c>
      <c r="CD170" t="s">
        <v>3219</v>
      </c>
      <c r="CE170" t="s">
        <v>2423</v>
      </c>
      <c r="CG170" t="s">
        <v>2998</v>
      </c>
      <c r="CH170" t="s">
        <v>3220</v>
      </c>
      <c r="CI170" t="s">
        <v>2426</v>
      </c>
      <c r="CJ170" t="s">
        <v>2427</v>
      </c>
      <c r="CK170" t="s">
        <v>3221</v>
      </c>
      <c r="CL170" t="s">
        <v>3222</v>
      </c>
      <c r="CM170" t="s">
        <v>2430</v>
      </c>
      <c r="CO170" t="s">
        <v>2918</v>
      </c>
      <c r="CP170" t="s">
        <v>3223</v>
      </c>
      <c r="CQ170" t="s">
        <v>2433</v>
      </c>
      <c r="CR170" t="s">
        <v>2434</v>
      </c>
      <c r="CS170" t="s">
        <v>3224</v>
      </c>
      <c r="CT170" t="s">
        <v>3225</v>
      </c>
      <c r="CV170">
        <v>9</v>
      </c>
      <c r="CW170">
        <v>9</v>
      </c>
      <c r="CX170">
        <v>8</v>
      </c>
      <c r="CY170">
        <v>9</v>
      </c>
      <c r="CZ170">
        <v>8</v>
      </c>
      <c r="DA170">
        <v>0.1</v>
      </c>
      <c r="DB170">
        <v>0.1</v>
      </c>
      <c r="DC170">
        <v>0.2</v>
      </c>
      <c r="DD170">
        <v>0.3</v>
      </c>
      <c r="DE170">
        <v>0.3</v>
      </c>
      <c r="DF170">
        <v>0.9</v>
      </c>
      <c r="DG170">
        <v>0.9</v>
      </c>
      <c r="DH170">
        <v>1.6</v>
      </c>
      <c r="DI170">
        <v>2.7</v>
      </c>
      <c r="DJ170">
        <v>2.4</v>
      </c>
      <c r="DK170">
        <v>8.5</v>
      </c>
      <c r="DL170">
        <v>0</v>
      </c>
      <c r="DM170">
        <v>8.5</v>
      </c>
      <c r="DN170">
        <v>9</v>
      </c>
      <c r="DO170">
        <f>AVERAGE(CV170:CZ170)</f>
        <v>8.6</v>
      </c>
      <c r="DQ170" t="s">
        <v>27</v>
      </c>
      <c r="DR170" t="s">
        <v>65</v>
      </c>
      <c r="DS170" t="s">
        <v>66</v>
      </c>
      <c r="DT170" t="s">
        <v>67</v>
      </c>
      <c r="DU170" t="s">
        <v>68</v>
      </c>
      <c r="DV170" t="s">
        <v>74</v>
      </c>
      <c r="DW170" t="s">
        <v>3836</v>
      </c>
      <c r="DX170" t="s">
        <v>3837</v>
      </c>
      <c r="DY170" t="s">
        <v>3896</v>
      </c>
      <c r="DZ170" t="s">
        <v>3897</v>
      </c>
      <c r="EA170" t="s">
        <v>3860</v>
      </c>
      <c r="EB170" t="s">
        <v>3840</v>
      </c>
      <c r="EC170" t="s">
        <v>3898</v>
      </c>
      <c r="ED170" t="s">
        <v>3899</v>
      </c>
      <c r="EE170" t="s">
        <v>3886</v>
      </c>
      <c r="EF170" t="s">
        <v>3900</v>
      </c>
      <c r="EG170" t="s">
        <v>3901</v>
      </c>
      <c r="EH170" t="s">
        <v>3902</v>
      </c>
      <c r="EI170" t="s">
        <v>3879</v>
      </c>
      <c r="EJ170" t="s">
        <v>3904</v>
      </c>
      <c r="EK170" t="s">
        <v>3905</v>
      </c>
      <c r="EL170" t="s">
        <v>3906</v>
      </c>
      <c r="EM170" t="s">
        <v>3907</v>
      </c>
      <c r="EN170" t="s">
        <v>3908</v>
      </c>
      <c r="EO170" t="s">
        <v>3909</v>
      </c>
      <c r="EP170" t="s">
        <v>3910</v>
      </c>
      <c r="EQ170">
        <v>8</v>
      </c>
      <c r="ER170">
        <v>8</v>
      </c>
      <c r="ES170">
        <v>8</v>
      </c>
      <c r="ET170">
        <v>8</v>
      </c>
      <c r="EU170">
        <v>8</v>
      </c>
      <c r="EV170">
        <v>0.1</v>
      </c>
      <c r="EW170">
        <v>0.1</v>
      </c>
      <c r="EX170">
        <v>0.2</v>
      </c>
      <c r="EY170">
        <v>0.3</v>
      </c>
      <c r="EZ170">
        <v>0.3</v>
      </c>
      <c r="FA170">
        <f>EV170*EQ170</f>
        <v>0.8</v>
      </c>
      <c r="FB170">
        <f>EW170*ER170</f>
        <v>0.8</v>
      </c>
      <c r="FC170">
        <f>EX170*ES170</f>
        <v>1.6</v>
      </c>
      <c r="FD170">
        <f>EY170*ET170</f>
        <v>2.4</v>
      </c>
      <c r="FE170">
        <f>EZ170*EU170</f>
        <v>2.4</v>
      </c>
      <c r="FF170">
        <v>17</v>
      </c>
      <c r="FG170">
        <v>0</v>
      </c>
      <c r="FH170">
        <v>8</v>
      </c>
      <c r="FI170">
        <f>FA170+FB170+FC170+FD170+FE170</f>
        <v>8</v>
      </c>
      <c r="FJ170">
        <f>MEDIAN(EQ170:EU170)</f>
        <v>8</v>
      </c>
      <c r="FL170">
        <v>39.71</v>
      </c>
      <c r="FM170">
        <v>4.8</v>
      </c>
      <c r="FN170" t="s">
        <v>839</v>
      </c>
      <c r="FO170" t="s">
        <v>1401</v>
      </c>
      <c r="FP170" t="s">
        <v>1402</v>
      </c>
      <c r="FQ170" t="s">
        <v>1403</v>
      </c>
      <c r="FR170" t="s">
        <v>843</v>
      </c>
      <c r="FS170">
        <v>4</v>
      </c>
      <c r="FT170">
        <v>6</v>
      </c>
      <c r="FU170">
        <v>3</v>
      </c>
      <c r="FV170">
        <v>5</v>
      </c>
      <c r="FW170">
        <v>2</v>
      </c>
      <c r="FX170">
        <v>0.1</v>
      </c>
      <c r="FY170">
        <v>0.1</v>
      </c>
      <c r="FZ170">
        <v>0.2</v>
      </c>
      <c r="GA170">
        <v>0.3</v>
      </c>
      <c r="GB170">
        <v>0.3</v>
      </c>
      <c r="GC170">
        <f>FS170*FX170</f>
        <v>0.4</v>
      </c>
      <c r="GD170">
        <f>FT170*FY170</f>
        <v>0.60000000000000009</v>
      </c>
      <c r="GE170">
        <f>FU170*FZ170</f>
        <v>0.60000000000000009</v>
      </c>
      <c r="GF170">
        <f>FV170*GA170</f>
        <v>1.5</v>
      </c>
      <c r="GG170">
        <f>FW170*GB170</f>
        <v>0.6</v>
      </c>
      <c r="GH170">
        <v>4.9000000000000004</v>
      </c>
      <c r="GI170">
        <v>-0.1</v>
      </c>
      <c r="GJ170">
        <v>4.8</v>
      </c>
      <c r="GK170">
        <f>GC170+GD170+GE170+GF170+GG170</f>
        <v>3.7</v>
      </c>
      <c r="GL170">
        <f>MEDIAN(FS170:FW170)</f>
        <v>4</v>
      </c>
    </row>
    <row r="171" spans="1:194" x14ac:dyDescent="0.25">
      <c r="A171">
        <v>277</v>
      </c>
      <c r="B171" t="s">
        <v>2</v>
      </c>
      <c r="C171" s="4">
        <v>73.599999999999994</v>
      </c>
      <c r="D171">
        <v>3.2</v>
      </c>
      <c r="E171" s="1">
        <f>C171/3/D171</f>
        <v>7.6666666666666661</v>
      </c>
      <c r="G171">
        <v>39.35</v>
      </c>
      <c r="H171">
        <v>8.1999999999999993</v>
      </c>
      <c r="I171">
        <f>H171*D171*3</f>
        <v>78.72</v>
      </c>
      <c r="J171">
        <v>17.940000000000001</v>
      </c>
      <c r="K171">
        <v>9</v>
      </c>
      <c r="L171" s="3">
        <f>K171*3*D171</f>
        <v>86.4</v>
      </c>
      <c r="M171">
        <v>4.83</v>
      </c>
      <c r="N171">
        <v>7</v>
      </c>
      <c r="O171">
        <f>N171*D171*3</f>
        <v>67.2</v>
      </c>
      <c r="P171" s="5">
        <v>7</v>
      </c>
      <c r="Q171" s="5">
        <f>P171*D171*3</f>
        <v>67.2</v>
      </c>
      <c r="S171" t="s">
        <v>6149</v>
      </c>
      <c r="T171">
        <v>5.7</v>
      </c>
      <c r="U171" s="8">
        <f>T171*D171*3</f>
        <v>54.720000000000006</v>
      </c>
      <c r="V171">
        <v>32.1</v>
      </c>
      <c r="W171">
        <v>8.4</v>
      </c>
      <c r="X171" s="5">
        <f>W171*D171*3</f>
        <v>80.640000000000015</v>
      </c>
      <c r="Y171">
        <v>9.4499999999999993</v>
      </c>
      <c r="Z171">
        <v>6.7</v>
      </c>
      <c r="AA171">
        <f>Z171*D171*3</f>
        <v>64.320000000000007</v>
      </c>
      <c r="AC171">
        <v>143.62</v>
      </c>
      <c r="AD171">
        <v>8</v>
      </c>
      <c r="AE171" s="1">
        <f>AD171*3*D171</f>
        <v>76.800000000000011</v>
      </c>
      <c r="AF171">
        <v>14.13</v>
      </c>
      <c r="AH171" s="5">
        <f>AG171*D171*3</f>
        <v>0</v>
      </c>
      <c r="AI171" s="13"/>
      <c r="AJ171">
        <v>23.5</v>
      </c>
      <c r="AK171" s="8">
        <f>AJ171*D171*3</f>
        <v>225.60000000000002</v>
      </c>
      <c r="AL171" s="13"/>
      <c r="AM171">
        <v>30.25</v>
      </c>
      <c r="AN171">
        <v>7.3</v>
      </c>
      <c r="AO171" s="8">
        <f>AN171*D171*3</f>
        <v>70.08</v>
      </c>
      <c r="AP171">
        <v>13.85</v>
      </c>
      <c r="AQ171">
        <v>10</v>
      </c>
      <c r="AR171">
        <f>AQ171*D171*3</f>
        <v>96</v>
      </c>
      <c r="AT171">
        <v>8.6</v>
      </c>
      <c r="AU171">
        <f>AT171*D171*3</f>
        <v>82.56</v>
      </c>
      <c r="AX171">
        <v>9.4</v>
      </c>
      <c r="AY171">
        <f>AX171*D171*3</f>
        <v>90.240000000000009</v>
      </c>
      <c r="BA171">
        <v>9</v>
      </c>
      <c r="BB171">
        <f>BA171*D171*3</f>
        <v>86.4</v>
      </c>
      <c r="BD171">
        <v>8.9</v>
      </c>
      <c r="BE171">
        <f>BD171*D171*3</f>
        <v>85.440000000000012</v>
      </c>
      <c r="BG171" s="10"/>
      <c r="BH171" s="1">
        <f>CHOOSE(MATCH(MIN(ABS(BP171-C171),ABS(BQ171-C171),ABS(BR171-C171)),CHOOSE({1;2;3},ABS(BP171-C171),ABS(BQ171-C171),ABS(BR171-C171)),0),BP171,BQ171,BR171)</f>
        <v>76.800000000000011</v>
      </c>
      <c r="BJ171" s="1" cm="1">
        <f t="array" ref="BJ171">(INDEX(_xlfn._xlws.SORT(CHOOSE({1;2;3;4;5;6},BQ171,BR171,L171,AE171,BO171,BP171)),3) + INDEX(_xlfn._xlws.SORT(CHOOSE({1;2;3;4;5;6},BQ171,BR171,L171,AE171,BO171,BP171)),4))/2</f>
        <v>76.800000000000011</v>
      </c>
      <c r="BK171">
        <v>7.5967650436043099</v>
      </c>
      <c r="BL171" s="11" t="s">
        <v>6116</v>
      </c>
      <c r="BM171" s="1">
        <f>BK171*3*D171</f>
        <v>72.928944418601375</v>
      </c>
      <c r="BN171" s="1">
        <f>BM171-C171</f>
        <v>-0.67105558139861898</v>
      </c>
      <c r="BO171" s="1">
        <f>GK171*3*D171</f>
        <v>32.64</v>
      </c>
      <c r="BP171" s="1">
        <f>DO171*3*D171</f>
        <v>86.4</v>
      </c>
      <c r="BQ171" s="1">
        <f>FJ171*3*D171</f>
        <v>76.800000000000011</v>
      </c>
      <c r="BR171" s="1">
        <f>GL171*3*D171</f>
        <v>38.400000000000006</v>
      </c>
      <c r="BT171">
        <v>39.35</v>
      </c>
      <c r="BU171">
        <v>8.1999999999999993</v>
      </c>
      <c r="BV171" t="s">
        <v>5849</v>
      </c>
      <c r="BW171" t="s">
        <v>5850</v>
      </c>
      <c r="BX171" t="s">
        <v>5025</v>
      </c>
      <c r="BY171" t="s">
        <v>5851</v>
      </c>
      <c r="BZ171" t="s">
        <v>5852</v>
      </c>
      <c r="CA171" t="s">
        <v>2490</v>
      </c>
      <c r="CC171" t="s">
        <v>2481</v>
      </c>
      <c r="CD171" t="s">
        <v>2481</v>
      </c>
      <c r="CE171" t="s">
        <v>2565</v>
      </c>
      <c r="CG171" t="s">
        <v>2483</v>
      </c>
      <c r="CH171" t="s">
        <v>2483</v>
      </c>
      <c r="CI171" t="s">
        <v>2496</v>
      </c>
      <c r="CK171" t="s">
        <v>2485</v>
      </c>
      <c r="CL171" t="s">
        <v>2485</v>
      </c>
      <c r="CM171" t="s">
        <v>2670</v>
      </c>
      <c r="CO171" t="s">
        <v>3387</v>
      </c>
      <c r="CP171" t="s">
        <v>3387</v>
      </c>
      <c r="CQ171" t="s">
        <v>2630</v>
      </c>
      <c r="CR171" t="s">
        <v>3487</v>
      </c>
      <c r="CS171" t="s">
        <v>3388</v>
      </c>
      <c r="CT171" t="s">
        <v>3388</v>
      </c>
      <c r="CV171">
        <v>9</v>
      </c>
      <c r="CW171">
        <v>9</v>
      </c>
      <c r="CX171">
        <v>9</v>
      </c>
      <c r="CY171">
        <v>9</v>
      </c>
      <c r="CZ171">
        <v>9</v>
      </c>
      <c r="DA171">
        <v>0.1</v>
      </c>
      <c r="DB171">
        <v>0.1</v>
      </c>
      <c r="DC171">
        <v>0.2</v>
      </c>
      <c r="DD171">
        <v>0.3</v>
      </c>
      <c r="DE171">
        <v>0.3</v>
      </c>
      <c r="DF171">
        <v>0.9</v>
      </c>
      <c r="DG171">
        <v>0.9</v>
      </c>
      <c r="DH171">
        <v>1.8</v>
      </c>
      <c r="DI171">
        <v>2.7</v>
      </c>
      <c r="DJ171">
        <v>2.7</v>
      </c>
      <c r="DK171">
        <v>8.1999999999999993</v>
      </c>
      <c r="DL171">
        <v>0</v>
      </c>
      <c r="DM171">
        <v>8.1999999999999993</v>
      </c>
      <c r="DN171">
        <v>9</v>
      </c>
      <c r="DO171">
        <f>AVERAGE(CV171:CZ171)</f>
        <v>9</v>
      </c>
      <c r="DQ171" t="s">
        <v>27</v>
      </c>
      <c r="DR171" t="s">
        <v>33</v>
      </c>
      <c r="DS171" t="s">
        <v>93</v>
      </c>
      <c r="DT171" t="s">
        <v>94</v>
      </c>
      <c r="DU171" t="s">
        <v>95</v>
      </c>
      <c r="DV171" t="s">
        <v>96</v>
      </c>
      <c r="DW171" t="s">
        <v>3788</v>
      </c>
      <c r="DX171" t="s">
        <v>3789</v>
      </c>
      <c r="DY171" t="s">
        <v>3974</v>
      </c>
      <c r="DZ171" t="s">
        <v>3975</v>
      </c>
      <c r="EA171" t="s">
        <v>3934</v>
      </c>
      <c r="EB171" t="s">
        <v>3793</v>
      </c>
      <c r="EC171" t="s">
        <v>3976</v>
      </c>
      <c r="ED171" t="s">
        <v>3977</v>
      </c>
      <c r="EE171" t="s">
        <v>3978</v>
      </c>
      <c r="EF171" t="s">
        <v>3797</v>
      </c>
      <c r="EG171" t="s">
        <v>3979</v>
      </c>
      <c r="EH171" t="s">
        <v>3980</v>
      </c>
      <c r="EI171" t="s">
        <v>3981</v>
      </c>
      <c r="EJ171" t="s">
        <v>3800</v>
      </c>
      <c r="EK171" t="s">
        <v>3982</v>
      </c>
      <c r="EL171" t="s">
        <v>3983</v>
      </c>
      <c r="EM171" t="s">
        <v>3984</v>
      </c>
      <c r="EN171" t="s">
        <v>3803</v>
      </c>
      <c r="EO171" t="s">
        <v>3985</v>
      </c>
      <c r="EP171" t="s">
        <v>3986</v>
      </c>
      <c r="EQ171">
        <v>8</v>
      </c>
      <c r="ER171">
        <v>8</v>
      </c>
      <c r="ES171">
        <v>8</v>
      </c>
      <c r="ET171">
        <v>8</v>
      </c>
      <c r="EU171">
        <v>8</v>
      </c>
      <c r="EV171">
        <v>0.1</v>
      </c>
      <c r="EW171">
        <v>0.1</v>
      </c>
      <c r="EX171">
        <v>0.2</v>
      </c>
      <c r="EY171">
        <v>0.3</v>
      </c>
      <c r="EZ171">
        <v>0.3</v>
      </c>
      <c r="FA171">
        <f>EV171*EQ171</f>
        <v>0.8</v>
      </c>
      <c r="FB171">
        <f>EW171*ER171</f>
        <v>0.8</v>
      </c>
      <c r="FC171">
        <f>EX171*ES171</f>
        <v>1.6</v>
      </c>
      <c r="FD171">
        <f>EY171*ET171</f>
        <v>2.4</v>
      </c>
      <c r="FE171">
        <f>EZ171*EU171</f>
        <v>2.4</v>
      </c>
      <c r="FF171">
        <v>16</v>
      </c>
      <c r="FG171">
        <v>0</v>
      </c>
      <c r="FH171">
        <v>8</v>
      </c>
      <c r="FI171">
        <f>FA171+FB171+FC171+FD171+FE171</f>
        <v>8</v>
      </c>
      <c r="FJ171">
        <f>MEDIAN(EQ171:EU171)</f>
        <v>8</v>
      </c>
      <c r="FL171">
        <v>36.5</v>
      </c>
      <c r="FM171">
        <v>4</v>
      </c>
      <c r="FN171" t="s">
        <v>1919</v>
      </c>
      <c r="FO171" t="s">
        <v>1920</v>
      </c>
      <c r="FP171" t="s">
        <v>1878</v>
      </c>
      <c r="FQ171" t="s">
        <v>1921</v>
      </c>
      <c r="FR171" t="s">
        <v>1922</v>
      </c>
      <c r="FS171">
        <v>5</v>
      </c>
      <c r="FT171">
        <v>6</v>
      </c>
      <c r="FU171">
        <v>4</v>
      </c>
      <c r="FV171">
        <v>3</v>
      </c>
      <c r="FW171">
        <v>2</v>
      </c>
      <c r="FX171">
        <v>0.1</v>
      </c>
      <c r="FY171">
        <v>0.1</v>
      </c>
      <c r="FZ171">
        <v>0.2</v>
      </c>
      <c r="GA171">
        <v>0.3</v>
      </c>
      <c r="GB171">
        <v>0.3</v>
      </c>
      <c r="GC171">
        <f>FS171*FX171</f>
        <v>0.5</v>
      </c>
      <c r="GD171">
        <f>FT171*FY171</f>
        <v>0.60000000000000009</v>
      </c>
      <c r="GE171">
        <f>FU171*FZ171</f>
        <v>0.8</v>
      </c>
      <c r="GF171">
        <f>FV171*GA171</f>
        <v>0.89999999999999991</v>
      </c>
      <c r="GG171">
        <f>FW171*GB171</f>
        <v>0.6</v>
      </c>
      <c r="GH171">
        <v>3.7</v>
      </c>
      <c r="GI171">
        <v>0.3</v>
      </c>
      <c r="GJ171">
        <v>4</v>
      </c>
      <c r="GK171">
        <f>GC171+GD171+GE171+GF171+GG171</f>
        <v>3.4</v>
      </c>
      <c r="GL171">
        <f>MEDIAN(FS171:FW171)</f>
        <v>4</v>
      </c>
    </row>
    <row r="172" spans="1:194" hidden="1" x14ac:dyDescent="0.25">
      <c r="A172">
        <v>171</v>
      </c>
      <c r="B172" t="s">
        <v>2</v>
      </c>
      <c r="C172" s="4">
        <v>86.4</v>
      </c>
      <c r="D172">
        <v>3.6</v>
      </c>
      <c r="E172" s="1">
        <f>C172/3/D172</f>
        <v>8</v>
      </c>
      <c r="G172">
        <v>33.47</v>
      </c>
      <c r="H172">
        <v>8.1999999999999993</v>
      </c>
      <c r="I172">
        <f>H172*D172*3</f>
        <v>88.56</v>
      </c>
      <c r="J172">
        <v>16.64</v>
      </c>
      <c r="K172">
        <v>8.6999999999999993</v>
      </c>
      <c r="L172" s="3">
        <f>K172*3*D172</f>
        <v>93.96</v>
      </c>
      <c r="M172">
        <v>5.01</v>
      </c>
      <c r="N172">
        <v>5.5</v>
      </c>
      <c r="O172">
        <f>N172*D172*3</f>
        <v>59.400000000000006</v>
      </c>
      <c r="P172" s="5">
        <v>7</v>
      </c>
      <c r="Q172" s="5">
        <f>P172*D172*3</f>
        <v>75.599999999999994</v>
      </c>
      <c r="S172" t="s">
        <v>6304</v>
      </c>
      <c r="T172">
        <v>6.4</v>
      </c>
      <c r="U172" s="8">
        <f>T172*D172*3</f>
        <v>69.12</v>
      </c>
      <c r="V172">
        <v>29.57</v>
      </c>
      <c r="W172">
        <v>8.4</v>
      </c>
      <c r="X172" s="5">
        <f>W172*D172*3</f>
        <v>90.72</v>
      </c>
      <c r="Y172">
        <v>11.29</v>
      </c>
      <c r="Z172">
        <v>7.5</v>
      </c>
      <c r="AA172">
        <f>Z172*D172*3</f>
        <v>81</v>
      </c>
      <c r="AC172">
        <v>45.71</v>
      </c>
      <c r="AD172">
        <v>8</v>
      </c>
      <c r="AE172" s="1">
        <f>AD172*3*D172</f>
        <v>86.4</v>
      </c>
      <c r="AF172">
        <v>11.97</v>
      </c>
      <c r="AG172" s="5">
        <v>7</v>
      </c>
      <c r="AH172" s="5">
        <f>AG172*D172*3</f>
        <v>75.599999999999994</v>
      </c>
      <c r="AI172" s="13"/>
      <c r="AK172" s="8">
        <f>AJ172*D172*3</f>
        <v>0</v>
      </c>
      <c r="AL172" s="13"/>
      <c r="AM172">
        <v>29.94</v>
      </c>
      <c r="AN172">
        <v>8.1</v>
      </c>
      <c r="AO172" s="8">
        <f>AN172*D172*3</f>
        <v>87.48</v>
      </c>
      <c r="AP172">
        <v>11.54</v>
      </c>
      <c r="AQ172">
        <v>10</v>
      </c>
      <c r="AR172">
        <f>AQ172*D172*3</f>
        <v>108</v>
      </c>
      <c r="AT172">
        <v>8.8000000000000007</v>
      </c>
      <c r="AU172">
        <f>AT172*D172*3</f>
        <v>95.04</v>
      </c>
      <c r="AW172">
        <v>23.06</v>
      </c>
      <c r="AX172">
        <v>9.3000000000000007</v>
      </c>
      <c r="AY172">
        <f>AX172*D172*3</f>
        <v>100.44000000000001</v>
      </c>
      <c r="AZ172">
        <v>23.06</v>
      </c>
      <c r="BA172">
        <v>9.1</v>
      </c>
      <c r="BB172">
        <f>BA172*D172*3</f>
        <v>98.28</v>
      </c>
      <c r="BD172">
        <v>8.6</v>
      </c>
      <c r="BE172">
        <f>BD172*D172*3</f>
        <v>92.88</v>
      </c>
      <c r="BG172" s="10"/>
      <c r="BH172" s="1">
        <f>CHOOSE(MATCH(MIN(ABS(BP172-C172),ABS(BQ172-C172),ABS(BR172-C172)),CHOOSE({1;2;3},ABS(BP172-C172),ABS(BQ172-C172),ABS(BR172-C172)),0),BP172,BQ172,BR172)</f>
        <v>86.4</v>
      </c>
      <c r="BJ172" s="1" cm="1">
        <f t="array" ref="BJ172">(INDEX(_xlfn._xlws.SORT(CHOOSE({1;2;3;4;5;6},BQ172,BR172,L172,AE172,BO172,BP172)),3) + INDEX(_xlfn._xlws.SORT(CHOOSE({1;2;3;4;5;6},BQ172,BR172,L172,AE172,BO172,BP172)),4))/2</f>
        <v>86.4</v>
      </c>
      <c r="BK172">
        <v>8.0299760230691604</v>
      </c>
      <c r="BL172" t="s">
        <v>6117</v>
      </c>
      <c r="BM172" s="1">
        <f>BK172*3*D172</f>
        <v>86.723741049146938</v>
      </c>
      <c r="BN172" s="1">
        <f>BM172-C172</f>
        <v>0.32374104914693191</v>
      </c>
      <c r="BO172" s="1">
        <f>GK172*3*D172</f>
        <v>58.320000000000014</v>
      </c>
      <c r="BP172" s="1">
        <f>DO172*3*D172</f>
        <v>97.2</v>
      </c>
      <c r="BQ172" s="1">
        <f>FJ172*3*D172</f>
        <v>86.4</v>
      </c>
      <c r="BR172" s="1">
        <f>GL172*3*D172</f>
        <v>54</v>
      </c>
      <c r="BT172">
        <v>33.47</v>
      </c>
      <c r="BU172">
        <v>8.1999999999999993</v>
      </c>
      <c r="BV172" t="s">
        <v>5463</v>
      </c>
      <c r="BW172" t="s">
        <v>5561</v>
      </c>
      <c r="BX172" t="s">
        <v>5562</v>
      </c>
      <c r="BY172" t="s">
        <v>5563</v>
      </c>
      <c r="BZ172" t="s">
        <v>5564</v>
      </c>
      <c r="CA172" t="s">
        <v>2723</v>
      </c>
      <c r="CC172" t="s">
        <v>2758</v>
      </c>
      <c r="CD172" t="s">
        <v>2508</v>
      </c>
      <c r="CE172" t="s">
        <v>2440</v>
      </c>
      <c r="CG172" t="s">
        <v>2761</v>
      </c>
      <c r="CH172" t="s">
        <v>2510</v>
      </c>
      <c r="CI172" t="s">
        <v>2443</v>
      </c>
      <c r="CK172" t="s">
        <v>2795</v>
      </c>
      <c r="CL172" t="s">
        <v>2512</v>
      </c>
      <c r="CM172" t="s">
        <v>2446</v>
      </c>
      <c r="CO172" t="s">
        <v>2796</v>
      </c>
      <c r="CP172" t="s">
        <v>2514</v>
      </c>
      <c r="CQ172" t="s">
        <v>2449</v>
      </c>
      <c r="CS172" t="s">
        <v>2679</v>
      </c>
      <c r="CT172" t="s">
        <v>2524</v>
      </c>
      <c r="CV172">
        <v>9</v>
      </c>
      <c r="CW172">
        <v>9</v>
      </c>
      <c r="CX172">
        <v>9</v>
      </c>
      <c r="CY172">
        <v>9</v>
      </c>
      <c r="CZ172">
        <v>9</v>
      </c>
      <c r="DA172">
        <v>0.1</v>
      </c>
      <c r="DB172">
        <v>0.1</v>
      </c>
      <c r="DC172">
        <v>0.2</v>
      </c>
      <c r="DD172">
        <v>0.3</v>
      </c>
      <c r="DE172">
        <v>0.3</v>
      </c>
      <c r="DF172">
        <v>0.9</v>
      </c>
      <c r="DG172">
        <v>0.9</v>
      </c>
      <c r="DH172">
        <v>1.8</v>
      </c>
      <c r="DI172">
        <v>2.7</v>
      </c>
      <c r="DJ172">
        <v>2.7</v>
      </c>
      <c r="DK172">
        <v>8.1999999999999993</v>
      </c>
      <c r="DL172">
        <v>0</v>
      </c>
      <c r="DM172">
        <v>8.1999999999999993</v>
      </c>
      <c r="DN172">
        <v>8.6999999999999993</v>
      </c>
      <c r="DO172">
        <f>AVERAGE(CV172:CZ172)</f>
        <v>9</v>
      </c>
      <c r="DQ172">
        <v>8</v>
      </c>
      <c r="DR172" t="s">
        <v>221</v>
      </c>
      <c r="DS172" t="s">
        <v>61</v>
      </c>
      <c r="DT172" t="s">
        <v>120</v>
      </c>
      <c r="DU172" t="s">
        <v>222</v>
      </c>
      <c r="DV172" t="s">
        <v>345</v>
      </c>
      <c r="DW172" t="s">
        <v>3836</v>
      </c>
      <c r="DX172" t="s">
        <v>3858</v>
      </c>
      <c r="DY172" t="s">
        <v>4233</v>
      </c>
      <c r="DZ172" t="s">
        <v>4234</v>
      </c>
      <c r="EA172" t="s">
        <v>3860</v>
      </c>
      <c r="EB172" t="s">
        <v>3840</v>
      </c>
      <c r="EC172" t="s">
        <v>4235</v>
      </c>
      <c r="ED172" t="s">
        <v>4235</v>
      </c>
      <c r="EE172" t="s">
        <v>3886</v>
      </c>
      <c r="EF172" t="s">
        <v>4245</v>
      </c>
      <c r="EG172" t="s">
        <v>4236</v>
      </c>
      <c r="EH172" t="s">
        <v>4236</v>
      </c>
      <c r="EI172" t="s">
        <v>3879</v>
      </c>
      <c r="EJ172" t="s">
        <v>4247</v>
      </c>
      <c r="EK172" t="s">
        <v>4237</v>
      </c>
      <c r="EL172" t="s">
        <v>4237</v>
      </c>
      <c r="EM172" t="s">
        <v>3989</v>
      </c>
      <c r="EN172" t="s">
        <v>4545</v>
      </c>
      <c r="EO172" t="s">
        <v>4239</v>
      </c>
      <c r="EP172" t="s">
        <v>4239</v>
      </c>
      <c r="EQ172">
        <v>8</v>
      </c>
      <c r="ER172">
        <v>8</v>
      </c>
      <c r="ES172">
        <v>8</v>
      </c>
      <c r="ET172">
        <v>8</v>
      </c>
      <c r="EU172">
        <v>8</v>
      </c>
      <c r="EV172">
        <v>0.1</v>
      </c>
      <c r="EW172">
        <v>0.1</v>
      </c>
      <c r="EX172">
        <v>0.2</v>
      </c>
      <c r="EY172">
        <v>0.3</v>
      </c>
      <c r="EZ172">
        <v>0.3</v>
      </c>
      <c r="FA172">
        <f>EV172*EQ172</f>
        <v>0.8</v>
      </c>
      <c r="FB172">
        <f>EW172*ER172</f>
        <v>0.8</v>
      </c>
      <c r="FC172">
        <f>EX172*ES172</f>
        <v>1.6</v>
      </c>
      <c r="FD172">
        <f>EY172*ET172</f>
        <v>2.4</v>
      </c>
      <c r="FE172">
        <f>EZ172*EU172</f>
        <v>2.4</v>
      </c>
      <c r="FF172">
        <v>18</v>
      </c>
      <c r="FG172">
        <v>0</v>
      </c>
      <c r="FH172">
        <v>8</v>
      </c>
      <c r="FI172">
        <f>FA172+FB172+FC172+FD172+FE172</f>
        <v>8</v>
      </c>
      <c r="FJ172">
        <f>MEDIAN(EQ172:EU172)</f>
        <v>8</v>
      </c>
      <c r="FL172">
        <v>39</v>
      </c>
      <c r="FM172">
        <v>9</v>
      </c>
      <c r="FN172" t="s">
        <v>1409</v>
      </c>
      <c r="FO172" t="s">
        <v>1410</v>
      </c>
      <c r="FP172" t="s">
        <v>1411</v>
      </c>
      <c r="FQ172" t="s">
        <v>1412</v>
      </c>
      <c r="FR172" t="s">
        <v>1413</v>
      </c>
      <c r="FS172">
        <v>5</v>
      </c>
      <c r="FT172">
        <v>4</v>
      </c>
      <c r="FU172">
        <v>3</v>
      </c>
      <c r="FV172">
        <v>6</v>
      </c>
      <c r="FW172">
        <v>7</v>
      </c>
      <c r="FX172">
        <v>0.1</v>
      </c>
      <c r="FY172">
        <v>0.1</v>
      </c>
      <c r="FZ172">
        <v>0.2</v>
      </c>
      <c r="GA172">
        <v>0.3</v>
      </c>
      <c r="GB172">
        <v>0.3</v>
      </c>
      <c r="GC172">
        <f>FS172*FX172</f>
        <v>0.5</v>
      </c>
      <c r="GD172">
        <f>FT172*FY172</f>
        <v>0.4</v>
      </c>
      <c r="GE172">
        <f>FU172*FZ172</f>
        <v>0.60000000000000009</v>
      </c>
      <c r="GF172">
        <f>FV172*GA172</f>
        <v>1.7999999999999998</v>
      </c>
      <c r="GG172">
        <f>FW172*GB172</f>
        <v>2.1</v>
      </c>
      <c r="GH172">
        <v>9</v>
      </c>
      <c r="GI172">
        <v>0</v>
      </c>
      <c r="GJ172">
        <v>9</v>
      </c>
      <c r="GK172">
        <f>GC172+GD172+GE172+GF172+GG172</f>
        <v>5.4</v>
      </c>
      <c r="GL172">
        <f>MEDIAN(FS172:FW172)</f>
        <v>5</v>
      </c>
    </row>
    <row r="173" spans="1:194" hidden="1" x14ac:dyDescent="0.25">
      <c r="A173">
        <v>172</v>
      </c>
      <c r="B173" t="s">
        <v>2</v>
      </c>
      <c r="C173" s="4">
        <v>70.2</v>
      </c>
      <c r="D173">
        <v>3.6</v>
      </c>
      <c r="E173" s="1">
        <f>C173/3/D173</f>
        <v>6.5</v>
      </c>
      <c r="G173">
        <v>37.14</v>
      </c>
      <c r="H173">
        <v>8</v>
      </c>
      <c r="I173">
        <f>H173*D173*3</f>
        <v>86.4</v>
      </c>
      <c r="J173">
        <v>16.66</v>
      </c>
      <c r="K173">
        <v>8.4</v>
      </c>
      <c r="L173" s="3">
        <f>K173*3*D173</f>
        <v>90.720000000000013</v>
      </c>
      <c r="M173">
        <v>5.0999999999999996</v>
      </c>
      <c r="N173">
        <v>5</v>
      </c>
      <c r="O173">
        <f>N173*D173*3</f>
        <v>54</v>
      </c>
      <c r="P173" s="5">
        <v>7.9</v>
      </c>
      <c r="Q173" s="5">
        <f>P173*D173*3</f>
        <v>85.320000000000007</v>
      </c>
      <c r="S173" t="s">
        <v>6305</v>
      </c>
      <c r="T173">
        <v>6</v>
      </c>
      <c r="U173" s="8">
        <f>T173*D173*3</f>
        <v>64.800000000000011</v>
      </c>
      <c r="V173">
        <v>30.97</v>
      </c>
      <c r="W173">
        <v>6</v>
      </c>
      <c r="X173" s="5">
        <f>W173*D173*3</f>
        <v>64.800000000000011</v>
      </c>
      <c r="Y173">
        <v>11.55</v>
      </c>
      <c r="Z173">
        <v>7.8</v>
      </c>
      <c r="AA173">
        <f>Z173*D173*3</f>
        <v>84.24</v>
      </c>
      <c r="AC173">
        <v>46.51</v>
      </c>
      <c r="AD173">
        <v>8</v>
      </c>
      <c r="AE173" s="1">
        <f>AD173*3*D173</f>
        <v>86.4</v>
      </c>
      <c r="AF173">
        <v>11.88</v>
      </c>
      <c r="AG173" s="5">
        <v>7</v>
      </c>
      <c r="AH173" s="5">
        <f>AG173*D173*3</f>
        <v>75.599999999999994</v>
      </c>
      <c r="AI173" s="13"/>
      <c r="AJ173">
        <v>5.2</v>
      </c>
      <c r="AK173" s="8">
        <f>AJ173*D173*3</f>
        <v>56.160000000000011</v>
      </c>
      <c r="AL173" s="13"/>
      <c r="AM173">
        <v>30.61</v>
      </c>
      <c r="AN173">
        <v>7</v>
      </c>
      <c r="AO173" s="8">
        <f>AN173*D173*3</f>
        <v>75.599999999999994</v>
      </c>
      <c r="AP173">
        <v>14.67</v>
      </c>
      <c r="AQ173">
        <v>9.5</v>
      </c>
      <c r="AR173">
        <f>AQ173*D173*3</f>
        <v>102.60000000000001</v>
      </c>
      <c r="AT173">
        <v>8.5</v>
      </c>
      <c r="AU173">
        <f>AT173*D173*3</f>
        <v>91.800000000000011</v>
      </c>
      <c r="AW173">
        <v>26.7</v>
      </c>
      <c r="AX173">
        <v>9.1999999999999993</v>
      </c>
      <c r="AY173">
        <f>AX173*D173*3</f>
        <v>99.359999999999985</v>
      </c>
      <c r="AZ173">
        <v>26.7</v>
      </c>
      <c r="BA173">
        <v>9</v>
      </c>
      <c r="BB173">
        <f>BA173*D173*3</f>
        <v>97.199999999999989</v>
      </c>
      <c r="BD173">
        <v>8.9</v>
      </c>
      <c r="BE173">
        <f>BD173*D173*3</f>
        <v>96.12</v>
      </c>
      <c r="BG173" s="10"/>
      <c r="BH173" s="1">
        <f>CHOOSE(MATCH(MIN(ABS(BP173-C173),ABS(BQ173-C173),ABS(BR173-C173)),CHOOSE({1;2;3},ABS(BP173-C173),ABS(BQ173-C173),ABS(BR173-C173)),0),BP173,BQ173,BR173)</f>
        <v>64.8</v>
      </c>
      <c r="BJ173" s="1" cm="1">
        <f t="array" ref="BJ173">(INDEX(_xlfn._xlws.SORT(CHOOSE({1;2;3;4;5;6},BQ173,BR173,L173,AE173,BO173,BP173)),3) + INDEX(_xlfn._xlws.SORT(CHOOSE({1;2;3;4;5;6},BQ173,BR173,L173,AE173,BO173,BP173)),4))/2</f>
        <v>86.4</v>
      </c>
      <c r="BK173">
        <v>6.4900288432176998</v>
      </c>
      <c r="BL173" t="s">
        <v>6117</v>
      </c>
      <c r="BM173" s="1">
        <f>BK173*3*D173</f>
        <v>70.092311506751159</v>
      </c>
      <c r="BN173" s="1">
        <f>BM173-C173</f>
        <v>-0.107688493248844</v>
      </c>
      <c r="BO173" s="1">
        <f>GK173*3*D173</f>
        <v>62.639999999999993</v>
      </c>
      <c r="BP173" s="1">
        <f>DO173*3*D173</f>
        <v>97.2</v>
      </c>
      <c r="BQ173" s="1">
        <f>FJ173*3*D173</f>
        <v>86.4</v>
      </c>
      <c r="BR173" s="1">
        <f>GL173*3*D173</f>
        <v>64.8</v>
      </c>
      <c r="BT173">
        <v>37.14</v>
      </c>
      <c r="BU173">
        <v>8</v>
      </c>
      <c r="BV173" t="s">
        <v>5565</v>
      </c>
      <c r="BW173" t="s">
        <v>5082</v>
      </c>
      <c r="BX173" t="s">
        <v>5057</v>
      </c>
      <c r="BY173" t="s">
        <v>5438</v>
      </c>
      <c r="BZ173" t="s">
        <v>5084</v>
      </c>
      <c r="CA173" t="s">
        <v>2437</v>
      </c>
      <c r="CC173" t="s">
        <v>2438</v>
      </c>
      <c r="CD173" t="s">
        <v>2439</v>
      </c>
      <c r="CE173" t="s">
        <v>2440</v>
      </c>
      <c r="CG173" t="s">
        <v>2441</v>
      </c>
      <c r="CH173" t="s">
        <v>2442</v>
      </c>
      <c r="CI173" t="s">
        <v>2443</v>
      </c>
      <c r="CK173" t="s">
        <v>2444</v>
      </c>
      <c r="CL173" t="s">
        <v>2445</v>
      </c>
      <c r="CM173" t="s">
        <v>2446</v>
      </c>
      <c r="CO173" t="s">
        <v>2447</v>
      </c>
      <c r="CP173" t="s">
        <v>2448</v>
      </c>
      <c r="CQ173" t="s">
        <v>2449</v>
      </c>
      <c r="CS173" t="s">
        <v>2450</v>
      </c>
      <c r="CT173" t="s">
        <v>2451</v>
      </c>
      <c r="CV173">
        <v>9</v>
      </c>
      <c r="CW173">
        <v>9</v>
      </c>
      <c r="CX173">
        <v>9</v>
      </c>
      <c r="CY173">
        <v>9</v>
      </c>
      <c r="CZ173">
        <v>9</v>
      </c>
      <c r="DA173">
        <v>0.1</v>
      </c>
      <c r="DB173">
        <v>0.1</v>
      </c>
      <c r="DC173">
        <v>0.2</v>
      </c>
      <c r="DD173">
        <v>0.3</v>
      </c>
      <c r="DE173">
        <v>0.3</v>
      </c>
      <c r="DF173">
        <v>0.9</v>
      </c>
      <c r="DG173">
        <v>0.9</v>
      </c>
      <c r="DH173">
        <v>1.8</v>
      </c>
      <c r="DI173">
        <v>2.7</v>
      </c>
      <c r="DJ173">
        <v>2.7</v>
      </c>
      <c r="DK173">
        <v>8</v>
      </c>
      <c r="DL173">
        <v>0</v>
      </c>
      <c r="DM173">
        <v>8</v>
      </c>
      <c r="DN173">
        <v>8.4</v>
      </c>
      <c r="DO173">
        <f>AVERAGE(CV173:CZ173)</f>
        <v>9</v>
      </c>
      <c r="DQ173" t="s">
        <v>27</v>
      </c>
      <c r="DR173" t="s">
        <v>33</v>
      </c>
      <c r="DS173" t="s">
        <v>357</v>
      </c>
      <c r="DT173" t="s">
        <v>358</v>
      </c>
      <c r="DU173" t="s">
        <v>359</v>
      </c>
      <c r="DV173" t="s">
        <v>360</v>
      </c>
      <c r="DW173" t="s">
        <v>3788</v>
      </c>
      <c r="DX173" t="s">
        <v>3789</v>
      </c>
      <c r="DY173" t="s">
        <v>4004</v>
      </c>
      <c r="DZ173" t="s">
        <v>4005</v>
      </c>
      <c r="EA173" t="s">
        <v>4006</v>
      </c>
      <c r="EB173" t="s">
        <v>3793</v>
      </c>
      <c r="EC173" t="s">
        <v>4414</v>
      </c>
      <c r="ED173" t="s">
        <v>4005</v>
      </c>
      <c r="EE173" t="s">
        <v>4008</v>
      </c>
      <c r="EF173" t="s">
        <v>3797</v>
      </c>
      <c r="EG173" t="s">
        <v>4415</v>
      </c>
      <c r="EH173" t="s">
        <v>4005</v>
      </c>
      <c r="EI173" t="s">
        <v>4379</v>
      </c>
      <c r="EJ173" t="s">
        <v>3800</v>
      </c>
      <c r="EK173" t="s">
        <v>4416</v>
      </c>
      <c r="EL173" t="s">
        <v>4005</v>
      </c>
      <c r="EM173" t="s">
        <v>4417</v>
      </c>
      <c r="EN173" t="s">
        <v>3803</v>
      </c>
      <c r="EO173" t="s">
        <v>4418</v>
      </c>
      <c r="EP173" t="s">
        <v>4005</v>
      </c>
      <c r="EQ173">
        <v>8</v>
      </c>
      <c r="ER173">
        <v>8</v>
      </c>
      <c r="ES173">
        <v>8</v>
      </c>
      <c r="ET173">
        <v>8</v>
      </c>
      <c r="EU173">
        <v>8</v>
      </c>
      <c r="EV173">
        <v>0.1</v>
      </c>
      <c r="EW173">
        <v>0.1</v>
      </c>
      <c r="EX173">
        <v>0.2</v>
      </c>
      <c r="EY173">
        <v>0.3</v>
      </c>
      <c r="EZ173">
        <v>0.3</v>
      </c>
      <c r="FA173">
        <f>EV173*EQ173</f>
        <v>0.8</v>
      </c>
      <c r="FB173">
        <f>EW173*ER173</f>
        <v>0.8</v>
      </c>
      <c r="FC173">
        <f>EX173*ES173</f>
        <v>1.6</v>
      </c>
      <c r="FD173">
        <f>EY173*ET173</f>
        <v>2.4</v>
      </c>
      <c r="FE173">
        <f>EZ173*EU173</f>
        <v>2.4</v>
      </c>
      <c r="FF173">
        <v>16</v>
      </c>
      <c r="FG173">
        <v>0</v>
      </c>
      <c r="FH173">
        <v>8</v>
      </c>
      <c r="FI173">
        <f>FA173+FB173+FC173+FD173+FE173</f>
        <v>8</v>
      </c>
      <c r="FJ173">
        <f>MEDIAN(EQ173:EU173)</f>
        <v>8</v>
      </c>
      <c r="FL173">
        <v>44.51</v>
      </c>
      <c r="FM173">
        <v>5.5</v>
      </c>
      <c r="FN173" t="s">
        <v>1414</v>
      </c>
      <c r="FO173" t="s">
        <v>1415</v>
      </c>
      <c r="FP173" t="s">
        <v>1416</v>
      </c>
      <c r="FQ173" t="s">
        <v>1417</v>
      </c>
      <c r="FR173" t="s">
        <v>1418</v>
      </c>
      <c r="FS173">
        <v>6</v>
      </c>
      <c r="FT173">
        <v>8</v>
      </c>
      <c r="FU173">
        <v>7</v>
      </c>
      <c r="FV173">
        <v>6</v>
      </c>
      <c r="FW173">
        <v>4</v>
      </c>
      <c r="FX173">
        <v>0.1</v>
      </c>
      <c r="FY173">
        <v>0.1</v>
      </c>
      <c r="FZ173">
        <v>0.2</v>
      </c>
      <c r="GA173">
        <v>0.3</v>
      </c>
      <c r="GB173">
        <v>0.3</v>
      </c>
      <c r="GC173">
        <f>FS173*FX173</f>
        <v>0.60000000000000009</v>
      </c>
      <c r="GD173">
        <f>FT173*FY173</f>
        <v>0.8</v>
      </c>
      <c r="GE173">
        <f>FU173*FZ173</f>
        <v>1.4000000000000001</v>
      </c>
      <c r="GF173">
        <f>FV173*GA173</f>
        <v>1.7999999999999998</v>
      </c>
      <c r="GG173">
        <f>FW173*GB173</f>
        <v>1.2</v>
      </c>
      <c r="GH173">
        <v>6</v>
      </c>
      <c r="GI173">
        <v>-0.5</v>
      </c>
      <c r="GJ173">
        <v>5.5</v>
      </c>
      <c r="GK173">
        <f>GC173+GD173+GE173+GF173+GG173</f>
        <v>5.8</v>
      </c>
      <c r="GL173">
        <f>MEDIAN(FS173:FW173)</f>
        <v>6</v>
      </c>
    </row>
    <row r="174" spans="1:194" x14ac:dyDescent="0.25">
      <c r="A174">
        <v>212</v>
      </c>
      <c r="B174" t="s">
        <v>2</v>
      </c>
      <c r="C174" s="4">
        <v>66</v>
      </c>
      <c r="D174">
        <v>3.3</v>
      </c>
      <c r="E174" s="1">
        <f>C174/3/D174</f>
        <v>6.666666666666667</v>
      </c>
      <c r="G174">
        <v>37.08</v>
      </c>
      <c r="H174">
        <v>8</v>
      </c>
      <c r="I174">
        <f>H174*D174*3</f>
        <v>79.199999999999989</v>
      </c>
      <c r="J174">
        <v>18.54</v>
      </c>
      <c r="K174">
        <v>8.4</v>
      </c>
      <c r="L174" s="3">
        <f>K174*3*D174</f>
        <v>83.160000000000011</v>
      </c>
      <c r="M174">
        <v>4.74</v>
      </c>
      <c r="N174">
        <v>3</v>
      </c>
      <c r="O174">
        <f>N174*D174*3</f>
        <v>29.699999999999996</v>
      </c>
      <c r="P174" s="5">
        <v>8.6999999999999993</v>
      </c>
      <c r="Q174" s="5">
        <f>P174*D174*3</f>
        <v>86.13</v>
      </c>
      <c r="S174" t="s">
        <v>6344</v>
      </c>
      <c r="T174">
        <v>5.6</v>
      </c>
      <c r="U174" s="8">
        <f>T174*D174*3</f>
        <v>55.439999999999991</v>
      </c>
      <c r="V174">
        <v>30.54</v>
      </c>
      <c r="W174">
        <v>9</v>
      </c>
      <c r="X174" s="5">
        <f>W174*D174*3</f>
        <v>89.1</v>
      </c>
      <c r="Y174">
        <v>12.17</v>
      </c>
      <c r="Z174">
        <v>7.5</v>
      </c>
      <c r="AA174">
        <f>Z174*D174*3</f>
        <v>74.25</v>
      </c>
      <c r="AC174">
        <v>45.79</v>
      </c>
      <c r="AD174">
        <v>8</v>
      </c>
      <c r="AE174" s="1">
        <f>AD174*3*D174</f>
        <v>79.199999999999989</v>
      </c>
      <c r="AF174">
        <v>11.96</v>
      </c>
      <c r="AG174" s="5">
        <v>7</v>
      </c>
      <c r="AH174" s="5">
        <f>AG174*D174*3</f>
        <v>69.3</v>
      </c>
      <c r="AI174" s="13"/>
      <c r="AJ174">
        <v>27</v>
      </c>
      <c r="AK174" s="8">
        <f>AJ174*D174*3</f>
        <v>267.29999999999995</v>
      </c>
      <c r="AL174" s="13"/>
      <c r="AM174">
        <v>32.35</v>
      </c>
      <c r="AN174">
        <v>7.7</v>
      </c>
      <c r="AO174" s="8">
        <f>AN174*D174*3</f>
        <v>76.23</v>
      </c>
      <c r="AP174">
        <v>14.62</v>
      </c>
      <c r="AQ174">
        <v>9</v>
      </c>
      <c r="AR174">
        <f>AQ174*D174*3</f>
        <v>89.1</v>
      </c>
      <c r="AT174">
        <v>8.8000000000000007</v>
      </c>
      <c r="AU174">
        <f>AT174*D174*3</f>
        <v>87.12</v>
      </c>
      <c r="AW174">
        <v>23.1</v>
      </c>
      <c r="AX174">
        <v>9.3000000000000007</v>
      </c>
      <c r="AY174">
        <f>AX174*D174*3</f>
        <v>92.070000000000007</v>
      </c>
      <c r="AZ174">
        <v>23.1</v>
      </c>
      <c r="BA174">
        <v>9.4</v>
      </c>
      <c r="BB174">
        <f>BA174*D174*3</f>
        <v>93.06</v>
      </c>
      <c r="BD174">
        <v>8.6</v>
      </c>
      <c r="BE174">
        <f>BD174*D174*3</f>
        <v>85.14</v>
      </c>
      <c r="BG174" s="10"/>
      <c r="BH174" s="1">
        <f>CHOOSE(MATCH(MIN(ABS(BP174-C174),ABS(BQ174-C174),ABS(BR174-C174)),CHOOSE({1;2;3},ABS(BP174-C174),ABS(BQ174-C174),ABS(BR174-C174)),0),BP174,BQ174,BR174)</f>
        <v>59.4</v>
      </c>
      <c r="BJ174" s="1" cm="1">
        <f t="array" ref="BJ174">(INDEX(_xlfn._xlws.SORT(CHOOSE({1;2;3;4;5;6},BQ174,BR174,L174,AE174,BO174,BP174)),3) + INDEX(_xlfn._xlws.SORT(CHOOSE({1;2;3;4;5;6},BQ174,BR174,L174,AE174,BO174,BP174)),4))/2</f>
        <v>79.199999999999989</v>
      </c>
      <c r="BK174">
        <v>6.6213425123096599</v>
      </c>
      <c r="BL174" s="11" t="s">
        <v>6116</v>
      </c>
      <c r="BM174" s="1">
        <f>BK174*3*D174</f>
        <v>65.551290871865632</v>
      </c>
      <c r="BN174" s="1">
        <f>BM174-C174</f>
        <v>-0.44870912813436803</v>
      </c>
      <c r="BO174" s="1">
        <f>GK174*3*D174</f>
        <v>56.43</v>
      </c>
      <c r="BP174" s="1">
        <f>DO174*3*D174</f>
        <v>89.1</v>
      </c>
      <c r="BQ174" s="1">
        <f>FJ174*3*D174</f>
        <v>79.199999999999989</v>
      </c>
      <c r="BR174" s="1">
        <f>GL174*3*D174</f>
        <v>59.4</v>
      </c>
      <c r="BT174">
        <v>37.08</v>
      </c>
      <c r="BU174">
        <v>8</v>
      </c>
      <c r="BV174" t="s">
        <v>5018</v>
      </c>
      <c r="BW174" t="s">
        <v>5019</v>
      </c>
      <c r="BX174" t="s">
        <v>5020</v>
      </c>
      <c r="BY174" t="s">
        <v>5689</v>
      </c>
      <c r="BZ174" t="s">
        <v>5022</v>
      </c>
      <c r="CA174" t="s">
        <v>2437</v>
      </c>
      <c r="CC174" t="s">
        <v>2438</v>
      </c>
      <c r="CD174" t="s">
        <v>2533</v>
      </c>
      <c r="CE174" t="s">
        <v>2440</v>
      </c>
      <c r="CG174" t="s">
        <v>2441</v>
      </c>
      <c r="CH174" t="s">
        <v>2534</v>
      </c>
      <c r="CI174" t="s">
        <v>2535</v>
      </c>
      <c r="CK174" t="s">
        <v>2444</v>
      </c>
      <c r="CL174" t="s">
        <v>2536</v>
      </c>
      <c r="CM174" t="s">
        <v>2446</v>
      </c>
      <c r="CO174" t="s">
        <v>2447</v>
      </c>
      <c r="CP174" t="s">
        <v>2537</v>
      </c>
      <c r="CQ174" t="s">
        <v>2449</v>
      </c>
      <c r="CS174" t="s">
        <v>2450</v>
      </c>
      <c r="CT174" t="s">
        <v>2539</v>
      </c>
      <c r="CV174">
        <v>9</v>
      </c>
      <c r="CW174">
        <v>9</v>
      </c>
      <c r="CX174">
        <v>9</v>
      </c>
      <c r="CY174">
        <v>9</v>
      </c>
      <c r="CZ174">
        <v>9</v>
      </c>
      <c r="DA174">
        <v>0.1</v>
      </c>
      <c r="DB174">
        <v>0.1</v>
      </c>
      <c r="DC174">
        <v>0.2</v>
      </c>
      <c r="DD174">
        <v>0.3</v>
      </c>
      <c r="DE174">
        <v>0.3</v>
      </c>
      <c r="DF174">
        <v>0.9</v>
      </c>
      <c r="DG174">
        <v>0.9</v>
      </c>
      <c r="DH174">
        <v>1.8</v>
      </c>
      <c r="DI174">
        <v>2.7</v>
      </c>
      <c r="DJ174">
        <v>2.7</v>
      </c>
      <c r="DK174">
        <v>8</v>
      </c>
      <c r="DL174">
        <v>0</v>
      </c>
      <c r="DM174">
        <v>8</v>
      </c>
      <c r="DN174">
        <v>8.4</v>
      </c>
      <c r="DO174">
        <f>AVERAGE(CV174:CZ174)</f>
        <v>9</v>
      </c>
      <c r="DQ174">
        <v>8</v>
      </c>
      <c r="DR174" t="s">
        <v>33</v>
      </c>
      <c r="DS174" t="s">
        <v>284</v>
      </c>
      <c r="DT174" t="s">
        <v>83</v>
      </c>
      <c r="DU174" t="s">
        <v>84</v>
      </c>
      <c r="DV174" t="s">
        <v>407</v>
      </c>
      <c r="DW174" t="s">
        <v>3788</v>
      </c>
      <c r="DX174" t="s">
        <v>3789</v>
      </c>
      <c r="DY174" t="s">
        <v>3790</v>
      </c>
      <c r="DZ174" t="s">
        <v>3992</v>
      </c>
      <c r="EA174" t="s">
        <v>3934</v>
      </c>
      <c r="EB174" t="s">
        <v>3793</v>
      </c>
      <c r="EC174" t="s">
        <v>3935</v>
      </c>
      <c r="ED174" t="s">
        <v>4440</v>
      </c>
      <c r="EE174" t="s">
        <v>4305</v>
      </c>
      <c r="EF174" t="s">
        <v>3797</v>
      </c>
      <c r="EG174" t="s">
        <v>3938</v>
      </c>
      <c r="EH174" t="s">
        <v>4648</v>
      </c>
      <c r="EI174" t="s">
        <v>4068</v>
      </c>
      <c r="EJ174" t="s">
        <v>3800</v>
      </c>
      <c r="EK174" t="s">
        <v>3941</v>
      </c>
      <c r="EL174" t="s">
        <v>4649</v>
      </c>
      <c r="EM174" t="s">
        <v>4650</v>
      </c>
      <c r="EN174" t="s">
        <v>3803</v>
      </c>
      <c r="EO174" t="s">
        <v>4651</v>
      </c>
      <c r="EP174" t="s">
        <v>4652</v>
      </c>
      <c r="EQ174">
        <v>8</v>
      </c>
      <c r="ER174">
        <v>8</v>
      </c>
      <c r="ES174">
        <v>8</v>
      </c>
      <c r="ET174">
        <v>8</v>
      </c>
      <c r="EU174">
        <v>8</v>
      </c>
      <c r="EV174">
        <v>0.1</v>
      </c>
      <c r="EW174">
        <v>0.1</v>
      </c>
      <c r="EX174">
        <v>0.2</v>
      </c>
      <c r="EY174">
        <v>0.3</v>
      </c>
      <c r="EZ174">
        <v>0.3</v>
      </c>
      <c r="FA174">
        <f>EV174*EQ174</f>
        <v>0.8</v>
      </c>
      <c r="FB174">
        <f>EW174*ER174</f>
        <v>0.8</v>
      </c>
      <c r="FC174">
        <f>EX174*ES174</f>
        <v>1.6</v>
      </c>
      <c r="FD174">
        <f>EY174*ET174</f>
        <v>2.4</v>
      </c>
      <c r="FE174">
        <f>EZ174*EU174</f>
        <v>2.4</v>
      </c>
      <c r="FF174">
        <v>16</v>
      </c>
      <c r="FG174">
        <v>0</v>
      </c>
      <c r="FH174">
        <v>8</v>
      </c>
      <c r="FI174">
        <f>FA174+FB174+FC174+FD174+FE174</f>
        <v>8</v>
      </c>
      <c r="FJ174">
        <f>MEDIAN(EQ174:EU174)</f>
        <v>8</v>
      </c>
      <c r="FL174">
        <v>42</v>
      </c>
      <c r="FM174">
        <v>5.7</v>
      </c>
      <c r="FN174" t="s">
        <v>1606</v>
      </c>
      <c r="FO174" t="s">
        <v>1607</v>
      </c>
      <c r="FP174" t="s">
        <v>1608</v>
      </c>
      <c r="FQ174" t="s">
        <v>1609</v>
      </c>
      <c r="FR174" t="s">
        <v>1610</v>
      </c>
      <c r="FS174">
        <v>6</v>
      </c>
      <c r="FT174">
        <v>8</v>
      </c>
      <c r="FU174">
        <v>5</v>
      </c>
      <c r="FV174">
        <v>7</v>
      </c>
      <c r="FW174">
        <v>4</v>
      </c>
      <c r="FX174">
        <v>0.1</v>
      </c>
      <c r="FY174">
        <v>0.1</v>
      </c>
      <c r="FZ174">
        <v>0.2</v>
      </c>
      <c r="GA174">
        <v>0.3</v>
      </c>
      <c r="GB174">
        <v>0.3</v>
      </c>
      <c r="GC174">
        <f>FS174*FX174</f>
        <v>0.60000000000000009</v>
      </c>
      <c r="GD174">
        <f>FT174*FY174</f>
        <v>0.8</v>
      </c>
      <c r="GE174">
        <f>FU174*FZ174</f>
        <v>1</v>
      </c>
      <c r="GF174">
        <f>FV174*GA174</f>
        <v>2.1</v>
      </c>
      <c r="GG174">
        <f>FW174*GB174</f>
        <v>1.2</v>
      </c>
      <c r="GH174">
        <v>5.7</v>
      </c>
      <c r="GJ174">
        <v>5.7</v>
      </c>
      <c r="GK174">
        <f>GC174+GD174+GE174+GF174+GG174</f>
        <v>5.7</v>
      </c>
      <c r="GL174">
        <f>MEDIAN(FS174:FW174)</f>
        <v>6</v>
      </c>
    </row>
    <row r="175" spans="1:194" x14ac:dyDescent="0.25">
      <c r="A175">
        <v>77</v>
      </c>
      <c r="B175" t="s">
        <v>2</v>
      </c>
      <c r="C175" s="4">
        <v>81.599999999999994</v>
      </c>
      <c r="D175">
        <v>3.2</v>
      </c>
      <c r="E175" s="1">
        <f>C175/3/D175</f>
        <v>8.5</v>
      </c>
      <c r="G175">
        <v>38.25</v>
      </c>
      <c r="H175">
        <v>8.6999999999999993</v>
      </c>
      <c r="I175">
        <f>H175*D175*3</f>
        <v>83.52</v>
      </c>
      <c r="J175">
        <v>16.600000000000001</v>
      </c>
      <c r="K175">
        <v>8.4</v>
      </c>
      <c r="L175" s="3">
        <f>K175*3*D175</f>
        <v>80.640000000000015</v>
      </c>
      <c r="M175">
        <v>4.79</v>
      </c>
      <c r="N175">
        <v>6.5</v>
      </c>
      <c r="O175">
        <f>N175*D175*3</f>
        <v>62.400000000000006</v>
      </c>
      <c r="P175" s="5">
        <v>7</v>
      </c>
      <c r="Q175" s="5">
        <f>P175*D175*3</f>
        <v>67.2</v>
      </c>
      <c r="S175" t="s">
        <v>6214</v>
      </c>
      <c r="T175">
        <v>7.1</v>
      </c>
      <c r="U175" s="8">
        <f>T175*D175*3</f>
        <v>68.16</v>
      </c>
      <c r="V175">
        <v>30.38</v>
      </c>
      <c r="W175">
        <v>9</v>
      </c>
      <c r="X175" s="5">
        <f>W175*D175*3</f>
        <v>86.4</v>
      </c>
      <c r="Y175">
        <v>9.17</v>
      </c>
      <c r="Z175">
        <v>7.8</v>
      </c>
      <c r="AA175">
        <f>Z175*D175*3</f>
        <v>74.88</v>
      </c>
      <c r="AC175">
        <v>45.96</v>
      </c>
      <c r="AD175">
        <v>8</v>
      </c>
      <c r="AE175" s="1">
        <f>AD175*3*D175</f>
        <v>76.800000000000011</v>
      </c>
      <c r="AF175">
        <v>12.03</v>
      </c>
      <c r="AG175" s="5">
        <v>7</v>
      </c>
      <c r="AH175" s="5">
        <f>AG175*D175*3</f>
        <v>67.2</v>
      </c>
      <c r="AI175" s="13"/>
      <c r="AJ175">
        <v>0.9</v>
      </c>
      <c r="AK175" s="8">
        <f>AJ175*D175*3</f>
        <v>8.64</v>
      </c>
      <c r="AL175" s="13"/>
      <c r="AM175">
        <v>31.4</v>
      </c>
      <c r="AN175">
        <v>7</v>
      </c>
      <c r="AO175" s="8">
        <f>AN175*D175*3</f>
        <v>67.2</v>
      </c>
      <c r="AP175">
        <v>13.63</v>
      </c>
      <c r="AQ175">
        <v>9.4</v>
      </c>
      <c r="AR175">
        <f>AQ175*D175*3</f>
        <v>90.240000000000009</v>
      </c>
      <c r="AT175">
        <v>8.6</v>
      </c>
      <c r="AU175">
        <f>AT175*D175*3</f>
        <v>82.56</v>
      </c>
      <c r="AW175">
        <v>25.23</v>
      </c>
      <c r="AX175">
        <v>9.6</v>
      </c>
      <c r="AY175">
        <f>AX175*D175*3</f>
        <v>92.16</v>
      </c>
      <c r="AZ175">
        <v>25.23</v>
      </c>
      <c r="BA175">
        <v>9</v>
      </c>
      <c r="BB175">
        <f>BA175*D175*3</f>
        <v>86.4</v>
      </c>
      <c r="BD175">
        <v>9</v>
      </c>
      <c r="BE175">
        <f>BD175*D175*3</f>
        <v>86.4</v>
      </c>
      <c r="BG175" s="10"/>
      <c r="BH175" s="1">
        <f>CHOOSE(MATCH(MIN(ABS(BP175-C175),ABS(BQ175-C175),ABS(BR175-C175)),CHOOSE({1;2;3},ABS(BP175-C175),ABS(BQ175-C175),ABS(BR175-C175)),0),BP175,BQ175,BR175)</f>
        <v>84.480000000000018</v>
      </c>
      <c r="BJ175" s="1" cm="1">
        <f t="array" ref="BJ175">(INDEX(_xlfn._xlws.SORT(CHOOSE({1;2;3;4;5;6},BQ175,BR175,L175,AE175,BO175,BP175)),3) + INDEX(_xlfn._xlws.SORT(CHOOSE({1;2;3;4;5;6},BQ175,BR175,L175,AE175,BO175,BP175)),4))/2</f>
        <v>82.560000000000016</v>
      </c>
      <c r="BK175">
        <v>8.4721748238864407</v>
      </c>
      <c r="BL175" s="11" t="s">
        <v>6116</v>
      </c>
      <c r="BM175" s="1">
        <f>BK175*3*D175</f>
        <v>81.332878309309834</v>
      </c>
      <c r="BN175" s="1">
        <f>BM175-C175</f>
        <v>-0.26712169069016056</v>
      </c>
      <c r="BO175" s="1">
        <f>GK175*3*D175</f>
        <v>84.480000000000018</v>
      </c>
      <c r="BP175" s="1">
        <f>DO175*3*D175</f>
        <v>84.480000000000018</v>
      </c>
      <c r="BQ175" s="1">
        <f>FJ175*3*D175</f>
        <v>76.800000000000011</v>
      </c>
      <c r="BR175" s="1">
        <f>GL175*3*D175</f>
        <v>96</v>
      </c>
      <c r="BT175">
        <v>38.25</v>
      </c>
      <c r="BU175">
        <v>8.6999999999999993</v>
      </c>
      <c r="BV175" t="s">
        <v>5055</v>
      </c>
      <c r="BW175" t="s">
        <v>5082</v>
      </c>
      <c r="BX175" t="s">
        <v>5057</v>
      </c>
      <c r="BY175" t="s">
        <v>5083</v>
      </c>
      <c r="BZ175" t="s">
        <v>5084</v>
      </c>
      <c r="CA175" t="s">
        <v>2506</v>
      </c>
      <c r="CC175" t="s">
        <v>2507</v>
      </c>
      <c r="CD175" t="s">
        <v>2508</v>
      </c>
      <c r="CE175" t="s">
        <v>2440</v>
      </c>
      <c r="CG175" t="s">
        <v>2947</v>
      </c>
      <c r="CH175" t="s">
        <v>2510</v>
      </c>
      <c r="CI175" t="s">
        <v>2948</v>
      </c>
      <c r="CK175" t="s">
        <v>2949</v>
      </c>
      <c r="CL175" t="s">
        <v>2950</v>
      </c>
      <c r="CM175" t="s">
        <v>2446</v>
      </c>
      <c r="CO175" t="s">
        <v>2951</v>
      </c>
      <c r="CP175" t="s">
        <v>2514</v>
      </c>
      <c r="CQ175" t="s">
        <v>2449</v>
      </c>
      <c r="CR175" t="s">
        <v>2515</v>
      </c>
      <c r="CS175" t="s">
        <v>2952</v>
      </c>
      <c r="CT175" t="s">
        <v>2953</v>
      </c>
      <c r="CV175">
        <v>9</v>
      </c>
      <c r="CW175">
        <v>9</v>
      </c>
      <c r="CX175">
        <v>9</v>
      </c>
      <c r="CY175">
        <v>9</v>
      </c>
      <c r="CZ175">
        <v>8</v>
      </c>
      <c r="DA175">
        <v>0.1</v>
      </c>
      <c r="DB175">
        <v>0.1</v>
      </c>
      <c r="DC175">
        <v>0.2</v>
      </c>
      <c r="DD175">
        <v>0.3</v>
      </c>
      <c r="DE175">
        <v>0.3</v>
      </c>
      <c r="DF175">
        <v>0.9</v>
      </c>
      <c r="DG175">
        <v>0.9</v>
      </c>
      <c r="DH175">
        <v>1.8</v>
      </c>
      <c r="DI175">
        <v>2.7</v>
      </c>
      <c r="DJ175">
        <v>2.4</v>
      </c>
      <c r="DK175">
        <v>8.6999999999999993</v>
      </c>
      <c r="DL175">
        <v>0</v>
      </c>
      <c r="DM175">
        <v>8.6999999999999993</v>
      </c>
      <c r="DN175">
        <v>8.4</v>
      </c>
      <c r="DO175">
        <f>AVERAGE(CV175:CZ175)</f>
        <v>8.8000000000000007</v>
      </c>
      <c r="DQ175" t="s">
        <v>27</v>
      </c>
      <c r="DR175" t="s">
        <v>221</v>
      </c>
      <c r="DS175" t="s">
        <v>61</v>
      </c>
      <c r="DT175" t="s">
        <v>120</v>
      </c>
      <c r="DU175" t="s">
        <v>222</v>
      </c>
      <c r="DV175" t="s">
        <v>206</v>
      </c>
      <c r="DW175" t="s">
        <v>3836</v>
      </c>
      <c r="DX175" t="s">
        <v>3858</v>
      </c>
      <c r="DY175" t="s">
        <v>4233</v>
      </c>
      <c r="DZ175" t="s">
        <v>4234</v>
      </c>
      <c r="EA175" t="s">
        <v>3860</v>
      </c>
      <c r="EB175" t="s">
        <v>3840</v>
      </c>
      <c r="EC175" t="s">
        <v>4235</v>
      </c>
      <c r="ED175" t="s">
        <v>4235</v>
      </c>
      <c r="EE175" t="s">
        <v>3886</v>
      </c>
      <c r="EF175" t="s">
        <v>3900</v>
      </c>
      <c r="EG175" t="s">
        <v>4236</v>
      </c>
      <c r="EH175" t="s">
        <v>4236</v>
      </c>
      <c r="EI175" t="s">
        <v>3879</v>
      </c>
      <c r="EJ175" t="s">
        <v>3890</v>
      </c>
      <c r="EK175" t="s">
        <v>4237</v>
      </c>
      <c r="EL175" t="s">
        <v>4237</v>
      </c>
      <c r="EM175" t="s">
        <v>3907</v>
      </c>
      <c r="EN175" t="s">
        <v>3908</v>
      </c>
      <c r="EO175" t="s">
        <v>4239</v>
      </c>
      <c r="EP175" t="s">
        <v>4239</v>
      </c>
      <c r="EQ175">
        <v>8</v>
      </c>
      <c r="ER175">
        <v>8</v>
      </c>
      <c r="ES175">
        <v>8</v>
      </c>
      <c r="ET175">
        <v>8</v>
      </c>
      <c r="EU175">
        <v>8</v>
      </c>
      <c r="EV175">
        <v>0.1</v>
      </c>
      <c r="EW175">
        <v>0.1</v>
      </c>
      <c r="EX175">
        <v>0.2</v>
      </c>
      <c r="EY175">
        <v>0.3</v>
      </c>
      <c r="EZ175">
        <v>0.3</v>
      </c>
      <c r="FA175">
        <f>EV175*EQ175</f>
        <v>0.8</v>
      </c>
      <c r="FB175">
        <f>EW175*ER175</f>
        <v>0.8</v>
      </c>
      <c r="FC175">
        <f>EX175*ES175</f>
        <v>1.6</v>
      </c>
      <c r="FD175">
        <f>EY175*ET175</f>
        <v>2.4</v>
      </c>
      <c r="FE175">
        <f>EZ175*EU175</f>
        <v>2.4</v>
      </c>
      <c r="FF175">
        <v>18</v>
      </c>
      <c r="FG175">
        <v>0</v>
      </c>
      <c r="FH175">
        <v>8</v>
      </c>
      <c r="FI175">
        <f>FA175+FB175+FC175+FD175+FE175</f>
        <v>8</v>
      </c>
      <c r="FJ175">
        <f>MEDIAN(EQ175:EU175)</f>
        <v>8</v>
      </c>
      <c r="FL175">
        <v>40.549999999999997</v>
      </c>
      <c r="FM175">
        <v>10</v>
      </c>
      <c r="FN175" t="s">
        <v>975</v>
      </c>
      <c r="FO175" t="s">
        <v>976</v>
      </c>
      <c r="FP175" t="s">
        <v>977</v>
      </c>
      <c r="FQ175" t="s">
        <v>978</v>
      </c>
      <c r="FR175" t="s">
        <v>979</v>
      </c>
      <c r="FS175">
        <v>10</v>
      </c>
      <c r="FT175">
        <v>10</v>
      </c>
      <c r="FU175">
        <v>10</v>
      </c>
      <c r="FV175">
        <v>8.5</v>
      </c>
      <c r="FW175">
        <v>7.5</v>
      </c>
      <c r="FX175">
        <v>0.1</v>
      </c>
      <c r="FY175">
        <v>0.1</v>
      </c>
      <c r="FZ175">
        <v>0.2</v>
      </c>
      <c r="GA175">
        <v>0.3</v>
      </c>
      <c r="GB175">
        <v>0.3</v>
      </c>
      <c r="GC175">
        <f>FS175*FX175</f>
        <v>1</v>
      </c>
      <c r="GD175">
        <f>FT175*FY175</f>
        <v>1</v>
      </c>
      <c r="GE175">
        <f>FU175*FZ175</f>
        <v>2</v>
      </c>
      <c r="GF175">
        <f>FV175*GA175</f>
        <v>2.5499999999999998</v>
      </c>
      <c r="GG175">
        <f>FW175*GB175</f>
        <v>2.25</v>
      </c>
      <c r="GH175">
        <v>9.85</v>
      </c>
      <c r="GI175">
        <v>0.2</v>
      </c>
      <c r="GJ175">
        <v>10</v>
      </c>
      <c r="GK175">
        <f>GC175+GD175+GE175+GF175+GG175</f>
        <v>8.8000000000000007</v>
      </c>
      <c r="GL175">
        <f>MEDIAN(FS175:FW175)</f>
        <v>10</v>
      </c>
    </row>
    <row r="176" spans="1:194" x14ac:dyDescent="0.25">
      <c r="A176">
        <v>208</v>
      </c>
      <c r="B176" t="s">
        <v>2</v>
      </c>
      <c r="C176" s="4">
        <v>72</v>
      </c>
      <c r="D176">
        <v>3</v>
      </c>
      <c r="E176" s="1">
        <f>C176/3/D176</f>
        <v>8</v>
      </c>
      <c r="G176">
        <v>87.39</v>
      </c>
      <c r="H176">
        <v>6.7</v>
      </c>
      <c r="I176">
        <f>H176*D176*3</f>
        <v>60.300000000000004</v>
      </c>
      <c r="J176">
        <v>18.02</v>
      </c>
      <c r="K176">
        <v>9</v>
      </c>
      <c r="L176" s="3">
        <f>K176*3*D176</f>
        <v>81</v>
      </c>
      <c r="M176">
        <v>4.83</v>
      </c>
      <c r="N176">
        <v>4</v>
      </c>
      <c r="O176">
        <f>N176*D176*3</f>
        <v>36</v>
      </c>
      <c r="P176" s="5">
        <v>6.5</v>
      </c>
      <c r="Q176" s="5">
        <f>P176*D176*3</f>
        <v>58.5</v>
      </c>
      <c r="S176" t="s">
        <v>6340</v>
      </c>
      <c r="T176">
        <v>6.2</v>
      </c>
      <c r="U176" s="8">
        <f>T176*D176*3</f>
        <v>55.800000000000004</v>
      </c>
      <c r="V176">
        <v>30.9</v>
      </c>
      <c r="W176">
        <v>8</v>
      </c>
      <c r="X176" s="5">
        <f>W176*D176*3</f>
        <v>72</v>
      </c>
      <c r="Y176">
        <v>9.06</v>
      </c>
      <c r="Z176">
        <v>7.5</v>
      </c>
      <c r="AA176">
        <f>Z176*D176*3</f>
        <v>67.5</v>
      </c>
      <c r="AC176">
        <v>48.37</v>
      </c>
      <c r="AD176">
        <v>7.9</v>
      </c>
      <c r="AE176" s="1">
        <f>AD176*3*D176</f>
        <v>71.100000000000009</v>
      </c>
      <c r="AF176">
        <v>11.97</v>
      </c>
      <c r="AG176" s="5">
        <v>7</v>
      </c>
      <c r="AH176" s="5">
        <f>AG176*D176*3</f>
        <v>63</v>
      </c>
      <c r="AI176" s="13"/>
      <c r="AJ176">
        <v>28</v>
      </c>
      <c r="AK176" s="8">
        <f>AJ176*D176*3</f>
        <v>252</v>
      </c>
      <c r="AL176" s="13"/>
      <c r="AM176">
        <v>30.76</v>
      </c>
      <c r="AN176">
        <v>7.1</v>
      </c>
      <c r="AO176" s="8">
        <f>AN176*D176*3</f>
        <v>63.899999999999991</v>
      </c>
      <c r="AP176">
        <v>14.84</v>
      </c>
      <c r="AQ176">
        <v>10</v>
      </c>
      <c r="AR176">
        <f>AQ176*D176*3</f>
        <v>90</v>
      </c>
      <c r="AT176">
        <v>9</v>
      </c>
      <c r="AU176">
        <f>AT176*D176*3</f>
        <v>81</v>
      </c>
      <c r="AW176">
        <v>23.66</v>
      </c>
      <c r="AX176">
        <v>9.3000000000000007</v>
      </c>
      <c r="AY176">
        <f>AX176*D176*3</f>
        <v>83.7</v>
      </c>
      <c r="AZ176">
        <v>23.66</v>
      </c>
      <c r="BA176">
        <v>9.4</v>
      </c>
      <c r="BB176">
        <f>BA176*D176*3</f>
        <v>84.600000000000009</v>
      </c>
      <c r="BD176">
        <v>8.3000000000000007</v>
      </c>
      <c r="BE176">
        <f>BD176*D176*3</f>
        <v>74.7</v>
      </c>
      <c r="BG176" s="10"/>
      <c r="BH176" s="1">
        <f>CHOOSE(MATCH(MIN(ABS(BP176-C176),ABS(BQ176-C176),ABS(BR176-C176)),CHOOSE({1;2;3},ABS(BP176-C176),ABS(BQ176-C176),ABS(BR176-C176)),0),BP176,BQ176,BR176)</f>
        <v>72</v>
      </c>
      <c r="BJ176" s="1" cm="1">
        <f t="array" ref="BJ176">(INDEX(_xlfn._xlws.SORT(CHOOSE({1;2;3;4;5;6},BQ176,BR176,L176,AE176,BO176,BP176)),3) + INDEX(_xlfn._xlws.SORT(CHOOSE({1;2;3;4;5;6},BQ176,BR176,L176,AE176,BO176,BP176)),4))/2</f>
        <v>71.550000000000011</v>
      </c>
      <c r="BK176">
        <v>7.9758567340625497</v>
      </c>
      <c r="BL176" s="11" t="s">
        <v>6116</v>
      </c>
      <c r="BM176" s="1">
        <f>BK176*3*D176</f>
        <v>71.782710606562944</v>
      </c>
      <c r="BN176" s="1">
        <f>BM176-C176</f>
        <v>-0.21728939343705633</v>
      </c>
      <c r="BO176" s="1">
        <f>GK176*3*D176</f>
        <v>67.949999999999989</v>
      </c>
      <c r="BP176" s="1">
        <f>DO176*3*D176</f>
        <v>64.800000000000011</v>
      </c>
      <c r="BQ176" s="1">
        <f>FJ176*3*D176</f>
        <v>72</v>
      </c>
      <c r="BR176" s="1">
        <f>GL176*3*D176</f>
        <v>72</v>
      </c>
      <c r="BT176">
        <v>87.39</v>
      </c>
      <c r="BU176">
        <v>6.7</v>
      </c>
      <c r="BV176" t="s">
        <v>5676</v>
      </c>
      <c r="BW176" t="s">
        <v>5677</v>
      </c>
      <c r="BX176" t="s">
        <v>5678</v>
      </c>
      <c r="BY176" t="s">
        <v>5679</v>
      </c>
      <c r="BZ176" t="s">
        <v>5680</v>
      </c>
      <c r="CA176" t="s">
        <v>2452</v>
      </c>
      <c r="CC176" t="s">
        <v>2438</v>
      </c>
      <c r="CD176" t="s">
        <v>2453</v>
      </c>
      <c r="CE176" t="s">
        <v>2970</v>
      </c>
      <c r="CG176" t="s">
        <v>2455</v>
      </c>
      <c r="CH176" t="s">
        <v>2456</v>
      </c>
      <c r="CI176" t="s">
        <v>2971</v>
      </c>
      <c r="CJ176" t="s">
        <v>2972</v>
      </c>
      <c r="CK176" t="s">
        <v>2973</v>
      </c>
      <c r="CL176" t="s">
        <v>3322</v>
      </c>
      <c r="CM176" t="s">
        <v>2974</v>
      </c>
      <c r="CN176" t="s">
        <v>2462</v>
      </c>
      <c r="CO176" t="s">
        <v>3323</v>
      </c>
      <c r="CP176" t="s">
        <v>3324</v>
      </c>
      <c r="CQ176" t="s">
        <v>2976</v>
      </c>
      <c r="CR176" t="s">
        <v>2466</v>
      </c>
      <c r="CS176" t="s">
        <v>3325</v>
      </c>
      <c r="CT176" t="s">
        <v>3326</v>
      </c>
      <c r="CV176">
        <v>9</v>
      </c>
      <c r="CW176">
        <v>9</v>
      </c>
      <c r="CX176">
        <v>7</v>
      </c>
      <c r="CY176">
        <v>6</v>
      </c>
      <c r="CZ176">
        <v>5</v>
      </c>
      <c r="DA176">
        <v>0.1</v>
      </c>
      <c r="DB176">
        <v>0.1</v>
      </c>
      <c r="DC176">
        <v>0.2</v>
      </c>
      <c r="DD176">
        <v>0.3</v>
      </c>
      <c r="DE176">
        <v>0.3</v>
      </c>
      <c r="DF176">
        <v>0.9</v>
      </c>
      <c r="DG176">
        <v>0.9</v>
      </c>
      <c r="DH176">
        <v>1.4</v>
      </c>
      <c r="DI176">
        <v>1.8</v>
      </c>
      <c r="DJ176">
        <v>1.5</v>
      </c>
      <c r="DK176">
        <v>6.7</v>
      </c>
      <c r="DL176">
        <v>0</v>
      </c>
      <c r="DM176">
        <v>6.7</v>
      </c>
      <c r="DN176">
        <v>9</v>
      </c>
      <c r="DO176">
        <f>AVERAGE(CV176:CZ176)</f>
        <v>7.2</v>
      </c>
      <c r="DQ176">
        <v>8</v>
      </c>
      <c r="DR176" t="s">
        <v>28</v>
      </c>
      <c r="DS176" t="s">
        <v>43</v>
      </c>
      <c r="DT176" t="s">
        <v>227</v>
      </c>
      <c r="DU176" t="s">
        <v>228</v>
      </c>
      <c r="DV176" t="s">
        <v>229</v>
      </c>
      <c r="DW176" t="s">
        <v>3805</v>
      </c>
      <c r="DX176" t="s">
        <v>3770</v>
      </c>
      <c r="DY176" t="s">
        <v>3771</v>
      </c>
      <c r="DZ176" t="s">
        <v>3772</v>
      </c>
      <c r="EA176" t="s">
        <v>3806</v>
      </c>
      <c r="EB176" t="s">
        <v>3807</v>
      </c>
      <c r="EC176" t="s">
        <v>3775</v>
      </c>
      <c r="ED176" t="s">
        <v>3776</v>
      </c>
      <c r="EE176" t="s">
        <v>3946</v>
      </c>
      <c r="EF176" t="s">
        <v>3809</v>
      </c>
      <c r="EG176" t="s">
        <v>3810</v>
      </c>
      <c r="EH176" t="s">
        <v>3811</v>
      </c>
      <c r="EI176" t="s">
        <v>3947</v>
      </c>
      <c r="EJ176" t="s">
        <v>3813</v>
      </c>
      <c r="EK176" t="s">
        <v>3948</v>
      </c>
      <c r="EL176" t="s">
        <v>3815</v>
      </c>
      <c r="EM176" t="s">
        <v>3949</v>
      </c>
      <c r="EN176" t="s">
        <v>3809</v>
      </c>
      <c r="EO176" t="s">
        <v>3950</v>
      </c>
      <c r="EP176" t="s">
        <v>3818</v>
      </c>
      <c r="EQ176">
        <v>7</v>
      </c>
      <c r="ER176">
        <v>8</v>
      </c>
      <c r="ES176">
        <v>8</v>
      </c>
      <c r="ET176">
        <v>8</v>
      </c>
      <c r="EU176">
        <v>8</v>
      </c>
      <c r="EV176">
        <v>0.1</v>
      </c>
      <c r="EW176">
        <v>0.1</v>
      </c>
      <c r="EX176">
        <v>0.2</v>
      </c>
      <c r="EY176">
        <v>0.3</v>
      </c>
      <c r="EZ176">
        <v>0.3</v>
      </c>
      <c r="FA176">
        <f>EV176*EQ176</f>
        <v>0.70000000000000007</v>
      </c>
      <c r="FB176">
        <f>EW176*ER176</f>
        <v>0.8</v>
      </c>
      <c r="FC176">
        <f>EX176*ES176</f>
        <v>1.6</v>
      </c>
      <c r="FD176">
        <f>EY176*ET176</f>
        <v>2.4</v>
      </c>
      <c r="FE176">
        <f>EZ176*EU176</f>
        <v>2.4</v>
      </c>
      <c r="FF176">
        <v>15</v>
      </c>
      <c r="FG176">
        <v>0</v>
      </c>
      <c r="FH176">
        <v>15</v>
      </c>
      <c r="FI176">
        <f>FA176+FB176+FC176+FD176+FE176</f>
        <v>7.9</v>
      </c>
      <c r="FJ176">
        <f>MEDIAN(EQ176:EU176)</f>
        <v>8</v>
      </c>
      <c r="FL176">
        <v>81.739999999999995</v>
      </c>
      <c r="FM176">
        <v>6.4</v>
      </c>
      <c r="FN176" t="s">
        <v>1587</v>
      </c>
      <c r="FO176" t="s">
        <v>1588</v>
      </c>
      <c r="FP176" t="s">
        <v>1589</v>
      </c>
      <c r="FQ176" t="s">
        <v>1590</v>
      </c>
      <c r="FR176" t="s">
        <v>1591</v>
      </c>
      <c r="FS176">
        <v>9</v>
      </c>
      <c r="FT176">
        <v>8.5</v>
      </c>
      <c r="FU176">
        <v>8</v>
      </c>
      <c r="FV176">
        <v>7.5</v>
      </c>
      <c r="FW176">
        <v>6.5</v>
      </c>
      <c r="FX176">
        <v>0.1</v>
      </c>
      <c r="FY176">
        <v>0.1</v>
      </c>
      <c r="FZ176">
        <v>0.2</v>
      </c>
      <c r="GA176">
        <v>0.3</v>
      </c>
      <c r="GB176">
        <v>0.3</v>
      </c>
      <c r="GC176">
        <f>FS176*FX176</f>
        <v>0.9</v>
      </c>
      <c r="GD176">
        <f>FT176*FY176</f>
        <v>0.85000000000000009</v>
      </c>
      <c r="GE176">
        <f>FU176*FZ176</f>
        <v>1.6</v>
      </c>
      <c r="GF176">
        <f>FV176*GA176</f>
        <v>2.25</v>
      </c>
      <c r="GG176">
        <f>FW176*GB176</f>
        <v>1.95</v>
      </c>
      <c r="GH176">
        <v>6.4</v>
      </c>
      <c r="GI176">
        <v>0</v>
      </c>
      <c r="GJ176">
        <v>6.4</v>
      </c>
      <c r="GK176">
        <f>GC176+GD176+GE176+GF176+GG176</f>
        <v>7.55</v>
      </c>
      <c r="GL176">
        <f>MEDIAN(FS176:FW176)</f>
        <v>8</v>
      </c>
    </row>
    <row r="177" spans="1:194" hidden="1" x14ac:dyDescent="0.25">
      <c r="A177">
        <v>176</v>
      </c>
      <c r="B177" t="s">
        <v>2</v>
      </c>
      <c r="C177" s="4">
        <v>88.8</v>
      </c>
      <c r="D177">
        <v>3.7</v>
      </c>
      <c r="E177" s="1">
        <f>C177/3/D177</f>
        <v>7.9999999999999991</v>
      </c>
      <c r="G177">
        <v>98.82</v>
      </c>
      <c r="H177">
        <v>8.1999999999999993</v>
      </c>
      <c r="I177">
        <f>H177*D177*3</f>
        <v>91.02</v>
      </c>
      <c r="J177">
        <v>23.41</v>
      </c>
      <c r="K177">
        <v>8.6999999999999993</v>
      </c>
      <c r="L177" s="3">
        <f>K177*3*D177</f>
        <v>96.57</v>
      </c>
      <c r="M177">
        <v>4.34</v>
      </c>
      <c r="N177">
        <v>8</v>
      </c>
      <c r="O177">
        <f>N177*D177*3</f>
        <v>88.800000000000011</v>
      </c>
      <c r="P177" s="5">
        <v>8</v>
      </c>
      <c r="Q177" s="5">
        <f>P177*D177*3</f>
        <v>88.800000000000011</v>
      </c>
      <c r="S177" t="s">
        <v>6309</v>
      </c>
      <c r="T177">
        <v>7.5</v>
      </c>
      <c r="U177" s="8">
        <f>T177*D177*3</f>
        <v>83.25</v>
      </c>
      <c r="V177">
        <v>30.31</v>
      </c>
      <c r="W177">
        <v>8.6999999999999993</v>
      </c>
      <c r="X177" s="5">
        <f>W177*D177*3</f>
        <v>96.57</v>
      </c>
      <c r="Y177">
        <v>9.48</v>
      </c>
      <c r="Z177">
        <v>7.5</v>
      </c>
      <c r="AA177">
        <f>Z177*D177*3</f>
        <v>83.25</v>
      </c>
      <c r="AC177">
        <v>49.95</v>
      </c>
      <c r="AD177">
        <v>7.9</v>
      </c>
      <c r="AE177" s="1">
        <f>AD177*3*D177</f>
        <v>87.690000000000012</v>
      </c>
      <c r="AF177">
        <v>12.26</v>
      </c>
      <c r="AG177" s="5">
        <v>7</v>
      </c>
      <c r="AH177" s="5">
        <f>AG177*D177*3</f>
        <v>77.7</v>
      </c>
      <c r="AI177" s="13"/>
      <c r="AJ177">
        <v>0.8</v>
      </c>
      <c r="AK177" s="8">
        <f>AJ177*D177*3</f>
        <v>8.8800000000000008</v>
      </c>
      <c r="AL177" s="13"/>
      <c r="AM177">
        <v>31.14</v>
      </c>
      <c r="AN177">
        <v>7</v>
      </c>
      <c r="AO177" s="8">
        <f>AN177*D177*3</f>
        <v>77.7</v>
      </c>
      <c r="AP177">
        <v>12.15</v>
      </c>
      <c r="AQ177">
        <v>10</v>
      </c>
      <c r="AR177">
        <f>AQ177*D177*3</f>
        <v>111</v>
      </c>
      <c r="AT177">
        <v>9</v>
      </c>
      <c r="AU177">
        <f>AT177*D177*3</f>
        <v>99.9</v>
      </c>
      <c r="AW177">
        <v>23.26</v>
      </c>
      <c r="AX177">
        <v>8.8000000000000007</v>
      </c>
      <c r="AY177">
        <f>AX177*D177*3</f>
        <v>97.68</v>
      </c>
      <c r="AZ177">
        <v>23.26</v>
      </c>
      <c r="BA177">
        <v>8</v>
      </c>
      <c r="BB177">
        <f>BA177*D177*3</f>
        <v>88.800000000000011</v>
      </c>
      <c r="BD177">
        <v>8.9</v>
      </c>
      <c r="BE177">
        <f>BD177*D177*3</f>
        <v>98.789999999999992</v>
      </c>
      <c r="BG177" s="10"/>
      <c r="BH177" s="1">
        <f>CHOOSE(MATCH(MIN(ABS(BP177-C177),ABS(BQ177-C177),ABS(BR177-C177)),CHOOSE({1;2;3},ABS(BP177-C177),ABS(BQ177-C177),ABS(BR177-C177)),0),BP177,BQ177,BR177)</f>
        <v>88.800000000000011</v>
      </c>
      <c r="BJ177" s="1" cm="1">
        <f t="array" ref="BJ177">(INDEX(_xlfn._xlws.SORT(CHOOSE({1;2;3;4;5;6},BQ177,BR177,L177,AE177,BO177,BP177)),3) + INDEX(_xlfn._xlws.SORT(CHOOSE({1;2;3;4;5;6},BQ177,BR177,L177,AE177,BO177,BP177)),4))/2</f>
        <v>97.125</v>
      </c>
      <c r="BK177">
        <v>7.9864453202515202</v>
      </c>
      <c r="BL177" t="s">
        <v>6117</v>
      </c>
      <c r="BM177" s="1">
        <f>BK177*3*D177</f>
        <v>88.649543054791877</v>
      </c>
      <c r="BN177" s="1">
        <f>BM177-C177</f>
        <v>-0.15045694520811992</v>
      </c>
      <c r="BO177" s="1">
        <f>GK177*3*D177</f>
        <v>97.68</v>
      </c>
      <c r="BP177" s="1">
        <f>DO177*3*D177</f>
        <v>99.9</v>
      </c>
      <c r="BQ177" s="1">
        <f>FJ177*3*D177</f>
        <v>88.800000000000011</v>
      </c>
      <c r="BR177" s="1">
        <f>GL177*3*D177</f>
        <v>111</v>
      </c>
      <c r="BT177">
        <v>98.82</v>
      </c>
      <c r="BU177">
        <v>8.1999999999999993</v>
      </c>
      <c r="BV177" t="s">
        <v>5579</v>
      </c>
      <c r="BW177" t="s">
        <v>5214</v>
      </c>
      <c r="BX177" t="s">
        <v>5580</v>
      </c>
      <c r="BY177" t="s">
        <v>5581</v>
      </c>
      <c r="BZ177" t="s">
        <v>5582</v>
      </c>
      <c r="CA177" t="s">
        <v>2978</v>
      </c>
      <c r="CC177" t="s">
        <v>2585</v>
      </c>
      <c r="CD177" t="s">
        <v>2453</v>
      </c>
      <c r="CE177" t="s">
        <v>3233</v>
      </c>
      <c r="CG177" t="s">
        <v>2455</v>
      </c>
      <c r="CH177" t="s">
        <v>2456</v>
      </c>
      <c r="CI177" t="s">
        <v>3234</v>
      </c>
      <c r="CK177" t="s">
        <v>3235</v>
      </c>
      <c r="CL177" t="s">
        <v>2460</v>
      </c>
      <c r="CM177" t="s">
        <v>3236</v>
      </c>
      <c r="CO177" t="s">
        <v>2447</v>
      </c>
      <c r="CP177" t="s">
        <v>2464</v>
      </c>
      <c r="CQ177" t="s">
        <v>3237</v>
      </c>
      <c r="CS177" t="s">
        <v>2450</v>
      </c>
      <c r="CT177" t="s">
        <v>2468</v>
      </c>
      <c r="CV177">
        <v>9</v>
      </c>
      <c r="CW177">
        <v>9</v>
      </c>
      <c r="CX177">
        <v>9</v>
      </c>
      <c r="CY177">
        <v>9</v>
      </c>
      <c r="CZ177">
        <v>9</v>
      </c>
      <c r="DA177">
        <v>0.1</v>
      </c>
      <c r="DB177">
        <v>0.1</v>
      </c>
      <c r="DC177">
        <v>0.2</v>
      </c>
      <c r="DD177">
        <v>0.3</v>
      </c>
      <c r="DE177">
        <v>0.3</v>
      </c>
      <c r="DF177">
        <v>0.9</v>
      </c>
      <c r="DG177">
        <v>0.9</v>
      </c>
      <c r="DH177">
        <v>1.8</v>
      </c>
      <c r="DI177">
        <v>2.7</v>
      </c>
      <c r="DJ177">
        <v>2.7</v>
      </c>
      <c r="DK177">
        <v>8.1999999999999993</v>
      </c>
      <c r="DL177">
        <v>0</v>
      </c>
      <c r="DM177">
        <v>8.1999999999999993</v>
      </c>
      <c r="DN177">
        <v>8.6999999999999993</v>
      </c>
      <c r="DO177">
        <f>AVERAGE(CV177:CZ177)</f>
        <v>9</v>
      </c>
      <c r="DQ177">
        <v>15</v>
      </c>
      <c r="DR177" t="s">
        <v>47</v>
      </c>
      <c r="DS177" t="s">
        <v>53</v>
      </c>
      <c r="DT177" t="s">
        <v>368</v>
      </c>
      <c r="DU177" t="s">
        <v>321</v>
      </c>
      <c r="DV177" t="s">
        <v>369</v>
      </c>
      <c r="DW177" t="s">
        <v>3805</v>
      </c>
      <c r="DX177" t="s">
        <v>3770</v>
      </c>
      <c r="DY177" t="s">
        <v>3771</v>
      </c>
      <c r="DZ177" t="s">
        <v>3772</v>
      </c>
      <c r="EA177" t="s">
        <v>3806</v>
      </c>
      <c r="EB177" t="s">
        <v>3807</v>
      </c>
      <c r="EC177" t="s">
        <v>3775</v>
      </c>
      <c r="ED177" t="s">
        <v>3776</v>
      </c>
      <c r="EE177" t="s">
        <v>4567</v>
      </c>
      <c r="EF177" t="s">
        <v>3967</v>
      </c>
      <c r="EG177" t="s">
        <v>3810</v>
      </c>
      <c r="EH177" t="s">
        <v>4568</v>
      </c>
      <c r="EI177" t="s">
        <v>3820</v>
      </c>
      <c r="EJ177" t="s">
        <v>3813</v>
      </c>
      <c r="EK177" t="s">
        <v>4569</v>
      </c>
      <c r="EL177" t="s">
        <v>3815</v>
      </c>
      <c r="EM177" t="s">
        <v>3816</v>
      </c>
      <c r="EN177" t="s">
        <v>3967</v>
      </c>
      <c r="EO177" t="s">
        <v>4252</v>
      </c>
      <c r="EP177" t="s">
        <v>4570</v>
      </c>
      <c r="EQ177">
        <v>7</v>
      </c>
      <c r="ER177">
        <v>8</v>
      </c>
      <c r="ES177">
        <v>8</v>
      </c>
      <c r="ET177">
        <v>8</v>
      </c>
      <c r="EU177">
        <v>8</v>
      </c>
      <c r="EV177">
        <v>0.1</v>
      </c>
      <c r="EW177">
        <v>0.1</v>
      </c>
      <c r="EX177">
        <v>0.2</v>
      </c>
      <c r="EY177">
        <v>0.3</v>
      </c>
      <c r="EZ177">
        <v>0.3</v>
      </c>
      <c r="FA177">
        <f>EV177*EQ177</f>
        <v>0.70000000000000007</v>
      </c>
      <c r="FB177">
        <f>EW177*ER177</f>
        <v>0.8</v>
      </c>
      <c r="FC177">
        <f>EX177*ES177</f>
        <v>1.6</v>
      </c>
      <c r="FD177">
        <f>EY177*ET177</f>
        <v>2.4</v>
      </c>
      <c r="FE177">
        <f>EZ177*EU177</f>
        <v>2.4</v>
      </c>
      <c r="FF177">
        <v>15</v>
      </c>
      <c r="FG177">
        <v>0</v>
      </c>
      <c r="FH177">
        <v>15</v>
      </c>
      <c r="FI177">
        <f>FA177+FB177+FC177+FD177+FE177</f>
        <v>7.9</v>
      </c>
      <c r="FJ177">
        <f>MEDIAN(EQ177:EU177)</f>
        <v>8</v>
      </c>
      <c r="FL177">
        <v>89.99</v>
      </c>
      <c r="FM177">
        <v>10</v>
      </c>
      <c r="FN177" t="s">
        <v>1434</v>
      </c>
      <c r="FO177" t="s">
        <v>1435</v>
      </c>
      <c r="FP177" t="s">
        <v>1436</v>
      </c>
      <c r="FQ177" t="s">
        <v>1437</v>
      </c>
      <c r="FR177" t="s">
        <v>1438</v>
      </c>
      <c r="FS177">
        <v>10</v>
      </c>
      <c r="FT177">
        <v>10</v>
      </c>
      <c r="FU177">
        <v>10</v>
      </c>
      <c r="FV177">
        <v>8.5</v>
      </c>
      <c r="FW177">
        <v>7.5</v>
      </c>
      <c r="FX177">
        <v>0.1</v>
      </c>
      <c r="FY177">
        <v>0.1</v>
      </c>
      <c r="FZ177">
        <v>0.2</v>
      </c>
      <c r="GA177">
        <v>0.3</v>
      </c>
      <c r="GB177">
        <v>0.3</v>
      </c>
      <c r="GC177">
        <f>FS177*FX177</f>
        <v>1</v>
      </c>
      <c r="GD177">
        <f>FT177*FY177</f>
        <v>1</v>
      </c>
      <c r="GE177">
        <f>FU177*FZ177</f>
        <v>2</v>
      </c>
      <c r="GF177">
        <f>FV177*GA177</f>
        <v>2.5499999999999998</v>
      </c>
      <c r="GG177">
        <f>FW177*GB177</f>
        <v>2.25</v>
      </c>
      <c r="GH177">
        <v>9.8000000000000007</v>
      </c>
      <c r="GI177">
        <v>0.2</v>
      </c>
      <c r="GJ177">
        <v>10</v>
      </c>
      <c r="GK177">
        <f>GC177+GD177+GE177+GF177+GG177</f>
        <v>8.8000000000000007</v>
      </c>
      <c r="GL177">
        <f>MEDIAN(FS177:FW177)</f>
        <v>10</v>
      </c>
    </row>
    <row r="178" spans="1:194" hidden="1" x14ac:dyDescent="0.25">
      <c r="A178">
        <v>177</v>
      </c>
      <c r="B178" t="s">
        <v>2</v>
      </c>
      <c r="C178" s="4">
        <v>88.8</v>
      </c>
      <c r="D178">
        <v>3.7</v>
      </c>
      <c r="E178" s="1">
        <f>C178/3/D178</f>
        <v>7.9999999999999991</v>
      </c>
      <c r="G178">
        <v>84.92</v>
      </c>
      <c r="H178">
        <v>8.1999999999999993</v>
      </c>
      <c r="I178">
        <f>H178*D178*3</f>
        <v>91.02</v>
      </c>
      <c r="J178">
        <v>16.45</v>
      </c>
      <c r="K178">
        <v>9</v>
      </c>
      <c r="L178" s="3">
        <f>K178*3*D178</f>
        <v>99.9</v>
      </c>
      <c r="M178">
        <v>5.62</v>
      </c>
      <c r="N178">
        <v>5</v>
      </c>
      <c r="O178">
        <f>N178*D178*3</f>
        <v>55.5</v>
      </c>
      <c r="P178" s="5">
        <v>8.6999999999999993</v>
      </c>
      <c r="Q178" s="5">
        <f>P178*D178*3</f>
        <v>96.57</v>
      </c>
      <c r="S178" t="s">
        <v>6310</v>
      </c>
      <c r="T178">
        <v>7.2</v>
      </c>
      <c r="U178" s="8">
        <f>T178*D178*3</f>
        <v>79.92</v>
      </c>
      <c r="V178">
        <v>31.05</v>
      </c>
      <c r="W178">
        <v>8.4</v>
      </c>
      <c r="X178" s="5">
        <f>W178*D178*3</f>
        <v>93.240000000000009</v>
      </c>
      <c r="Y178">
        <v>9.6</v>
      </c>
      <c r="Z178">
        <v>7.5</v>
      </c>
      <c r="AA178">
        <f>Z178*D178*3</f>
        <v>83.25</v>
      </c>
      <c r="AC178">
        <v>47.95</v>
      </c>
      <c r="AD178">
        <v>7.9</v>
      </c>
      <c r="AE178" s="1">
        <f>AD178*3*D178</f>
        <v>87.690000000000012</v>
      </c>
      <c r="AF178">
        <v>11.94</v>
      </c>
      <c r="AG178" s="5">
        <v>7</v>
      </c>
      <c r="AH178" s="5">
        <f>AG178*D178*3</f>
        <v>77.7</v>
      </c>
      <c r="AI178" s="13"/>
      <c r="AJ178">
        <v>8.1</v>
      </c>
      <c r="AK178" s="8">
        <f>AJ178*D178*3</f>
        <v>89.91</v>
      </c>
      <c r="AL178" s="13"/>
      <c r="AM178">
        <v>30.3</v>
      </c>
      <c r="AN178">
        <v>7.2</v>
      </c>
      <c r="AO178" s="8">
        <f>AN178*D178*3</f>
        <v>79.92</v>
      </c>
      <c r="AP178">
        <v>12.24</v>
      </c>
      <c r="AQ178">
        <v>10</v>
      </c>
      <c r="AR178">
        <f>AQ178*D178*3</f>
        <v>111</v>
      </c>
      <c r="AT178">
        <v>9</v>
      </c>
      <c r="AU178">
        <f>AT178*D178*3</f>
        <v>99.9</v>
      </c>
      <c r="AW178">
        <v>23.86</v>
      </c>
      <c r="AX178">
        <v>8.6</v>
      </c>
      <c r="AY178">
        <f>AX178*D178*3</f>
        <v>95.460000000000008</v>
      </c>
      <c r="AZ178">
        <v>23.86</v>
      </c>
      <c r="BA178">
        <v>9</v>
      </c>
      <c r="BB178">
        <f>BA178*D178*3</f>
        <v>99.9</v>
      </c>
      <c r="BD178">
        <v>8.9</v>
      </c>
      <c r="BE178">
        <f>BD178*D178*3</f>
        <v>98.789999999999992</v>
      </c>
      <c r="BG178" s="10"/>
      <c r="BH178" s="1">
        <f>CHOOSE(MATCH(MIN(ABS(BP178-C178),ABS(BQ178-C178),ABS(BR178-C178)),CHOOSE({1;2;3},ABS(BP178-C178),ABS(BQ178-C178),ABS(BR178-C178)),0),BP178,BQ178,BR178)</f>
        <v>88.800000000000011</v>
      </c>
      <c r="BJ178" s="1" cm="1">
        <f t="array" ref="BJ178">(INDEX(_xlfn._xlws.SORT(CHOOSE({1;2;3;4;5;6},BQ178,BR178,L178,AE178,BO178,BP178)),3) + INDEX(_xlfn._xlws.SORT(CHOOSE({1;2;3;4;5;6},BQ178,BR178,L178,AE178,BO178,BP178)),4))/2</f>
        <v>99.9</v>
      </c>
      <c r="BK178">
        <v>7.9681057109799003</v>
      </c>
      <c r="BL178" t="s">
        <v>6117</v>
      </c>
      <c r="BM178" s="1">
        <f>BK178*3*D178</f>
        <v>88.445973391876905</v>
      </c>
      <c r="BN178" s="1">
        <f>BM178-C178</f>
        <v>-0.3540266081230925</v>
      </c>
      <c r="BO178" s="1">
        <f>GK178*3*D178</f>
        <v>106.00500000000001</v>
      </c>
      <c r="BP178" s="1">
        <f>DO178*3*D178</f>
        <v>99.9</v>
      </c>
      <c r="BQ178" s="1">
        <f>FJ178*3*D178</f>
        <v>88.800000000000011</v>
      </c>
      <c r="BR178" s="1">
        <f>GL178*3*D178</f>
        <v>111</v>
      </c>
      <c r="BT178">
        <v>84.92</v>
      </c>
      <c r="BU178">
        <v>8.1999999999999993</v>
      </c>
      <c r="BV178" t="s">
        <v>5235</v>
      </c>
      <c r="BW178" t="s">
        <v>5082</v>
      </c>
      <c r="BX178" t="s">
        <v>5583</v>
      </c>
      <c r="BY178" t="s">
        <v>5483</v>
      </c>
      <c r="BZ178" t="s">
        <v>5584</v>
      </c>
      <c r="CA178" t="s">
        <v>2723</v>
      </c>
      <c r="CC178" t="s">
        <v>2842</v>
      </c>
      <c r="CD178" t="s">
        <v>2439</v>
      </c>
      <c r="CE178" t="s">
        <v>2440</v>
      </c>
      <c r="CG178" t="s">
        <v>3023</v>
      </c>
      <c r="CH178" t="s">
        <v>2648</v>
      </c>
      <c r="CI178" t="s">
        <v>2443</v>
      </c>
      <c r="CK178" t="s">
        <v>3024</v>
      </c>
      <c r="CL178" t="s">
        <v>3025</v>
      </c>
      <c r="CM178" t="s">
        <v>2446</v>
      </c>
      <c r="CO178" t="s">
        <v>3026</v>
      </c>
      <c r="CP178" t="s">
        <v>2652</v>
      </c>
      <c r="CQ178" t="s">
        <v>2449</v>
      </c>
      <c r="CS178" t="s">
        <v>3027</v>
      </c>
      <c r="CT178" t="s">
        <v>3028</v>
      </c>
      <c r="CV178">
        <v>9</v>
      </c>
      <c r="CW178">
        <v>9</v>
      </c>
      <c r="CX178">
        <v>9</v>
      </c>
      <c r="CY178">
        <v>9</v>
      </c>
      <c r="CZ178">
        <v>9</v>
      </c>
      <c r="DA178">
        <v>0.1</v>
      </c>
      <c r="DB178">
        <v>0.1</v>
      </c>
      <c r="DC178">
        <v>0.2</v>
      </c>
      <c r="DD178">
        <v>0.3</v>
      </c>
      <c r="DE178">
        <v>0.3</v>
      </c>
      <c r="DF178">
        <v>0.9</v>
      </c>
      <c r="DG178">
        <v>0.9</v>
      </c>
      <c r="DH178">
        <v>1.8</v>
      </c>
      <c r="DI178">
        <v>2.7</v>
      </c>
      <c r="DJ178">
        <v>2.7</v>
      </c>
      <c r="DK178">
        <v>8.1999999999999993</v>
      </c>
      <c r="DL178">
        <v>0</v>
      </c>
      <c r="DM178">
        <v>8.1999999999999993</v>
      </c>
      <c r="DN178">
        <v>9</v>
      </c>
      <c r="DO178">
        <f>AVERAGE(CV178:CZ178)</f>
        <v>9</v>
      </c>
      <c r="DQ178">
        <v>15</v>
      </c>
      <c r="DR178" t="s">
        <v>213</v>
      </c>
      <c r="DS178" t="s">
        <v>29</v>
      </c>
      <c r="DT178" t="s">
        <v>335</v>
      </c>
      <c r="DU178" t="s">
        <v>58</v>
      </c>
      <c r="DV178" t="s">
        <v>370</v>
      </c>
      <c r="DW178" t="s">
        <v>3805</v>
      </c>
      <c r="DX178" t="s">
        <v>3770</v>
      </c>
      <c r="DY178" t="s">
        <v>3771</v>
      </c>
      <c r="DZ178" t="s">
        <v>3772</v>
      </c>
      <c r="EA178" t="s">
        <v>3806</v>
      </c>
      <c r="EB178" t="s">
        <v>3807</v>
      </c>
      <c r="EC178" t="s">
        <v>3775</v>
      </c>
      <c r="ED178" t="s">
        <v>3776</v>
      </c>
      <c r="EE178" t="s">
        <v>3819</v>
      </c>
      <c r="EF178" t="s">
        <v>3809</v>
      </c>
      <c r="EG178" t="s">
        <v>3810</v>
      </c>
      <c r="EH178" t="s">
        <v>3811</v>
      </c>
      <c r="EI178" t="s">
        <v>3820</v>
      </c>
      <c r="EJ178" t="s">
        <v>3813</v>
      </c>
      <c r="EK178" t="s">
        <v>4241</v>
      </c>
      <c r="EL178" t="s">
        <v>3815</v>
      </c>
      <c r="EM178" t="s">
        <v>4571</v>
      </c>
      <c r="EN178" t="s">
        <v>4050</v>
      </c>
      <c r="EO178" t="s">
        <v>4572</v>
      </c>
      <c r="EP178" t="s">
        <v>3857</v>
      </c>
      <c r="EQ178">
        <v>7</v>
      </c>
      <c r="ER178">
        <v>8</v>
      </c>
      <c r="ES178">
        <v>8</v>
      </c>
      <c r="ET178">
        <v>8</v>
      </c>
      <c r="EU178">
        <v>8</v>
      </c>
      <c r="EV178">
        <v>0.1</v>
      </c>
      <c r="EW178">
        <v>0.1</v>
      </c>
      <c r="EX178">
        <v>0.2</v>
      </c>
      <c r="EY178">
        <v>0.3</v>
      </c>
      <c r="EZ178">
        <v>0.3</v>
      </c>
      <c r="FA178">
        <f>EV178*EQ178</f>
        <v>0.70000000000000007</v>
      </c>
      <c r="FB178">
        <f>EW178*ER178</f>
        <v>0.8</v>
      </c>
      <c r="FC178">
        <f>EX178*ES178</f>
        <v>1.6</v>
      </c>
      <c r="FD178">
        <f>EY178*ET178</f>
        <v>2.4</v>
      </c>
      <c r="FE178">
        <f>EZ178*EU178</f>
        <v>2.4</v>
      </c>
      <c r="FF178">
        <v>15</v>
      </c>
      <c r="FG178">
        <v>0</v>
      </c>
      <c r="FH178">
        <v>15</v>
      </c>
      <c r="FI178">
        <f>FA178+FB178+FC178+FD178+FE178</f>
        <v>7.9</v>
      </c>
      <c r="FJ178">
        <f>MEDIAN(EQ178:EU178)</f>
        <v>8</v>
      </c>
      <c r="FL178">
        <v>78.209999999999994</v>
      </c>
      <c r="FM178">
        <v>9.5</v>
      </c>
      <c r="FN178" t="s">
        <v>1150</v>
      </c>
      <c r="FO178" t="s">
        <v>1439</v>
      </c>
      <c r="FP178" t="s">
        <v>1440</v>
      </c>
      <c r="FQ178" t="s">
        <v>1441</v>
      </c>
      <c r="FR178" t="s">
        <v>1442</v>
      </c>
      <c r="FS178">
        <v>10</v>
      </c>
      <c r="FT178">
        <v>10</v>
      </c>
      <c r="FU178">
        <v>10</v>
      </c>
      <c r="FV178">
        <v>10</v>
      </c>
      <c r="FW178">
        <v>8.5</v>
      </c>
      <c r="FX178">
        <v>0.1</v>
      </c>
      <c r="FY178">
        <v>0.1</v>
      </c>
      <c r="FZ178">
        <v>0.2</v>
      </c>
      <c r="GA178">
        <v>0.3</v>
      </c>
      <c r="GB178">
        <v>0.3</v>
      </c>
      <c r="GC178">
        <f>FS178*FX178</f>
        <v>1</v>
      </c>
      <c r="GD178">
        <f>FT178*FY178</f>
        <v>1</v>
      </c>
      <c r="GE178">
        <f>FU178*FZ178</f>
        <v>2</v>
      </c>
      <c r="GF178">
        <f>FV178*GA178</f>
        <v>3</v>
      </c>
      <c r="GG178">
        <f>FW178*GB178</f>
        <v>2.5499999999999998</v>
      </c>
      <c r="GH178">
        <v>10</v>
      </c>
      <c r="GI178">
        <v>0</v>
      </c>
      <c r="GJ178">
        <v>9.5</v>
      </c>
      <c r="GK178">
        <f>GC178+GD178+GE178+GF178+GG178</f>
        <v>9.5500000000000007</v>
      </c>
      <c r="GL178">
        <f>MEDIAN(FS178:FW178)</f>
        <v>10</v>
      </c>
    </row>
    <row r="179" spans="1:194" hidden="1" x14ac:dyDescent="0.25">
      <c r="A179">
        <v>178</v>
      </c>
      <c r="B179" t="s">
        <v>2</v>
      </c>
      <c r="C179" s="4">
        <v>81</v>
      </c>
      <c r="D179">
        <v>3.6</v>
      </c>
      <c r="E179" s="1">
        <f>C179/3/D179</f>
        <v>7.5</v>
      </c>
      <c r="G179">
        <v>84.79</v>
      </c>
      <c r="H179">
        <v>8.1999999999999993</v>
      </c>
      <c r="I179">
        <f>H179*D179*3</f>
        <v>88.56</v>
      </c>
      <c r="J179">
        <v>18.13</v>
      </c>
      <c r="K179">
        <v>9</v>
      </c>
      <c r="L179" s="3">
        <f>K179*3*D179</f>
        <v>97.2</v>
      </c>
      <c r="M179">
        <v>4.74</v>
      </c>
      <c r="N179">
        <v>5.4</v>
      </c>
      <c r="O179">
        <f>N179*D179*3</f>
        <v>58.320000000000007</v>
      </c>
      <c r="P179" s="5">
        <v>7.2</v>
      </c>
      <c r="Q179" s="5">
        <f>P179*D179*3</f>
        <v>77.760000000000005</v>
      </c>
      <c r="S179" t="s">
        <v>6311</v>
      </c>
      <c r="T179">
        <v>7.3</v>
      </c>
      <c r="U179" s="8">
        <f>T179*D179*3</f>
        <v>78.84</v>
      </c>
      <c r="V179">
        <v>32.39</v>
      </c>
      <c r="W179">
        <v>8</v>
      </c>
      <c r="X179" s="5">
        <f>W179*D179*3</f>
        <v>86.4</v>
      </c>
      <c r="Y179">
        <v>11.49</v>
      </c>
      <c r="Z179">
        <v>7.6</v>
      </c>
      <c r="AA179">
        <f>Z179*D179*3</f>
        <v>82.08</v>
      </c>
      <c r="AC179">
        <v>49.2</v>
      </c>
      <c r="AD179">
        <v>8</v>
      </c>
      <c r="AE179" s="1">
        <f>AD179*3*D179</f>
        <v>86.4</v>
      </c>
      <c r="AF179">
        <v>11.91</v>
      </c>
      <c r="AG179" s="5">
        <v>7</v>
      </c>
      <c r="AH179" s="5">
        <f>AG179*D179*3</f>
        <v>75.599999999999994</v>
      </c>
      <c r="AI179" s="13"/>
      <c r="AJ179">
        <v>8.6999999999999993</v>
      </c>
      <c r="AK179" s="8">
        <f>AJ179*D179*3</f>
        <v>93.96</v>
      </c>
      <c r="AL179" s="13"/>
      <c r="AM179">
        <v>32.47</v>
      </c>
      <c r="AN179">
        <v>7.2</v>
      </c>
      <c r="AO179" s="8">
        <f>AN179*D179*3</f>
        <v>77.760000000000005</v>
      </c>
      <c r="AP179">
        <v>14.57</v>
      </c>
      <c r="AQ179">
        <v>10</v>
      </c>
      <c r="AR179">
        <f>AQ179*D179*3</f>
        <v>108</v>
      </c>
      <c r="AT179">
        <v>8.8000000000000007</v>
      </c>
      <c r="AU179">
        <f>AT179*D179*3</f>
        <v>95.04</v>
      </c>
      <c r="AW179">
        <v>25.51</v>
      </c>
      <c r="AX179">
        <v>9.3000000000000007</v>
      </c>
      <c r="AY179">
        <f>AX179*D179*3</f>
        <v>100.44000000000001</v>
      </c>
      <c r="AZ179">
        <v>25.51</v>
      </c>
      <c r="BA179">
        <v>9</v>
      </c>
      <c r="BB179">
        <f>BA179*D179*3</f>
        <v>97.199999999999989</v>
      </c>
      <c r="BD179">
        <v>8.9</v>
      </c>
      <c r="BE179">
        <f>BD179*D179*3</f>
        <v>96.12</v>
      </c>
      <c r="BG179" s="10"/>
      <c r="BH179" s="1">
        <f>CHOOSE(MATCH(MIN(ABS(BP179-C179),ABS(BQ179-C179),ABS(BR179-C179)),CHOOSE({1;2;3},ABS(BP179-C179),ABS(BQ179-C179),ABS(BR179-C179)),0),BP179,BQ179,BR179)</f>
        <v>86.4</v>
      </c>
      <c r="BJ179" s="1" cm="1">
        <f t="array" ref="BJ179">(INDEX(_xlfn._xlws.SORT(CHOOSE({1;2;3;4;5;6},BQ179,BR179,L179,AE179,BO179,BP179)),3) + INDEX(_xlfn._xlws.SORT(CHOOSE({1;2;3;4;5;6},BQ179,BR179,L179,AE179,BO179,BP179)),4))/2</f>
        <v>86.4</v>
      </c>
      <c r="BK179">
        <v>7.5497297994068502</v>
      </c>
      <c r="BL179" t="s">
        <v>6117</v>
      </c>
      <c r="BM179" s="1">
        <f>BK179*3*D179</f>
        <v>81.537081833593987</v>
      </c>
      <c r="BN179" s="1">
        <f>BM179-C179</f>
        <v>0.53708183359398731</v>
      </c>
      <c r="BO179" s="1">
        <f>GK179*3*D179</f>
        <v>58.320000000000014</v>
      </c>
      <c r="BP179" s="1">
        <f>DO179*3*D179</f>
        <v>97.2</v>
      </c>
      <c r="BQ179" s="1">
        <f>FJ179*3*D179</f>
        <v>86.4</v>
      </c>
      <c r="BR179" s="1">
        <f>GL179*3*D179</f>
        <v>64.8</v>
      </c>
      <c r="BT179">
        <v>84.79</v>
      </c>
      <c r="BU179">
        <v>8.1999999999999993</v>
      </c>
      <c r="BV179" t="s">
        <v>5585</v>
      </c>
      <c r="BW179" t="s">
        <v>5586</v>
      </c>
      <c r="BX179" t="s">
        <v>5587</v>
      </c>
      <c r="BY179" t="s">
        <v>5588</v>
      </c>
      <c r="BZ179" t="s">
        <v>5589</v>
      </c>
      <c r="CA179" t="s">
        <v>2550</v>
      </c>
      <c r="CC179" t="s">
        <v>2551</v>
      </c>
      <c r="CD179" t="s">
        <v>2552</v>
      </c>
      <c r="CE179" t="s">
        <v>2553</v>
      </c>
      <c r="CG179" t="s">
        <v>2424</v>
      </c>
      <c r="CH179" t="s">
        <v>2554</v>
      </c>
      <c r="CI179" t="s">
        <v>2555</v>
      </c>
      <c r="CK179" t="s">
        <v>2556</v>
      </c>
      <c r="CL179" t="s">
        <v>2557</v>
      </c>
      <c r="CM179" t="s">
        <v>2558</v>
      </c>
      <c r="CO179" t="s">
        <v>2431</v>
      </c>
      <c r="CP179" t="s">
        <v>2559</v>
      </c>
      <c r="CQ179" t="s">
        <v>2836</v>
      </c>
      <c r="CS179" t="s">
        <v>2435</v>
      </c>
      <c r="CT179" t="s">
        <v>2562</v>
      </c>
      <c r="CV179">
        <v>9</v>
      </c>
      <c r="CW179">
        <v>9</v>
      </c>
      <c r="CX179">
        <v>9</v>
      </c>
      <c r="CY179">
        <v>9</v>
      </c>
      <c r="CZ179">
        <v>9</v>
      </c>
      <c r="DA179">
        <v>0.1</v>
      </c>
      <c r="DB179">
        <v>0.1</v>
      </c>
      <c r="DC179">
        <v>0.2</v>
      </c>
      <c r="DD179">
        <v>0.3</v>
      </c>
      <c r="DE179">
        <v>0.3</v>
      </c>
      <c r="DF179">
        <v>0.9</v>
      </c>
      <c r="DG179">
        <v>0.9</v>
      </c>
      <c r="DH179">
        <v>1.8</v>
      </c>
      <c r="DI179">
        <v>2.7</v>
      </c>
      <c r="DJ179">
        <v>2.7</v>
      </c>
      <c r="DK179">
        <v>8.1999999999999993</v>
      </c>
      <c r="DL179">
        <v>0</v>
      </c>
      <c r="DM179">
        <v>8.1999999999999993</v>
      </c>
      <c r="DN179">
        <v>9</v>
      </c>
      <c r="DO179">
        <f>AVERAGE(CV179:CZ179)</f>
        <v>9</v>
      </c>
      <c r="DQ179">
        <v>8</v>
      </c>
      <c r="DR179" t="s">
        <v>33</v>
      </c>
      <c r="DS179" t="s">
        <v>223</v>
      </c>
      <c r="DT179" t="s">
        <v>35</v>
      </c>
      <c r="DU179" t="s">
        <v>371</v>
      </c>
      <c r="DV179" t="s">
        <v>200</v>
      </c>
      <c r="DW179" t="s">
        <v>3788</v>
      </c>
      <c r="DX179" t="s">
        <v>3789</v>
      </c>
      <c r="DY179" t="s">
        <v>3790</v>
      </c>
      <c r="DZ179" t="s">
        <v>3791</v>
      </c>
      <c r="EA179" t="s">
        <v>3792</v>
      </c>
      <c r="EB179" t="s">
        <v>3793</v>
      </c>
      <c r="EC179" t="s">
        <v>4261</v>
      </c>
      <c r="ED179" t="s">
        <v>3795</v>
      </c>
      <c r="EE179" t="s">
        <v>3796</v>
      </c>
      <c r="EF179" t="s">
        <v>3797</v>
      </c>
      <c r="EG179" t="s">
        <v>3798</v>
      </c>
      <c r="EH179" t="s">
        <v>3798</v>
      </c>
      <c r="EI179" t="s">
        <v>4194</v>
      </c>
      <c r="EJ179" t="s">
        <v>3800</v>
      </c>
      <c r="EK179" t="s">
        <v>4573</v>
      </c>
      <c r="EL179" t="s">
        <v>4573</v>
      </c>
      <c r="EM179" t="s">
        <v>4227</v>
      </c>
      <c r="EN179" t="s">
        <v>3803</v>
      </c>
      <c r="EO179" t="s">
        <v>4228</v>
      </c>
      <c r="EP179" t="s">
        <v>4262</v>
      </c>
      <c r="EQ179">
        <v>8</v>
      </c>
      <c r="ER179">
        <v>8</v>
      </c>
      <c r="ES179">
        <v>8</v>
      </c>
      <c r="ET179">
        <v>8</v>
      </c>
      <c r="EU179">
        <v>8</v>
      </c>
      <c r="EV179">
        <v>0.1</v>
      </c>
      <c r="EW179">
        <v>0.1</v>
      </c>
      <c r="EX179">
        <v>0.2</v>
      </c>
      <c r="EY179">
        <v>0.3</v>
      </c>
      <c r="EZ179">
        <v>0.3</v>
      </c>
      <c r="FA179">
        <f>EV179*EQ179</f>
        <v>0.8</v>
      </c>
      <c r="FB179">
        <f>EW179*ER179</f>
        <v>0.8</v>
      </c>
      <c r="FC179">
        <f>EX179*ES179</f>
        <v>1.6</v>
      </c>
      <c r="FD179">
        <f>EY179*ET179</f>
        <v>2.4</v>
      </c>
      <c r="FE179">
        <f>EZ179*EU179</f>
        <v>2.4</v>
      </c>
      <c r="FF179">
        <v>16</v>
      </c>
      <c r="FG179">
        <v>0</v>
      </c>
      <c r="FH179">
        <v>8</v>
      </c>
      <c r="FI179">
        <f>FA179+FB179+FC179+FD179+FE179</f>
        <v>8</v>
      </c>
      <c r="FJ179">
        <f>MEDIAN(EQ179:EU179)</f>
        <v>8</v>
      </c>
      <c r="FL179">
        <v>72.34</v>
      </c>
      <c r="FM179">
        <v>9</v>
      </c>
      <c r="FN179" t="s">
        <v>1443</v>
      </c>
      <c r="FO179" t="s">
        <v>1444</v>
      </c>
      <c r="FP179" t="s">
        <v>1445</v>
      </c>
      <c r="FQ179" t="s">
        <v>1446</v>
      </c>
      <c r="FR179" t="s">
        <v>1447</v>
      </c>
      <c r="FS179">
        <v>5</v>
      </c>
      <c r="FT179">
        <v>7</v>
      </c>
      <c r="FU179">
        <v>6</v>
      </c>
      <c r="FV179">
        <v>6</v>
      </c>
      <c r="FW179">
        <v>4</v>
      </c>
      <c r="FX179">
        <v>0.1</v>
      </c>
      <c r="FY179">
        <v>0.1</v>
      </c>
      <c r="FZ179">
        <v>0.2</v>
      </c>
      <c r="GA179">
        <v>0.3</v>
      </c>
      <c r="GB179">
        <v>0.3</v>
      </c>
      <c r="GC179">
        <f>FS179*FX179</f>
        <v>0.5</v>
      </c>
      <c r="GD179">
        <f>FT179*FY179</f>
        <v>0.70000000000000007</v>
      </c>
      <c r="GE179">
        <f>FU179*FZ179</f>
        <v>1.2000000000000002</v>
      </c>
      <c r="GF179">
        <f>FV179*GA179</f>
        <v>1.7999999999999998</v>
      </c>
      <c r="GG179">
        <f>FW179*GB179</f>
        <v>1.2</v>
      </c>
      <c r="GH179">
        <v>9</v>
      </c>
      <c r="GI179">
        <v>0</v>
      </c>
      <c r="GJ179">
        <v>9</v>
      </c>
      <c r="GK179">
        <f>GC179+GD179+GE179+GF179+GG179</f>
        <v>5.4</v>
      </c>
      <c r="GL179">
        <f>MEDIAN(FS179:FW179)</f>
        <v>6</v>
      </c>
    </row>
    <row r="180" spans="1:194" x14ac:dyDescent="0.25">
      <c r="A180">
        <v>293</v>
      </c>
      <c r="B180" t="s">
        <v>2</v>
      </c>
      <c r="C180" s="4">
        <v>67.5</v>
      </c>
      <c r="D180">
        <v>3</v>
      </c>
      <c r="E180" s="1">
        <f>C180/3/D180</f>
        <v>7.5</v>
      </c>
      <c r="G180">
        <v>85.77</v>
      </c>
      <c r="H180">
        <v>8.1999999999999993</v>
      </c>
      <c r="I180">
        <f>H180*D180*3</f>
        <v>73.8</v>
      </c>
      <c r="J180">
        <v>17.170000000000002</v>
      </c>
      <c r="K180">
        <v>9</v>
      </c>
      <c r="L180" s="3">
        <f>K180*3*D180</f>
        <v>81</v>
      </c>
      <c r="M180">
        <v>5.6</v>
      </c>
      <c r="N180">
        <v>5.5</v>
      </c>
      <c r="O180">
        <f>N180*D180*3</f>
        <v>49.5</v>
      </c>
      <c r="P180" s="5">
        <v>8.1999999999999993</v>
      </c>
      <c r="Q180" s="5">
        <f>P180*D180*3</f>
        <v>73.8</v>
      </c>
      <c r="S180" t="s">
        <v>6419</v>
      </c>
      <c r="T180">
        <v>5.3</v>
      </c>
      <c r="U180" s="8">
        <f>T180*D180*3</f>
        <v>47.699999999999996</v>
      </c>
      <c r="V180">
        <v>31.86</v>
      </c>
      <c r="W180">
        <v>8.4</v>
      </c>
      <c r="X180" s="5">
        <f>W180*D180*3</f>
        <v>75.600000000000009</v>
      </c>
      <c r="Y180">
        <v>11.86</v>
      </c>
      <c r="Z180">
        <v>7.5</v>
      </c>
      <c r="AA180">
        <f>Z180*D180*3</f>
        <v>67.5</v>
      </c>
      <c r="AC180">
        <v>138.44</v>
      </c>
      <c r="AD180">
        <v>8</v>
      </c>
      <c r="AE180" s="1">
        <f>AD180*3*D180</f>
        <v>72</v>
      </c>
      <c r="AF180">
        <v>11.93</v>
      </c>
      <c r="AG180" s="5">
        <v>7</v>
      </c>
      <c r="AH180" s="5">
        <f>AG180*D180*3</f>
        <v>63</v>
      </c>
      <c r="AI180" s="13"/>
      <c r="AJ180">
        <v>5.2</v>
      </c>
      <c r="AK180" s="8">
        <f>AJ180*D180*3</f>
        <v>46.800000000000004</v>
      </c>
      <c r="AL180" s="13"/>
      <c r="AM180">
        <v>30.8</v>
      </c>
      <c r="AN180">
        <v>7.2</v>
      </c>
      <c r="AO180" s="8">
        <f>AN180*D180*3</f>
        <v>64.800000000000011</v>
      </c>
      <c r="AP180">
        <v>13.42</v>
      </c>
      <c r="AQ180">
        <v>9.5</v>
      </c>
      <c r="AR180">
        <f>AQ180*D180*3</f>
        <v>85.5</v>
      </c>
      <c r="AT180">
        <v>9</v>
      </c>
      <c r="AU180">
        <f>AT180*D180*3</f>
        <v>81</v>
      </c>
      <c r="AX180">
        <v>9.1999999999999993</v>
      </c>
      <c r="AY180">
        <f>AX180*D180*3</f>
        <v>82.8</v>
      </c>
      <c r="BA180">
        <v>8.9</v>
      </c>
      <c r="BB180">
        <f>BA180*D180*3</f>
        <v>80.100000000000009</v>
      </c>
      <c r="BD180">
        <v>8.9</v>
      </c>
      <c r="BE180">
        <f>BD180*D180*3</f>
        <v>80.100000000000009</v>
      </c>
      <c r="BG180" s="10"/>
      <c r="BH180" s="1">
        <f>CHOOSE(MATCH(MIN(ABS(BP180-C180),ABS(BQ180-C180),ABS(BR180-C180)),CHOOSE({1;2;3},ABS(BP180-C180),ABS(BQ180-C180),ABS(BR180-C180)),0),BP180,BQ180,BR180)</f>
        <v>72</v>
      </c>
      <c r="BJ180" s="1" cm="1">
        <f t="array" ref="BJ180">(INDEX(_xlfn._xlws.SORT(CHOOSE({1;2;3;4;5;6},BQ180,BR180,L180,AE180,BO180,BP180)),3) + INDEX(_xlfn._xlws.SORT(CHOOSE({1;2;3;4;5;6},BQ180,BR180,L180,AE180,BO180,BP180)),4))/2</f>
        <v>81</v>
      </c>
      <c r="BK180">
        <v>7.5376254483634497</v>
      </c>
      <c r="BL180" s="11" t="s">
        <v>6116</v>
      </c>
      <c r="BM180" s="1">
        <f>BK180*3*D180</f>
        <v>67.838629035271055</v>
      </c>
      <c r="BN180" s="1">
        <f>BM180-C180</f>
        <v>0.33862903527105459</v>
      </c>
      <c r="BO180" s="1">
        <f>GK180*3*D180</f>
        <v>83.25</v>
      </c>
      <c r="BP180" s="1">
        <f>DO180*3*D180</f>
        <v>81</v>
      </c>
      <c r="BQ180" s="1">
        <f>FJ180*3*D180</f>
        <v>72</v>
      </c>
      <c r="BR180" s="1">
        <f>GL180*3*D180</f>
        <v>90</v>
      </c>
      <c r="BT180">
        <v>85.77</v>
      </c>
      <c r="BU180">
        <v>8.1999999999999993</v>
      </c>
      <c r="BV180" t="s">
        <v>5901</v>
      </c>
      <c r="BW180" t="s">
        <v>5902</v>
      </c>
      <c r="BX180" t="s">
        <v>5903</v>
      </c>
      <c r="BY180" t="s">
        <v>5904</v>
      </c>
      <c r="BZ180" t="s">
        <v>5905</v>
      </c>
      <c r="CA180" t="s">
        <v>2437</v>
      </c>
      <c r="CC180" t="s">
        <v>2758</v>
      </c>
      <c r="CD180" t="s">
        <v>2508</v>
      </c>
      <c r="CE180" t="s">
        <v>2440</v>
      </c>
      <c r="CG180" t="s">
        <v>2761</v>
      </c>
      <c r="CH180" t="s">
        <v>2510</v>
      </c>
      <c r="CI180" t="s">
        <v>2443</v>
      </c>
      <c r="CK180" t="s">
        <v>2795</v>
      </c>
      <c r="CL180" t="s">
        <v>2512</v>
      </c>
      <c r="CM180" t="s">
        <v>2446</v>
      </c>
      <c r="CO180" t="s">
        <v>2796</v>
      </c>
      <c r="CP180" t="s">
        <v>2514</v>
      </c>
      <c r="CQ180" t="s">
        <v>2449</v>
      </c>
      <c r="CS180" t="s">
        <v>2679</v>
      </c>
      <c r="CT180" t="s">
        <v>2524</v>
      </c>
      <c r="CV180">
        <v>9</v>
      </c>
      <c r="CW180">
        <v>9</v>
      </c>
      <c r="CX180">
        <v>9</v>
      </c>
      <c r="CY180">
        <v>9</v>
      </c>
      <c r="CZ180">
        <v>9</v>
      </c>
      <c r="DA180">
        <v>0.1</v>
      </c>
      <c r="DB180">
        <v>0.1</v>
      </c>
      <c r="DC180">
        <v>0.2</v>
      </c>
      <c r="DD180">
        <v>0.3</v>
      </c>
      <c r="DE180">
        <v>0.3</v>
      </c>
      <c r="DF180">
        <v>0.9</v>
      </c>
      <c r="DG180">
        <v>0.9</v>
      </c>
      <c r="DH180">
        <v>1.8</v>
      </c>
      <c r="DI180">
        <v>2.7</v>
      </c>
      <c r="DJ180">
        <v>2.7</v>
      </c>
      <c r="DK180">
        <v>8.1999999999999993</v>
      </c>
      <c r="DL180">
        <v>0</v>
      </c>
      <c r="DM180">
        <v>8.1999999999999993</v>
      </c>
      <c r="DN180">
        <v>9</v>
      </c>
      <c r="DO180">
        <f>AVERAGE(CV180:CZ180)</f>
        <v>9</v>
      </c>
      <c r="DQ180" t="s">
        <v>27</v>
      </c>
      <c r="DR180" t="s">
        <v>33</v>
      </c>
      <c r="DS180" t="s">
        <v>243</v>
      </c>
      <c r="DT180" t="s">
        <v>491</v>
      </c>
      <c r="DU180" t="s">
        <v>492</v>
      </c>
      <c r="DV180" t="s">
        <v>246</v>
      </c>
      <c r="DW180" t="s">
        <v>3788</v>
      </c>
      <c r="DX180" t="s">
        <v>3789</v>
      </c>
      <c r="DY180" t="s">
        <v>4312</v>
      </c>
      <c r="DZ180" t="s">
        <v>4313</v>
      </c>
      <c r="EA180" t="s">
        <v>3934</v>
      </c>
      <c r="EB180" t="s">
        <v>3793</v>
      </c>
      <c r="EC180" t="s">
        <v>4314</v>
      </c>
      <c r="ED180" t="s">
        <v>4315</v>
      </c>
      <c r="EE180" t="s">
        <v>4277</v>
      </c>
      <c r="EF180" t="s">
        <v>3797</v>
      </c>
      <c r="EG180" t="s">
        <v>4316</v>
      </c>
      <c r="EH180" t="s">
        <v>4825</v>
      </c>
      <c r="EI180" t="s">
        <v>4096</v>
      </c>
      <c r="EJ180" t="s">
        <v>3800</v>
      </c>
      <c r="EK180" t="s">
        <v>4318</v>
      </c>
      <c r="EL180" t="s">
        <v>4826</v>
      </c>
      <c r="EM180" t="s">
        <v>4827</v>
      </c>
      <c r="EN180" t="s">
        <v>3803</v>
      </c>
      <c r="EO180" t="s">
        <v>4321</v>
      </c>
      <c r="EP180" t="s">
        <v>4322</v>
      </c>
      <c r="EQ180">
        <v>8</v>
      </c>
      <c r="ER180">
        <v>8</v>
      </c>
      <c r="ES180">
        <v>8</v>
      </c>
      <c r="ET180">
        <v>8</v>
      </c>
      <c r="EU180">
        <v>8</v>
      </c>
      <c r="EV180">
        <v>0.1</v>
      </c>
      <c r="EW180">
        <v>0.1</v>
      </c>
      <c r="EX180">
        <v>0.2</v>
      </c>
      <c r="EY180">
        <v>0.3</v>
      </c>
      <c r="EZ180">
        <v>0.3</v>
      </c>
      <c r="FA180">
        <f>EV180*EQ180</f>
        <v>0.8</v>
      </c>
      <c r="FB180">
        <f>EW180*ER180</f>
        <v>0.8</v>
      </c>
      <c r="FC180">
        <f>EX180*ES180</f>
        <v>1.6</v>
      </c>
      <c r="FD180">
        <f>EY180*ET180</f>
        <v>2.4</v>
      </c>
      <c r="FE180">
        <f>EZ180*EU180</f>
        <v>2.4</v>
      </c>
      <c r="FF180">
        <v>16</v>
      </c>
      <c r="FG180">
        <v>0</v>
      </c>
      <c r="FH180">
        <v>8</v>
      </c>
      <c r="FI180">
        <f>FA180+FB180+FC180+FD180+FE180</f>
        <v>8</v>
      </c>
      <c r="FJ180">
        <f>MEDIAN(EQ180:EU180)</f>
        <v>8</v>
      </c>
      <c r="FL180">
        <v>78.650000000000006</v>
      </c>
      <c r="FM180">
        <v>9.25</v>
      </c>
      <c r="FN180" t="s">
        <v>1996</v>
      </c>
      <c r="FO180" t="s">
        <v>1997</v>
      </c>
      <c r="FP180" t="s">
        <v>1998</v>
      </c>
      <c r="FQ180" t="s">
        <v>1999</v>
      </c>
      <c r="FR180" t="s">
        <v>2000</v>
      </c>
      <c r="FS180">
        <v>10</v>
      </c>
      <c r="FT180">
        <v>10</v>
      </c>
      <c r="FU180">
        <v>10</v>
      </c>
      <c r="FV180">
        <v>8.5</v>
      </c>
      <c r="FW180">
        <v>9</v>
      </c>
      <c r="FX180">
        <v>0.1</v>
      </c>
      <c r="FY180">
        <v>0.1</v>
      </c>
      <c r="FZ180">
        <v>0.2</v>
      </c>
      <c r="GA180">
        <v>0.3</v>
      </c>
      <c r="GB180">
        <v>0.3</v>
      </c>
      <c r="GC180">
        <f>FS180*FX180</f>
        <v>1</v>
      </c>
      <c r="GD180">
        <f>FT180*FY180</f>
        <v>1</v>
      </c>
      <c r="GE180">
        <f>FU180*FZ180</f>
        <v>2</v>
      </c>
      <c r="GF180">
        <f>FV180*GA180</f>
        <v>2.5499999999999998</v>
      </c>
      <c r="GG180">
        <f>FW180*GB180</f>
        <v>2.6999999999999997</v>
      </c>
      <c r="GH180">
        <v>9.25</v>
      </c>
      <c r="GI180">
        <v>0</v>
      </c>
      <c r="GJ180">
        <v>9.25</v>
      </c>
      <c r="GK180">
        <f>GC180+GD180+GE180+GF180+GG180</f>
        <v>9.25</v>
      </c>
      <c r="GL180">
        <f>MEDIAN(FS180:FW180)</f>
        <v>10</v>
      </c>
    </row>
    <row r="181" spans="1:194" hidden="1" x14ac:dyDescent="0.25">
      <c r="A181">
        <v>180</v>
      </c>
      <c r="B181" t="s">
        <v>2</v>
      </c>
      <c r="C181" s="4">
        <v>97.2</v>
      </c>
      <c r="D181">
        <v>3.6</v>
      </c>
      <c r="E181" s="1">
        <f>C181/3/D181</f>
        <v>9</v>
      </c>
      <c r="G181">
        <v>33.659999999999997</v>
      </c>
      <c r="H181">
        <v>8.4</v>
      </c>
      <c r="I181">
        <f>H181*D181*3</f>
        <v>90.72</v>
      </c>
      <c r="J181">
        <v>18.29</v>
      </c>
      <c r="K181">
        <v>8.4</v>
      </c>
      <c r="L181" s="3">
        <f>K181*3*D181</f>
        <v>90.720000000000013</v>
      </c>
      <c r="M181">
        <v>5.4</v>
      </c>
      <c r="N181">
        <v>5</v>
      </c>
      <c r="O181">
        <f>N181*D181*3</f>
        <v>54</v>
      </c>
      <c r="P181" s="5">
        <v>7.9</v>
      </c>
      <c r="Q181" s="5">
        <f>P181*D181*3</f>
        <v>85.320000000000007</v>
      </c>
      <c r="S181" t="s">
        <v>6313</v>
      </c>
      <c r="T181">
        <v>5.6</v>
      </c>
      <c r="U181" s="8">
        <f>T181*D181*3</f>
        <v>60.480000000000004</v>
      </c>
      <c r="V181">
        <v>30.91</v>
      </c>
      <c r="W181">
        <v>8.4</v>
      </c>
      <c r="X181" s="5">
        <f>W181*D181*3</f>
        <v>90.72</v>
      </c>
      <c r="Y181">
        <v>11.68</v>
      </c>
      <c r="Z181">
        <v>8</v>
      </c>
      <c r="AA181">
        <f>Z181*D181*3</f>
        <v>86.4</v>
      </c>
      <c r="AC181">
        <v>46.27</v>
      </c>
      <c r="AD181">
        <v>7.3000000000000007</v>
      </c>
      <c r="AE181" s="1">
        <f>AD181*3*D181</f>
        <v>78.84</v>
      </c>
      <c r="AF181">
        <v>11.84</v>
      </c>
      <c r="AG181" s="5">
        <v>7</v>
      </c>
      <c r="AH181" s="5">
        <f>AG181*D181*3</f>
        <v>75.599999999999994</v>
      </c>
      <c r="AI181" s="13"/>
      <c r="AJ181">
        <v>9.6999999999999993</v>
      </c>
      <c r="AK181" s="8">
        <f>AJ181*D181*3</f>
        <v>104.76</v>
      </c>
      <c r="AL181" s="13"/>
      <c r="AM181">
        <v>30.69</v>
      </c>
      <c r="AN181">
        <v>7.9</v>
      </c>
      <c r="AO181" s="8">
        <f>AN181*D181*3</f>
        <v>85.320000000000007</v>
      </c>
      <c r="AP181">
        <v>14.78</v>
      </c>
      <c r="AQ181">
        <v>10</v>
      </c>
      <c r="AR181">
        <f>AQ181*D181*3</f>
        <v>108</v>
      </c>
      <c r="AT181">
        <v>9</v>
      </c>
      <c r="AU181">
        <f>AT181*D181*3</f>
        <v>97.199999999999989</v>
      </c>
      <c r="AW181">
        <v>26.56</v>
      </c>
      <c r="AX181">
        <v>9.1</v>
      </c>
      <c r="AY181">
        <f>AX181*D181*3</f>
        <v>98.28</v>
      </c>
      <c r="AZ181">
        <v>26.56</v>
      </c>
      <c r="BA181">
        <v>9</v>
      </c>
      <c r="BB181">
        <f>BA181*D181*3</f>
        <v>97.199999999999989</v>
      </c>
      <c r="BD181">
        <v>9</v>
      </c>
      <c r="BE181">
        <f>BD181*D181*3</f>
        <v>97.199999999999989</v>
      </c>
      <c r="BG181" s="10"/>
      <c r="BH181" s="1">
        <f>CHOOSE(MATCH(MIN(ABS(BP181-C181),ABS(BQ181-C181),ABS(BR181-C181)),CHOOSE({1;2;3},ABS(BP181-C181),ABS(BQ181-C181),ABS(BR181-C181)),0),BP181,BQ181,BR181)</f>
        <v>92.88</v>
      </c>
      <c r="BJ181" s="1" cm="1">
        <f t="array" ref="BJ181">(INDEX(_xlfn._xlws.SORT(CHOOSE({1;2;3;4;5;6},BQ181,BR181,L181,AE181,BO181,BP181)),3) + INDEX(_xlfn._xlws.SORT(CHOOSE({1;2;3;4;5;6},BQ181,BR181,L181,AE181,BO181,BP181)),4))/2</f>
        <v>91.800000000000011</v>
      </c>
      <c r="BK181">
        <v>8.9562787579833394</v>
      </c>
      <c r="BL181" t="s">
        <v>6117</v>
      </c>
      <c r="BM181" s="1">
        <f>BK181*3*D181</f>
        <v>96.727810586220059</v>
      </c>
      <c r="BN181" s="1">
        <f>BM181-C181</f>
        <v>-0.47218941377994383</v>
      </c>
      <c r="BO181" s="1">
        <f>GK181*3*D181</f>
        <v>101.52000000000001</v>
      </c>
      <c r="BP181" s="1">
        <f>DO181*3*D181</f>
        <v>92.88</v>
      </c>
      <c r="BQ181" s="1">
        <f>FJ181*3*D181</f>
        <v>75.600000000000009</v>
      </c>
      <c r="BR181" s="1">
        <f>GL181*3*D181</f>
        <v>108</v>
      </c>
      <c r="BT181">
        <v>33.659999999999997</v>
      </c>
      <c r="BU181">
        <v>8.4</v>
      </c>
      <c r="BV181" t="s">
        <v>5028</v>
      </c>
      <c r="BW181" t="s">
        <v>5139</v>
      </c>
      <c r="BX181" t="s">
        <v>5140</v>
      </c>
      <c r="BY181" t="s">
        <v>5092</v>
      </c>
      <c r="BZ181" t="s">
        <v>5591</v>
      </c>
      <c r="CA181" t="s">
        <v>2550</v>
      </c>
      <c r="CC181" t="s">
        <v>2634</v>
      </c>
      <c r="CD181" t="s">
        <v>2635</v>
      </c>
      <c r="CE181" t="s">
        <v>2553</v>
      </c>
      <c r="CG181" t="s">
        <v>2634</v>
      </c>
      <c r="CH181" t="s">
        <v>2773</v>
      </c>
      <c r="CI181" t="s">
        <v>2774</v>
      </c>
      <c r="CK181" t="s">
        <v>2634</v>
      </c>
      <c r="CL181" t="s">
        <v>2775</v>
      </c>
      <c r="CM181" t="s">
        <v>2595</v>
      </c>
      <c r="CO181" t="s">
        <v>2634</v>
      </c>
      <c r="CP181" t="s">
        <v>3238</v>
      </c>
      <c r="CQ181" t="s">
        <v>2777</v>
      </c>
      <c r="CR181" t="s">
        <v>2778</v>
      </c>
      <c r="CS181" t="s">
        <v>2779</v>
      </c>
      <c r="CT181" t="s">
        <v>3033</v>
      </c>
      <c r="CV181">
        <v>9</v>
      </c>
      <c r="CW181">
        <v>9</v>
      </c>
      <c r="CX181">
        <v>9</v>
      </c>
      <c r="CY181">
        <v>9</v>
      </c>
      <c r="CZ181">
        <v>7</v>
      </c>
      <c r="DA181">
        <v>0.1</v>
      </c>
      <c r="DB181">
        <v>0.1</v>
      </c>
      <c r="DC181">
        <v>0.2</v>
      </c>
      <c r="DD181">
        <v>0.3</v>
      </c>
      <c r="DE181">
        <v>0.3</v>
      </c>
      <c r="DF181">
        <v>0.9</v>
      </c>
      <c r="DG181">
        <v>0.9</v>
      </c>
      <c r="DH181">
        <v>1.8</v>
      </c>
      <c r="DI181">
        <v>2.7</v>
      </c>
      <c r="DJ181">
        <v>2.1</v>
      </c>
      <c r="DK181">
        <v>8.4</v>
      </c>
      <c r="DL181">
        <v>0</v>
      </c>
      <c r="DM181">
        <v>8.4</v>
      </c>
      <c r="DN181">
        <v>8.4</v>
      </c>
      <c r="DO181">
        <f>AVERAGE(CV181:CZ181)</f>
        <v>8.6</v>
      </c>
      <c r="DQ181">
        <v>7</v>
      </c>
      <c r="DR181" t="s">
        <v>28</v>
      </c>
      <c r="DS181" t="s">
        <v>108</v>
      </c>
      <c r="DT181" t="s">
        <v>316</v>
      </c>
      <c r="DU181" t="s">
        <v>317</v>
      </c>
      <c r="DV181" t="s">
        <v>318</v>
      </c>
      <c r="DW181" t="s">
        <v>3769</v>
      </c>
      <c r="DX181" t="s">
        <v>3770</v>
      </c>
      <c r="DY181" t="s">
        <v>3771</v>
      </c>
      <c r="DZ181" t="s">
        <v>3772</v>
      </c>
      <c r="EA181" t="s">
        <v>3828</v>
      </c>
      <c r="EB181" t="s">
        <v>3774</v>
      </c>
      <c r="EC181" t="s">
        <v>3775</v>
      </c>
      <c r="ED181" t="s">
        <v>3776</v>
      </c>
      <c r="EE181" t="s">
        <v>3777</v>
      </c>
      <c r="EF181" t="s">
        <v>3778</v>
      </c>
      <c r="EG181" t="s">
        <v>3779</v>
      </c>
      <c r="EH181" t="s">
        <v>3780</v>
      </c>
      <c r="EI181" t="s">
        <v>4499</v>
      </c>
      <c r="EJ181" t="s">
        <v>4174</v>
      </c>
      <c r="EK181" t="s">
        <v>4014</v>
      </c>
      <c r="EL181" t="s">
        <v>3815</v>
      </c>
      <c r="EM181" t="s">
        <v>4500</v>
      </c>
      <c r="EN181" t="s">
        <v>3786</v>
      </c>
      <c r="EO181" t="s">
        <v>4501</v>
      </c>
      <c r="EP181" t="s">
        <v>3818</v>
      </c>
      <c r="EQ181">
        <v>7</v>
      </c>
      <c r="ER181">
        <v>8</v>
      </c>
      <c r="ES181">
        <v>8</v>
      </c>
      <c r="ET181">
        <v>7</v>
      </c>
      <c r="EU181">
        <v>7</v>
      </c>
      <c r="EV181">
        <v>0.1</v>
      </c>
      <c r="EW181">
        <v>0.1</v>
      </c>
      <c r="EX181">
        <v>0.2</v>
      </c>
      <c r="EY181">
        <v>0.3</v>
      </c>
      <c r="EZ181">
        <v>0.3</v>
      </c>
      <c r="FA181">
        <f>EV181*EQ181</f>
        <v>0.70000000000000007</v>
      </c>
      <c r="FB181">
        <f>EW181*ER181</f>
        <v>0.8</v>
      </c>
      <c r="FC181">
        <f>EX181*ES181</f>
        <v>1.6</v>
      </c>
      <c r="FD181">
        <f>EY181*ET181</f>
        <v>2.1</v>
      </c>
      <c r="FE181">
        <f>EZ181*EU181</f>
        <v>2.1</v>
      </c>
      <c r="FF181">
        <v>19</v>
      </c>
      <c r="FG181">
        <v>0</v>
      </c>
      <c r="FH181">
        <v>19</v>
      </c>
      <c r="FI181">
        <f>FA181+FB181+FC181+FD181+FE181</f>
        <v>7.3000000000000007</v>
      </c>
      <c r="FJ181">
        <f>MEDIAN(EQ181:EU181)</f>
        <v>7</v>
      </c>
      <c r="FL181">
        <v>39.89</v>
      </c>
      <c r="FM181">
        <v>10.4</v>
      </c>
      <c r="FN181" t="s">
        <v>1453</v>
      </c>
      <c r="FO181" t="s">
        <v>1454</v>
      </c>
      <c r="FP181" t="s">
        <v>1455</v>
      </c>
      <c r="FQ181" t="s">
        <v>1456</v>
      </c>
      <c r="FR181" t="s">
        <v>1457</v>
      </c>
      <c r="FS181">
        <v>10</v>
      </c>
      <c r="FT181">
        <v>10</v>
      </c>
      <c r="FU181">
        <v>10</v>
      </c>
      <c r="FV181">
        <v>8.5</v>
      </c>
      <c r="FW181">
        <v>9.5</v>
      </c>
      <c r="FX181">
        <v>0.1</v>
      </c>
      <c r="FY181">
        <v>0.1</v>
      </c>
      <c r="FZ181">
        <v>0.2</v>
      </c>
      <c r="GA181">
        <v>0.3</v>
      </c>
      <c r="GB181">
        <v>0.3</v>
      </c>
      <c r="GC181">
        <f>FS181*FX181</f>
        <v>1</v>
      </c>
      <c r="GD181">
        <f>FT181*FY181</f>
        <v>1</v>
      </c>
      <c r="GE181">
        <f>FU181*FZ181</f>
        <v>2</v>
      </c>
      <c r="GF181">
        <f>FV181*GA181</f>
        <v>2.5499999999999998</v>
      </c>
      <c r="GG181">
        <f>FW181*GB181</f>
        <v>2.85</v>
      </c>
      <c r="GH181">
        <v>10.4</v>
      </c>
      <c r="GI181">
        <v>0</v>
      </c>
      <c r="GJ181">
        <v>10.4</v>
      </c>
      <c r="GK181">
        <f>GC181+GD181+GE181+GF181+GG181</f>
        <v>9.4</v>
      </c>
      <c r="GL181">
        <f>MEDIAN(FS181:FW181)</f>
        <v>10</v>
      </c>
    </row>
    <row r="182" spans="1:194" hidden="1" x14ac:dyDescent="0.25">
      <c r="A182">
        <v>181</v>
      </c>
      <c r="B182" t="s">
        <v>2</v>
      </c>
      <c r="C182" s="4">
        <v>88</v>
      </c>
      <c r="D182">
        <v>3.2</v>
      </c>
      <c r="E182" s="1">
        <f>C182/3/D182</f>
        <v>9.1666666666666661</v>
      </c>
      <c r="G182">
        <v>38.68</v>
      </c>
      <c r="H182">
        <v>8.5500000000000007</v>
      </c>
      <c r="I182">
        <f>H182*D182*3</f>
        <v>82.080000000000013</v>
      </c>
      <c r="J182">
        <v>18.77</v>
      </c>
      <c r="K182">
        <v>8.4</v>
      </c>
      <c r="L182" s="3">
        <f>K182*3*D182</f>
        <v>80.640000000000015</v>
      </c>
      <c r="M182">
        <v>4.9000000000000004</v>
      </c>
      <c r="N182">
        <v>6.7</v>
      </c>
      <c r="O182">
        <f>N182*D182*3</f>
        <v>64.320000000000007</v>
      </c>
      <c r="P182" s="5">
        <v>7.1</v>
      </c>
      <c r="Q182" s="5">
        <f>P182*D182*3</f>
        <v>68.16</v>
      </c>
      <c r="S182" t="s">
        <v>6314</v>
      </c>
      <c r="T182">
        <v>3.6</v>
      </c>
      <c r="U182" s="8">
        <f>T182*D182*3</f>
        <v>34.56</v>
      </c>
      <c r="V182">
        <v>31.79</v>
      </c>
      <c r="W182">
        <v>7</v>
      </c>
      <c r="X182" s="5">
        <f>W182*D182*3</f>
        <v>67.2</v>
      </c>
      <c r="Y182">
        <v>10.78</v>
      </c>
      <c r="Z182">
        <v>6.8</v>
      </c>
      <c r="AA182">
        <f>Z182*D182*3</f>
        <v>65.28</v>
      </c>
      <c r="AC182">
        <v>46.97</v>
      </c>
      <c r="AD182">
        <v>7.1</v>
      </c>
      <c r="AE182" s="1">
        <f>AD182*3*D182</f>
        <v>68.16</v>
      </c>
      <c r="AF182">
        <v>11.78</v>
      </c>
      <c r="AG182" s="5">
        <v>4</v>
      </c>
      <c r="AH182" s="5">
        <f>AG182*D182*3</f>
        <v>38.400000000000006</v>
      </c>
      <c r="AI182" s="13"/>
      <c r="AK182" s="8">
        <f>AJ182*D182*3</f>
        <v>0</v>
      </c>
      <c r="AL182" s="13"/>
      <c r="AM182">
        <v>31.07</v>
      </c>
      <c r="AN182">
        <v>7.2</v>
      </c>
      <c r="AO182" s="8">
        <f>AN182*D182*3</f>
        <v>69.12</v>
      </c>
      <c r="AP182">
        <v>14.73</v>
      </c>
      <c r="AQ182">
        <v>9.5</v>
      </c>
      <c r="AR182">
        <f>AQ182*D182*3</f>
        <v>91.2</v>
      </c>
      <c r="AT182">
        <v>9</v>
      </c>
      <c r="AU182">
        <f>AT182*D182*3</f>
        <v>86.4</v>
      </c>
      <c r="AW182">
        <v>24</v>
      </c>
      <c r="AX182">
        <v>9.3000000000000007</v>
      </c>
      <c r="AY182">
        <f>AX182*D182*3</f>
        <v>89.280000000000015</v>
      </c>
      <c r="AZ182">
        <v>24</v>
      </c>
      <c r="BA182">
        <v>8.9</v>
      </c>
      <c r="BB182">
        <f>BA182*D182*3</f>
        <v>85.440000000000012</v>
      </c>
      <c r="BD182">
        <v>9</v>
      </c>
      <c r="BE182">
        <f>BD182*D182*3</f>
        <v>86.4</v>
      </c>
      <c r="BG182" s="10"/>
      <c r="BH182" s="1">
        <f>CHOOSE(MATCH(MIN(ABS(BP182-C182),ABS(BQ182-C182),ABS(BR182-C182)),CHOOSE({1;2;3},ABS(BP182-C182),ABS(BQ182-C182),ABS(BR182-C182)),0),BP182,BQ182,BR182)</f>
        <v>84.480000000000018</v>
      </c>
      <c r="BJ182" s="1" cm="1">
        <f t="array" ref="BJ182">(INDEX(_xlfn._xlws.SORT(CHOOSE({1;2;3;4;5;6},BQ182,BR182,L182,AE182,BO182,BP182)),3) + INDEX(_xlfn._xlws.SORT(CHOOSE({1;2;3;4;5;6},BQ182,BR182,L182,AE182,BO182,BP182)),4))/2</f>
        <v>67.680000000000007</v>
      </c>
      <c r="BK182">
        <v>9.1600116698229801</v>
      </c>
      <c r="BL182" t="s">
        <v>6117</v>
      </c>
      <c r="BM182" s="1">
        <f>BK182*3*D182</f>
        <v>87.93611203030062</v>
      </c>
      <c r="BN182" s="1">
        <f>BM182-C182</f>
        <v>-6.388796969937971E-2</v>
      </c>
      <c r="BO182" s="1">
        <f>GK182*3*D182</f>
        <v>51.840000000000011</v>
      </c>
      <c r="BP182" s="1">
        <f>DO182*3*D182</f>
        <v>84.480000000000018</v>
      </c>
      <c r="BQ182" s="1">
        <f>FJ182*3*D182</f>
        <v>67.2</v>
      </c>
      <c r="BR182" s="1">
        <f>GL182*3*D182</f>
        <v>57.6</v>
      </c>
      <c r="BT182">
        <v>38.68</v>
      </c>
      <c r="BU182">
        <v>8.5500000000000007</v>
      </c>
      <c r="BV182" t="s">
        <v>5592</v>
      </c>
      <c r="BW182" t="s">
        <v>5593</v>
      </c>
      <c r="BX182" t="s">
        <v>5594</v>
      </c>
      <c r="BY182" t="s">
        <v>5595</v>
      </c>
      <c r="BZ182" t="s">
        <v>5596</v>
      </c>
      <c r="CA182" t="s">
        <v>3239</v>
      </c>
      <c r="CC182" t="s">
        <v>2525</v>
      </c>
      <c r="CD182" t="s">
        <v>2526</v>
      </c>
      <c r="CE182" t="s">
        <v>3240</v>
      </c>
      <c r="CG182" t="s">
        <v>2527</v>
      </c>
      <c r="CH182" t="s">
        <v>2528</v>
      </c>
      <c r="CI182" t="s">
        <v>3241</v>
      </c>
      <c r="CJ182" t="s">
        <v>3242</v>
      </c>
      <c r="CK182" t="s">
        <v>3243</v>
      </c>
      <c r="CL182" t="s">
        <v>3244</v>
      </c>
      <c r="CM182" t="s">
        <v>3245</v>
      </c>
      <c r="CO182" t="s">
        <v>2531</v>
      </c>
      <c r="CP182" t="s">
        <v>3246</v>
      </c>
      <c r="CQ182" t="s">
        <v>3247</v>
      </c>
      <c r="CR182" t="s">
        <v>2515</v>
      </c>
      <c r="CS182" t="s">
        <v>3248</v>
      </c>
      <c r="CT182" t="s">
        <v>3249</v>
      </c>
      <c r="CV182">
        <v>9</v>
      </c>
      <c r="CW182">
        <v>9</v>
      </c>
      <c r="CX182">
        <v>8.5</v>
      </c>
      <c r="CY182">
        <v>9</v>
      </c>
      <c r="CZ182">
        <v>8.5</v>
      </c>
      <c r="DA182">
        <v>0.1</v>
      </c>
      <c r="DB182">
        <v>0.1</v>
      </c>
      <c r="DC182">
        <v>0.2</v>
      </c>
      <c r="DD182">
        <v>0.3</v>
      </c>
      <c r="DE182">
        <v>0.3</v>
      </c>
      <c r="DF182">
        <v>0.9</v>
      </c>
      <c r="DG182">
        <v>0.9</v>
      </c>
      <c r="DH182">
        <v>1.7</v>
      </c>
      <c r="DI182">
        <v>2.7</v>
      </c>
      <c r="DJ182">
        <v>2.5499999999999998</v>
      </c>
      <c r="DK182">
        <v>8.5500000000000007</v>
      </c>
      <c r="DL182">
        <v>0</v>
      </c>
      <c r="DM182">
        <v>8.5500000000000007</v>
      </c>
      <c r="DN182">
        <v>8.4</v>
      </c>
      <c r="DO182">
        <f>AVERAGE(CV182:CZ182)</f>
        <v>8.8000000000000007</v>
      </c>
      <c r="DQ182" t="s">
        <v>27</v>
      </c>
      <c r="DR182" t="s">
        <v>28</v>
      </c>
      <c r="DS182" t="s">
        <v>43</v>
      </c>
      <c r="DT182" t="s">
        <v>44</v>
      </c>
      <c r="DU182" t="s">
        <v>157</v>
      </c>
      <c r="DV182" t="s">
        <v>236</v>
      </c>
      <c r="DW182" t="s">
        <v>3769</v>
      </c>
      <c r="DX182" t="s">
        <v>3770</v>
      </c>
      <c r="DY182" t="s">
        <v>3771</v>
      </c>
      <c r="DZ182" t="s">
        <v>3772</v>
      </c>
      <c r="EA182" t="s">
        <v>3806</v>
      </c>
      <c r="EB182" t="s">
        <v>3807</v>
      </c>
      <c r="EC182" t="s">
        <v>3775</v>
      </c>
      <c r="ED182" t="s">
        <v>3776</v>
      </c>
      <c r="EE182" t="s">
        <v>3819</v>
      </c>
      <c r="EF182" t="s">
        <v>3809</v>
      </c>
      <c r="EG182" t="s">
        <v>4048</v>
      </c>
      <c r="EH182" t="s">
        <v>4015</v>
      </c>
      <c r="EI182" t="s">
        <v>4105</v>
      </c>
      <c r="EJ182" t="s">
        <v>3813</v>
      </c>
      <c r="EK182" t="s">
        <v>4049</v>
      </c>
      <c r="EL182" t="s">
        <v>3815</v>
      </c>
      <c r="EM182" t="s">
        <v>3816</v>
      </c>
      <c r="EN182" t="s">
        <v>3931</v>
      </c>
      <c r="EO182" t="s">
        <v>4164</v>
      </c>
      <c r="EP182" t="s">
        <v>3818</v>
      </c>
      <c r="EQ182">
        <v>7</v>
      </c>
      <c r="ER182">
        <v>8</v>
      </c>
      <c r="ES182">
        <v>7</v>
      </c>
      <c r="ET182">
        <v>7</v>
      </c>
      <c r="EU182">
        <v>7</v>
      </c>
      <c r="EV182">
        <v>0.1</v>
      </c>
      <c r="EW182">
        <v>0.1</v>
      </c>
      <c r="EX182">
        <v>0.2</v>
      </c>
      <c r="EY182">
        <v>0.3</v>
      </c>
      <c r="EZ182">
        <v>0.3</v>
      </c>
      <c r="FA182">
        <f>EV182*EQ182</f>
        <v>0.70000000000000007</v>
      </c>
      <c r="FB182">
        <f>EW182*ER182</f>
        <v>0.8</v>
      </c>
      <c r="FC182">
        <f>EX182*ES182</f>
        <v>1.4000000000000001</v>
      </c>
      <c r="FD182">
        <f>EY182*ET182</f>
        <v>2.1</v>
      </c>
      <c r="FE182">
        <f>EZ182*EU182</f>
        <v>2.1</v>
      </c>
      <c r="FF182">
        <v>14</v>
      </c>
      <c r="FG182">
        <v>0</v>
      </c>
      <c r="FH182">
        <v>14</v>
      </c>
      <c r="FI182">
        <f>FA182+FB182+FC182+FD182+FE182</f>
        <v>7.1</v>
      </c>
      <c r="FJ182">
        <f>MEDIAN(EQ182:EU182)</f>
        <v>7</v>
      </c>
      <c r="FL182">
        <v>40.75</v>
      </c>
      <c r="FM182">
        <v>6.9</v>
      </c>
      <c r="FN182" t="s">
        <v>1458</v>
      </c>
      <c r="FO182" t="s">
        <v>1459</v>
      </c>
      <c r="FP182" t="s">
        <v>1460</v>
      </c>
      <c r="FQ182" t="s">
        <v>1461</v>
      </c>
      <c r="FR182" t="s">
        <v>1462</v>
      </c>
      <c r="FS182">
        <v>6</v>
      </c>
      <c r="FT182">
        <v>7</v>
      </c>
      <c r="FU182">
        <v>4</v>
      </c>
      <c r="FV182">
        <v>5</v>
      </c>
      <c r="FW182">
        <v>6</v>
      </c>
      <c r="FX182">
        <v>0.1</v>
      </c>
      <c r="FY182">
        <v>0.1</v>
      </c>
      <c r="FZ182">
        <v>0.2</v>
      </c>
      <c r="GA182">
        <v>0.3</v>
      </c>
      <c r="GB182">
        <v>0.3</v>
      </c>
      <c r="GC182">
        <f>FS182*FX182</f>
        <v>0.60000000000000009</v>
      </c>
      <c r="GD182">
        <f>FT182*FY182</f>
        <v>0.70000000000000007</v>
      </c>
      <c r="GE182">
        <f>FU182*FZ182</f>
        <v>0.8</v>
      </c>
      <c r="GF182">
        <f>FV182*GA182</f>
        <v>1.5</v>
      </c>
      <c r="GG182">
        <f>FW182*GB182</f>
        <v>1.7999999999999998</v>
      </c>
      <c r="GH182">
        <v>6.9</v>
      </c>
      <c r="GI182">
        <v>0</v>
      </c>
      <c r="GJ182">
        <v>6.9</v>
      </c>
      <c r="GK182">
        <f>GC182+GD182+GE182+GF182+GG182</f>
        <v>5.4</v>
      </c>
      <c r="GL182">
        <f>MEDIAN(FS182:FW182)</f>
        <v>6</v>
      </c>
    </row>
    <row r="183" spans="1:194" hidden="1" x14ac:dyDescent="0.25">
      <c r="A183">
        <v>182</v>
      </c>
      <c r="B183" t="s">
        <v>2</v>
      </c>
      <c r="C183" s="4">
        <v>86.4</v>
      </c>
      <c r="D183">
        <v>3.2</v>
      </c>
      <c r="E183" s="1">
        <f>C183/3/D183</f>
        <v>9</v>
      </c>
      <c r="G183">
        <v>38.03</v>
      </c>
      <c r="H183">
        <v>8.65</v>
      </c>
      <c r="I183">
        <f>H183*D183*3</f>
        <v>83.04</v>
      </c>
      <c r="J183">
        <v>16.8</v>
      </c>
      <c r="K183">
        <v>9</v>
      </c>
      <c r="L183" s="3">
        <f>K183*3*D183</f>
        <v>86.4</v>
      </c>
      <c r="M183">
        <v>4.9400000000000004</v>
      </c>
      <c r="N183">
        <v>5.7</v>
      </c>
      <c r="O183">
        <f>N183*D183*3</f>
        <v>54.720000000000006</v>
      </c>
      <c r="P183" s="5">
        <v>8.6</v>
      </c>
      <c r="Q183" s="5">
        <f>P183*D183*3</f>
        <v>82.56</v>
      </c>
      <c r="S183" t="s">
        <v>6208</v>
      </c>
      <c r="T183">
        <v>7.2</v>
      </c>
      <c r="U183" s="8">
        <f>T183*D183*3</f>
        <v>69.12</v>
      </c>
      <c r="V183">
        <v>30.79</v>
      </c>
      <c r="W183">
        <v>8</v>
      </c>
      <c r="X183" s="5">
        <f>W183*D183*3</f>
        <v>76.800000000000011</v>
      </c>
      <c r="Y183">
        <v>9.9</v>
      </c>
      <c r="Z183">
        <v>7.8</v>
      </c>
      <c r="AA183">
        <f>Z183*D183*3</f>
        <v>74.88</v>
      </c>
      <c r="AC183">
        <v>47.85</v>
      </c>
      <c r="AD183">
        <v>8</v>
      </c>
      <c r="AE183" s="1">
        <f>AD183*3*D183</f>
        <v>76.800000000000011</v>
      </c>
      <c r="AF183">
        <v>11.99</v>
      </c>
      <c r="AG183" s="5">
        <v>7</v>
      </c>
      <c r="AH183" s="5">
        <f>AG183*D183*3</f>
        <v>67.2</v>
      </c>
      <c r="AI183" s="13"/>
      <c r="AK183" s="8">
        <f>AJ183*D183*3</f>
        <v>0</v>
      </c>
      <c r="AL183" s="13"/>
      <c r="AM183">
        <v>30.26</v>
      </c>
      <c r="AN183">
        <v>7.5</v>
      </c>
      <c r="AO183" s="8">
        <f>AN183*D183*3</f>
        <v>72</v>
      </c>
      <c r="AP183">
        <v>14.94</v>
      </c>
      <c r="AQ183">
        <v>9.5</v>
      </c>
      <c r="AR183">
        <f>AQ183*D183*3</f>
        <v>91.2</v>
      </c>
      <c r="AT183">
        <v>8.8000000000000007</v>
      </c>
      <c r="AU183">
        <f>AT183*D183*3</f>
        <v>84.480000000000018</v>
      </c>
      <c r="AW183">
        <v>24.84</v>
      </c>
      <c r="AX183">
        <v>9.4</v>
      </c>
      <c r="AY183">
        <f>AX183*D183*3</f>
        <v>90.240000000000009</v>
      </c>
      <c r="AZ183">
        <v>24.84</v>
      </c>
      <c r="BA183">
        <v>9.1999999999999993</v>
      </c>
      <c r="BB183">
        <f>BA183*D183*3</f>
        <v>88.32</v>
      </c>
      <c r="BD183">
        <v>8.9</v>
      </c>
      <c r="BE183">
        <f>BD183*D183*3</f>
        <v>85.440000000000012</v>
      </c>
      <c r="BG183" s="10"/>
      <c r="BH183" s="1">
        <f>CHOOSE(MATCH(MIN(ABS(BP183-C183),ABS(BQ183-C183),ABS(BR183-C183)),CHOOSE({1;2;3},ABS(BP183-C183),ABS(BQ183-C183),ABS(BR183-C183)),0),BP183,BQ183,BR183)</f>
        <v>84.480000000000018</v>
      </c>
      <c r="BJ183" s="1" cm="1">
        <f t="array" ref="BJ183">(INDEX(_xlfn._xlws.SORT(CHOOSE({1;2;3;4;5;6},BQ183,BR183,L183,AE183,BO183,BP183)),3) + INDEX(_xlfn._xlws.SORT(CHOOSE({1;2;3;4;5;6},BQ183,BR183,L183,AE183,BO183,BP183)),4))/2</f>
        <v>76.800000000000011</v>
      </c>
      <c r="BK183">
        <v>8.9127042820910898</v>
      </c>
      <c r="BL183" t="s">
        <v>6117</v>
      </c>
      <c r="BM183" s="1">
        <f>BK183*3*D183</f>
        <v>85.561961108074456</v>
      </c>
      <c r="BN183" s="1">
        <f>BM183-C183</f>
        <v>-0.83803889192554948</v>
      </c>
      <c r="BO183" s="1">
        <f>GK183*3*D183</f>
        <v>37.92</v>
      </c>
      <c r="BP183" s="1">
        <f>DO183*3*D183</f>
        <v>84.480000000000018</v>
      </c>
      <c r="BQ183" s="1">
        <f>FJ183*3*D183</f>
        <v>76.800000000000011</v>
      </c>
      <c r="BR183" s="1">
        <f>GL183*3*D183</f>
        <v>33.6</v>
      </c>
      <c r="BT183">
        <v>38.03</v>
      </c>
      <c r="BU183">
        <v>8.65</v>
      </c>
      <c r="BV183" t="s">
        <v>4991</v>
      </c>
      <c r="BW183" t="s">
        <v>5043</v>
      </c>
      <c r="BX183" t="s">
        <v>5597</v>
      </c>
      <c r="BY183" t="s">
        <v>5001</v>
      </c>
      <c r="BZ183" t="s">
        <v>5002</v>
      </c>
      <c r="CA183" t="s">
        <v>2420</v>
      </c>
      <c r="CC183" t="s">
        <v>2525</v>
      </c>
      <c r="CD183" t="s">
        <v>2627</v>
      </c>
      <c r="CE183" t="s">
        <v>2423</v>
      </c>
      <c r="CG183" t="s">
        <v>2527</v>
      </c>
      <c r="CH183" t="s">
        <v>3250</v>
      </c>
      <c r="CI183" t="s">
        <v>2426</v>
      </c>
      <c r="CJ183" t="s">
        <v>2427</v>
      </c>
      <c r="CK183" t="s">
        <v>2529</v>
      </c>
      <c r="CL183" t="s">
        <v>3251</v>
      </c>
      <c r="CM183" t="s">
        <v>2430</v>
      </c>
      <c r="CO183" t="s">
        <v>3252</v>
      </c>
      <c r="CP183" t="s">
        <v>3253</v>
      </c>
      <c r="CQ183" t="s">
        <v>2433</v>
      </c>
      <c r="CR183" t="s">
        <v>2434</v>
      </c>
      <c r="CS183" t="s">
        <v>3254</v>
      </c>
      <c r="CT183" t="s">
        <v>3255</v>
      </c>
      <c r="CV183">
        <v>9</v>
      </c>
      <c r="CW183">
        <v>9</v>
      </c>
      <c r="CX183">
        <v>8.5</v>
      </c>
      <c r="CY183">
        <v>9.5</v>
      </c>
      <c r="CZ183">
        <v>8</v>
      </c>
      <c r="DA183">
        <v>0.1</v>
      </c>
      <c r="DB183">
        <v>0.1</v>
      </c>
      <c r="DC183">
        <v>0.2</v>
      </c>
      <c r="DD183">
        <v>0.3</v>
      </c>
      <c r="DE183">
        <v>0.3</v>
      </c>
      <c r="DF183">
        <v>0.9</v>
      </c>
      <c r="DG183">
        <v>0.9</v>
      </c>
      <c r="DH183">
        <v>1.7</v>
      </c>
      <c r="DI183">
        <v>2.85</v>
      </c>
      <c r="DJ183">
        <v>2.4</v>
      </c>
      <c r="DK183">
        <v>8.65</v>
      </c>
      <c r="DL183">
        <v>0</v>
      </c>
      <c r="DM183">
        <v>8.65</v>
      </c>
      <c r="DN183">
        <v>9</v>
      </c>
      <c r="DO183">
        <f>AVERAGE(CV183:CZ183)</f>
        <v>8.8000000000000007</v>
      </c>
      <c r="DQ183">
        <v>8</v>
      </c>
      <c r="DR183" t="s">
        <v>52</v>
      </c>
      <c r="DS183" t="s">
        <v>204</v>
      </c>
      <c r="DT183" t="s">
        <v>238</v>
      </c>
      <c r="DU183" t="s">
        <v>239</v>
      </c>
      <c r="DV183" t="s">
        <v>72</v>
      </c>
      <c r="DW183" t="s">
        <v>3836</v>
      </c>
      <c r="DX183" t="s">
        <v>3858</v>
      </c>
      <c r="DY183" t="s">
        <v>4292</v>
      </c>
      <c r="DZ183" t="s">
        <v>4293</v>
      </c>
      <c r="EA183" t="s">
        <v>3860</v>
      </c>
      <c r="EB183" t="s">
        <v>3840</v>
      </c>
      <c r="EC183" t="s">
        <v>4294</v>
      </c>
      <c r="ED183" t="s">
        <v>4295</v>
      </c>
      <c r="EE183" t="s">
        <v>3843</v>
      </c>
      <c r="EF183" t="s">
        <v>4245</v>
      </c>
      <c r="EG183" t="s">
        <v>4296</v>
      </c>
      <c r="EH183" t="s">
        <v>4297</v>
      </c>
      <c r="EI183" t="s">
        <v>4298</v>
      </c>
      <c r="EJ183" t="s">
        <v>4299</v>
      </c>
      <c r="EK183" t="s">
        <v>4300</v>
      </c>
      <c r="EL183" t="s">
        <v>4301</v>
      </c>
      <c r="EM183" t="s">
        <v>3851</v>
      </c>
      <c r="EN183" t="s">
        <v>4302</v>
      </c>
      <c r="EO183" t="s">
        <v>4303</v>
      </c>
      <c r="EP183" t="s">
        <v>4304</v>
      </c>
      <c r="EQ183">
        <v>8</v>
      </c>
      <c r="ER183">
        <v>8</v>
      </c>
      <c r="ES183">
        <v>8</v>
      </c>
      <c r="ET183">
        <v>8</v>
      </c>
      <c r="EU183">
        <v>8</v>
      </c>
      <c r="EV183">
        <v>0.1</v>
      </c>
      <c r="EW183">
        <v>0.1</v>
      </c>
      <c r="EX183">
        <v>0.2</v>
      </c>
      <c r="EY183">
        <v>0.3</v>
      </c>
      <c r="EZ183">
        <v>0.3</v>
      </c>
      <c r="FA183">
        <f>EV183*EQ183</f>
        <v>0.8</v>
      </c>
      <c r="FB183">
        <f>EW183*ER183</f>
        <v>0.8</v>
      </c>
      <c r="FC183">
        <f>EX183*ES183</f>
        <v>1.6</v>
      </c>
      <c r="FD183">
        <f>EY183*ET183</f>
        <v>2.4</v>
      </c>
      <c r="FE183">
        <f>EZ183*EU183</f>
        <v>2.4</v>
      </c>
      <c r="FF183">
        <v>16</v>
      </c>
      <c r="FG183">
        <v>0</v>
      </c>
      <c r="FH183">
        <v>8</v>
      </c>
      <c r="FI183">
        <f>FA183+FB183+FC183+FD183+FE183</f>
        <v>8</v>
      </c>
      <c r="FJ183">
        <f>MEDIAN(EQ183:EU183)</f>
        <v>8</v>
      </c>
      <c r="FL183">
        <v>37.409999999999997</v>
      </c>
      <c r="FM183">
        <v>7.6</v>
      </c>
      <c r="FN183" t="s">
        <v>1463</v>
      </c>
      <c r="FO183" t="s">
        <v>628</v>
      </c>
      <c r="FP183" t="s">
        <v>1464</v>
      </c>
      <c r="FQ183" t="s">
        <v>1465</v>
      </c>
      <c r="FR183" t="s">
        <v>1466</v>
      </c>
      <c r="FS183">
        <v>4</v>
      </c>
      <c r="FT183">
        <v>3.5</v>
      </c>
      <c r="FU183">
        <v>2.5</v>
      </c>
      <c r="FV183">
        <v>3</v>
      </c>
      <c r="FW183">
        <v>6</v>
      </c>
      <c r="FX183">
        <v>0.1</v>
      </c>
      <c r="FY183">
        <v>0.1</v>
      </c>
      <c r="FZ183">
        <v>0.2</v>
      </c>
      <c r="GA183">
        <v>0.3</v>
      </c>
      <c r="GB183">
        <v>0.3</v>
      </c>
      <c r="GC183">
        <f>FS183*FX183</f>
        <v>0.4</v>
      </c>
      <c r="GD183">
        <f>FT183*FY183</f>
        <v>0.35000000000000003</v>
      </c>
      <c r="GE183">
        <f>FU183*FZ183</f>
        <v>0.5</v>
      </c>
      <c r="GF183">
        <f>FV183*GA183</f>
        <v>0.89999999999999991</v>
      </c>
      <c r="GG183">
        <f>FW183*GB183</f>
        <v>1.7999999999999998</v>
      </c>
      <c r="GH183">
        <v>7.6</v>
      </c>
      <c r="GI183">
        <v>0</v>
      </c>
      <c r="GJ183">
        <v>7.6</v>
      </c>
      <c r="GK183">
        <f>GC183+GD183+GE183+GF183+GG183</f>
        <v>3.9499999999999997</v>
      </c>
      <c r="GL183">
        <f>MEDIAN(FS183:FW183)</f>
        <v>3.5</v>
      </c>
    </row>
    <row r="184" spans="1:194" hidden="1" x14ac:dyDescent="0.25">
      <c r="A184">
        <v>183</v>
      </c>
      <c r="B184" t="s">
        <v>2</v>
      </c>
      <c r="C184" s="4">
        <v>75.2</v>
      </c>
      <c r="D184">
        <v>3.2</v>
      </c>
      <c r="E184" s="1">
        <f>C184/3/D184</f>
        <v>7.833333333333333</v>
      </c>
      <c r="G184">
        <v>37.31</v>
      </c>
      <c r="H184">
        <v>8.5</v>
      </c>
      <c r="I184">
        <f>H184*D184*3</f>
        <v>81.600000000000009</v>
      </c>
      <c r="J184">
        <v>18.55</v>
      </c>
      <c r="K184">
        <v>8.4</v>
      </c>
      <c r="L184" s="3">
        <f>K184*3*D184</f>
        <v>80.640000000000015</v>
      </c>
      <c r="M184">
        <v>4.47</v>
      </c>
      <c r="N184">
        <v>9</v>
      </c>
      <c r="O184">
        <f>N184*D184*3</f>
        <v>86.4</v>
      </c>
      <c r="P184" s="5">
        <v>6.5</v>
      </c>
      <c r="Q184" s="5">
        <f>P184*D184*3</f>
        <v>62.400000000000006</v>
      </c>
      <c r="S184" t="s">
        <v>6315</v>
      </c>
      <c r="T184">
        <v>5.6</v>
      </c>
      <c r="U184" s="8">
        <f>T184*D184*3</f>
        <v>53.759999999999991</v>
      </c>
      <c r="V184">
        <v>32.39</v>
      </c>
      <c r="W184">
        <v>8.4</v>
      </c>
      <c r="X184" s="5">
        <f>W184*D184*3</f>
        <v>80.640000000000015</v>
      </c>
      <c r="Y184">
        <v>8.8800000000000008</v>
      </c>
      <c r="Z184">
        <v>6</v>
      </c>
      <c r="AA184">
        <f>Z184*D184*3</f>
        <v>57.600000000000009</v>
      </c>
      <c r="AC184">
        <v>47.59</v>
      </c>
      <c r="AD184">
        <v>8</v>
      </c>
      <c r="AE184" s="1">
        <f>AD184*3*D184</f>
        <v>76.800000000000011</v>
      </c>
      <c r="AF184">
        <v>12.12</v>
      </c>
      <c r="AG184" s="5">
        <v>7</v>
      </c>
      <c r="AH184" s="5">
        <f>AG184*D184*3</f>
        <v>67.2</v>
      </c>
      <c r="AI184" s="13"/>
      <c r="AK184" s="8">
        <f>AJ184*D184*3</f>
        <v>0</v>
      </c>
      <c r="AL184" s="13"/>
      <c r="AM184">
        <v>29.79</v>
      </c>
      <c r="AN184">
        <v>7</v>
      </c>
      <c r="AO184" s="8">
        <f>AN184*D184*3</f>
        <v>67.2</v>
      </c>
      <c r="AP184">
        <v>11.89</v>
      </c>
      <c r="AQ184">
        <v>8.9</v>
      </c>
      <c r="AR184">
        <f>AQ184*D184*3</f>
        <v>85.440000000000012</v>
      </c>
      <c r="AT184">
        <v>8.8000000000000007</v>
      </c>
      <c r="AU184">
        <f>AT184*D184*3</f>
        <v>84.480000000000018</v>
      </c>
      <c r="AW184">
        <v>24.31</v>
      </c>
      <c r="AX184">
        <v>9.9</v>
      </c>
      <c r="AY184">
        <f>AX184*D184*3</f>
        <v>95.04</v>
      </c>
      <c r="AZ184">
        <v>24.31</v>
      </c>
      <c r="BA184">
        <v>9</v>
      </c>
      <c r="BB184">
        <f>BA184*D184*3</f>
        <v>86.4</v>
      </c>
      <c r="BD184">
        <v>9</v>
      </c>
      <c r="BE184">
        <f>BD184*D184*3</f>
        <v>86.4</v>
      </c>
      <c r="BG184" s="10"/>
      <c r="BH184" s="1">
        <f>CHOOSE(MATCH(MIN(ABS(BP184-C184),ABS(BQ184-C184),ABS(BR184-C184)),CHOOSE({1;2;3},ABS(BP184-C184),ABS(BQ184-C184),ABS(BR184-C184)),0),BP184,BQ184,BR184)</f>
        <v>76.800000000000011</v>
      </c>
      <c r="BJ184" s="1" cm="1">
        <f t="array" ref="BJ184">(INDEX(_xlfn._xlws.SORT(CHOOSE({1;2;3;4;5;6},BQ184,BR184,L184,AE184,BO184,BP184)),3) + INDEX(_xlfn._xlws.SORT(CHOOSE({1;2;3;4;5;6},BQ184,BR184,L184,AE184,BO184,BP184)),4))/2</f>
        <v>76.800000000000011</v>
      </c>
      <c r="BK184">
        <v>7.8716579176020298</v>
      </c>
      <c r="BL184" t="s">
        <v>6117</v>
      </c>
      <c r="BM184" s="1">
        <f>BK184*3*D184</f>
        <v>75.567916008979495</v>
      </c>
      <c r="BN184" s="1">
        <f>BM184-C184</f>
        <v>0.36791600897949195</v>
      </c>
      <c r="BO184" s="1">
        <f>GK184*3*D184</f>
        <v>53.759999999999991</v>
      </c>
      <c r="BP184" s="1">
        <f>DO184*3*D184</f>
        <v>82.56</v>
      </c>
      <c r="BQ184" s="1">
        <f>FJ184*3*D184</f>
        <v>76.800000000000011</v>
      </c>
      <c r="BR184" s="1">
        <f>GL184*3*D184</f>
        <v>48</v>
      </c>
      <c r="BT184">
        <v>37.31</v>
      </c>
      <c r="BU184">
        <v>8.5</v>
      </c>
      <c r="BV184" t="s">
        <v>5085</v>
      </c>
      <c r="BW184" t="s">
        <v>5139</v>
      </c>
      <c r="BX184" t="s">
        <v>5140</v>
      </c>
      <c r="BY184" t="s">
        <v>5598</v>
      </c>
      <c r="BZ184" t="s">
        <v>5599</v>
      </c>
      <c r="CA184" t="s">
        <v>2420</v>
      </c>
      <c r="CC184" t="s">
        <v>3256</v>
      </c>
      <c r="CD184" t="s">
        <v>2422</v>
      </c>
      <c r="CE184" t="s">
        <v>2423</v>
      </c>
      <c r="CG184" t="s">
        <v>2957</v>
      </c>
      <c r="CH184" t="s">
        <v>2425</v>
      </c>
      <c r="CI184" t="s">
        <v>2426</v>
      </c>
      <c r="CJ184" t="s">
        <v>2427</v>
      </c>
      <c r="CK184" t="s">
        <v>3257</v>
      </c>
      <c r="CL184" t="s">
        <v>2999</v>
      </c>
      <c r="CM184" t="s">
        <v>2430</v>
      </c>
      <c r="CO184" t="s">
        <v>2960</v>
      </c>
      <c r="CP184" t="s">
        <v>2432</v>
      </c>
      <c r="CQ184" t="s">
        <v>2433</v>
      </c>
      <c r="CR184" t="s">
        <v>2434</v>
      </c>
      <c r="CS184" t="s">
        <v>2962</v>
      </c>
      <c r="CT184" t="s">
        <v>2436</v>
      </c>
      <c r="CV184">
        <v>9</v>
      </c>
      <c r="CW184">
        <v>9</v>
      </c>
      <c r="CX184">
        <v>8</v>
      </c>
      <c r="CY184">
        <v>9</v>
      </c>
      <c r="CZ184">
        <v>8</v>
      </c>
      <c r="DA184">
        <v>0.1</v>
      </c>
      <c r="DB184">
        <v>0.1</v>
      </c>
      <c r="DC184">
        <v>0.2</v>
      </c>
      <c r="DD184">
        <v>0.3</v>
      </c>
      <c r="DE184">
        <v>0.3</v>
      </c>
      <c r="DF184">
        <v>0.9</v>
      </c>
      <c r="DG184">
        <v>0.9</v>
      </c>
      <c r="DH184">
        <v>1.6</v>
      </c>
      <c r="DI184">
        <v>2.7</v>
      </c>
      <c r="DJ184">
        <v>2.4</v>
      </c>
      <c r="DK184">
        <v>8.5</v>
      </c>
      <c r="DL184">
        <v>0</v>
      </c>
      <c r="DM184">
        <v>8.5</v>
      </c>
      <c r="DN184">
        <v>8.4</v>
      </c>
      <c r="DO184">
        <f>AVERAGE(CV184:CZ184)</f>
        <v>8.6</v>
      </c>
      <c r="DQ184">
        <v>8</v>
      </c>
      <c r="DR184" t="s">
        <v>65</v>
      </c>
      <c r="DS184" t="s">
        <v>66</v>
      </c>
      <c r="DT184" t="s">
        <v>67</v>
      </c>
      <c r="DU184" t="s">
        <v>68</v>
      </c>
      <c r="DV184" t="s">
        <v>74</v>
      </c>
      <c r="DW184" t="s">
        <v>3836</v>
      </c>
      <c r="DX184" t="s">
        <v>3858</v>
      </c>
      <c r="DY184" t="s">
        <v>4574</v>
      </c>
      <c r="DZ184" t="s">
        <v>4575</v>
      </c>
      <c r="EA184" t="s">
        <v>3860</v>
      </c>
      <c r="EB184" t="s">
        <v>3840</v>
      </c>
      <c r="EC184" t="s">
        <v>4576</v>
      </c>
      <c r="ED184" t="s">
        <v>4577</v>
      </c>
      <c r="EE184" t="s">
        <v>3886</v>
      </c>
      <c r="EF184" t="s">
        <v>3900</v>
      </c>
      <c r="EG184" t="s">
        <v>4578</v>
      </c>
      <c r="EH184" t="s">
        <v>4579</v>
      </c>
      <c r="EI184" t="s">
        <v>3879</v>
      </c>
      <c r="EJ184" t="s">
        <v>3904</v>
      </c>
      <c r="EK184" t="s">
        <v>4580</v>
      </c>
      <c r="EL184" t="s">
        <v>4581</v>
      </c>
      <c r="EM184" t="s">
        <v>3907</v>
      </c>
      <c r="EN184" t="s">
        <v>4582</v>
      </c>
      <c r="EO184" t="s">
        <v>4583</v>
      </c>
      <c r="EP184" t="s">
        <v>4584</v>
      </c>
      <c r="EQ184">
        <v>8</v>
      </c>
      <c r="ER184">
        <v>8</v>
      </c>
      <c r="ES184">
        <v>8</v>
      </c>
      <c r="ET184">
        <v>8</v>
      </c>
      <c r="EU184">
        <v>8</v>
      </c>
      <c r="EV184">
        <v>0.1</v>
      </c>
      <c r="EW184">
        <v>0.1</v>
      </c>
      <c r="EX184">
        <v>0.2</v>
      </c>
      <c r="EY184">
        <v>0.3</v>
      </c>
      <c r="EZ184">
        <v>0.3</v>
      </c>
      <c r="FA184">
        <f>EV184*EQ184</f>
        <v>0.8</v>
      </c>
      <c r="FB184">
        <f>EW184*ER184</f>
        <v>0.8</v>
      </c>
      <c r="FC184">
        <f>EX184*ES184</f>
        <v>1.6</v>
      </c>
      <c r="FD184">
        <f>EY184*ET184</f>
        <v>2.4</v>
      </c>
      <c r="FE184">
        <f>EZ184*EU184</f>
        <v>2.4</v>
      </c>
      <c r="FF184">
        <v>18</v>
      </c>
      <c r="FG184">
        <v>0</v>
      </c>
      <c r="FH184">
        <v>8</v>
      </c>
      <c r="FI184">
        <f>FA184+FB184+FC184+FD184+FE184</f>
        <v>8</v>
      </c>
      <c r="FJ184">
        <f>MEDIAN(EQ184:EU184)</f>
        <v>8</v>
      </c>
      <c r="FL184">
        <v>40.950000000000003</v>
      </c>
      <c r="FN184" t="s">
        <v>1467</v>
      </c>
      <c r="FO184" t="s">
        <v>1468</v>
      </c>
      <c r="FP184" t="s">
        <v>1469</v>
      </c>
      <c r="FQ184" t="s">
        <v>1470</v>
      </c>
      <c r="FR184" t="s">
        <v>1471</v>
      </c>
      <c r="FS184">
        <v>4</v>
      </c>
      <c r="FT184">
        <v>3</v>
      </c>
      <c r="FU184">
        <v>5</v>
      </c>
      <c r="FV184">
        <v>6</v>
      </c>
      <c r="FW184">
        <v>7</v>
      </c>
      <c r="FX184">
        <v>0.1</v>
      </c>
      <c r="FY184">
        <v>0.1</v>
      </c>
      <c r="FZ184">
        <v>0.2</v>
      </c>
      <c r="GA184">
        <v>0.3</v>
      </c>
      <c r="GB184">
        <v>0.3</v>
      </c>
      <c r="GC184">
        <f>FS184*FX184</f>
        <v>0.4</v>
      </c>
      <c r="GD184">
        <f>FT184*FY184</f>
        <v>0.30000000000000004</v>
      </c>
      <c r="GE184">
        <f>FU184*FZ184</f>
        <v>1</v>
      </c>
      <c r="GF184">
        <f>FV184*GA184</f>
        <v>1.7999999999999998</v>
      </c>
      <c r="GG184">
        <f>FW184*GB184</f>
        <v>2.1</v>
      </c>
      <c r="GH184">
        <v>6.6</v>
      </c>
      <c r="GJ184">
        <v>7.1</v>
      </c>
      <c r="GK184">
        <f>GC184+GD184+GE184+GF184+GG184</f>
        <v>5.6</v>
      </c>
      <c r="GL184">
        <f>MEDIAN(FS184:FW184)</f>
        <v>5</v>
      </c>
    </row>
    <row r="185" spans="1:194" x14ac:dyDescent="0.25">
      <c r="A185">
        <v>26</v>
      </c>
      <c r="B185" t="s">
        <v>2</v>
      </c>
      <c r="C185" s="4">
        <v>82.8</v>
      </c>
      <c r="D185">
        <v>3.6</v>
      </c>
      <c r="E185" s="1">
        <f>C185/3/D185</f>
        <v>7.6666666666666661</v>
      </c>
      <c r="G185">
        <v>35.950000000000003</v>
      </c>
      <c r="H185">
        <v>8.1999999999999993</v>
      </c>
      <c r="I185">
        <f>H185*D185*3</f>
        <v>88.56</v>
      </c>
      <c r="J185">
        <v>19.420000000000002</v>
      </c>
      <c r="K185">
        <v>8.4</v>
      </c>
      <c r="L185" s="3">
        <f>K185*3*D185</f>
        <v>90.720000000000013</v>
      </c>
      <c r="M185">
        <v>5.0999999999999996</v>
      </c>
      <c r="N185">
        <v>7</v>
      </c>
      <c r="O185">
        <f>N185*D185*3</f>
        <v>75.599999999999994</v>
      </c>
      <c r="P185" s="5">
        <v>7.1</v>
      </c>
      <c r="Q185" s="5">
        <f>P185*D185*3</f>
        <v>76.679999999999993</v>
      </c>
      <c r="S185" t="s">
        <v>6164</v>
      </c>
      <c r="T185">
        <v>7.2</v>
      </c>
      <c r="U185" s="8">
        <f>T185*D185*3</f>
        <v>77.760000000000005</v>
      </c>
      <c r="V185">
        <v>33.979999999999997</v>
      </c>
      <c r="W185">
        <v>9</v>
      </c>
      <c r="X185" s="5">
        <f>W185*D185*3</f>
        <v>97.199999999999989</v>
      </c>
      <c r="Y185">
        <v>11.49</v>
      </c>
      <c r="Z185">
        <v>7.6</v>
      </c>
      <c r="AA185">
        <f>Z185*D185*3</f>
        <v>82.08</v>
      </c>
      <c r="AC185">
        <v>46.09</v>
      </c>
      <c r="AD185">
        <v>8</v>
      </c>
      <c r="AE185" s="1">
        <f>AD185*3*D185</f>
        <v>86.4</v>
      </c>
      <c r="AF185">
        <v>11.98</v>
      </c>
      <c r="AG185" s="5">
        <v>7</v>
      </c>
      <c r="AH185" s="5">
        <f>AG185*D185*3</f>
        <v>75.599999999999994</v>
      </c>
      <c r="AI185" s="13"/>
      <c r="AJ185">
        <v>27</v>
      </c>
      <c r="AK185" s="8">
        <f>AJ185*D185*3</f>
        <v>291.60000000000002</v>
      </c>
      <c r="AL185" s="13"/>
      <c r="AM185">
        <v>30.41</v>
      </c>
      <c r="AN185">
        <v>7.9</v>
      </c>
      <c r="AO185" s="8">
        <f>AN185*D185*3</f>
        <v>85.320000000000007</v>
      </c>
      <c r="AP185">
        <v>14.91</v>
      </c>
      <c r="AQ185">
        <v>10</v>
      </c>
      <c r="AR185">
        <f>AQ185*D185*3</f>
        <v>108</v>
      </c>
      <c r="AS185">
        <v>11.09</v>
      </c>
      <c r="AT185">
        <v>9.1</v>
      </c>
      <c r="AU185">
        <f>AT185*D185*3</f>
        <v>98.28</v>
      </c>
      <c r="AW185">
        <v>22.49</v>
      </c>
      <c r="AX185">
        <v>9.6</v>
      </c>
      <c r="AY185">
        <f>AX185*D185*3</f>
        <v>103.68</v>
      </c>
      <c r="AZ185">
        <v>22.49</v>
      </c>
      <c r="BA185">
        <v>9.4</v>
      </c>
      <c r="BB185">
        <f>BA185*D185*3</f>
        <v>101.52000000000001</v>
      </c>
      <c r="BD185">
        <v>8.6</v>
      </c>
      <c r="BE185">
        <f>BD185*D185*3</f>
        <v>92.88</v>
      </c>
      <c r="BG185" s="10"/>
      <c r="BH185" s="1">
        <f>CHOOSE(MATCH(MIN(ABS(BP185-C185),ABS(BQ185-C185),ABS(BR185-C185)),CHOOSE({1;2;3},ABS(BP185-C185),ABS(BQ185-C185),ABS(BR185-C185)),0),BP185,BQ185,BR185)</f>
        <v>86.4</v>
      </c>
      <c r="BJ185" s="1" cm="1">
        <f t="array" ref="BJ185">(INDEX(_xlfn._xlws.SORT(CHOOSE({1;2;3;4;5;6},BQ185,BR185,L185,AE185,BO185,BP185)),3) + INDEX(_xlfn._xlws.SORT(CHOOSE({1;2;3;4;5;6},BQ185,BR185,L185,AE185,BO185,BP185)),4))/2</f>
        <v>86.4</v>
      </c>
      <c r="BK185">
        <v>7.7569498262675296</v>
      </c>
      <c r="BL185" s="11" t="s">
        <v>6116</v>
      </c>
      <c r="BM185" s="1">
        <f>BK185*3*D185</f>
        <v>83.77505812368932</v>
      </c>
      <c r="BN185" s="1">
        <f>BM185-C185</f>
        <v>0.97505812368932254</v>
      </c>
      <c r="BO185" s="1">
        <f>GK185*3*D185</f>
        <v>61.560000000000009</v>
      </c>
      <c r="BP185" s="1">
        <f>DO185*3*D185</f>
        <v>97.2</v>
      </c>
      <c r="BQ185" s="1">
        <f>FJ185*3*D185</f>
        <v>86.4</v>
      </c>
      <c r="BR185" s="1">
        <f>GL185*3*D185</f>
        <v>64.8</v>
      </c>
      <c r="BT185">
        <v>35.950000000000003</v>
      </c>
      <c r="BU185">
        <v>8.1999999999999993</v>
      </c>
      <c r="BV185" t="s">
        <v>5085</v>
      </c>
      <c r="BW185" t="s">
        <v>5086</v>
      </c>
      <c r="BX185" t="s">
        <v>5087</v>
      </c>
      <c r="BY185" t="s">
        <v>5088</v>
      </c>
      <c r="BZ185" t="s">
        <v>5089</v>
      </c>
      <c r="CA185" t="s">
        <v>2437</v>
      </c>
      <c r="CC185" t="s">
        <v>2548</v>
      </c>
      <c r="CD185" t="s">
        <v>2508</v>
      </c>
      <c r="CE185" t="s">
        <v>2440</v>
      </c>
      <c r="CG185" t="s">
        <v>2509</v>
      </c>
      <c r="CH185" t="s">
        <v>2510</v>
      </c>
      <c r="CI185" t="s">
        <v>2443</v>
      </c>
      <c r="CK185" t="s">
        <v>2655</v>
      </c>
      <c r="CL185" t="s">
        <v>2512</v>
      </c>
      <c r="CM185" t="s">
        <v>2446</v>
      </c>
      <c r="CO185" t="s">
        <v>2549</v>
      </c>
      <c r="CP185" t="s">
        <v>2514</v>
      </c>
      <c r="CQ185" t="s">
        <v>2449</v>
      </c>
      <c r="CS185" t="s">
        <v>2523</v>
      </c>
      <c r="CT185" t="s">
        <v>2524</v>
      </c>
      <c r="CV185">
        <v>9</v>
      </c>
      <c r="CW185">
        <v>9</v>
      </c>
      <c r="CX185">
        <v>9</v>
      </c>
      <c r="CY185">
        <v>9</v>
      </c>
      <c r="CZ185">
        <v>9</v>
      </c>
      <c r="DA185">
        <v>0.1</v>
      </c>
      <c r="DB185">
        <v>0.1</v>
      </c>
      <c r="DC185">
        <v>0.2</v>
      </c>
      <c r="DD185">
        <v>0.3</v>
      </c>
      <c r="DE185">
        <v>0.3</v>
      </c>
      <c r="DF185">
        <v>0.9</v>
      </c>
      <c r="DG185">
        <v>0.9</v>
      </c>
      <c r="DH185">
        <v>1.8</v>
      </c>
      <c r="DI185">
        <v>2.7</v>
      </c>
      <c r="DJ185">
        <v>2.7</v>
      </c>
      <c r="DK185">
        <v>8.1999999999999993</v>
      </c>
      <c r="DL185">
        <v>0</v>
      </c>
      <c r="DM185">
        <v>8.1999999999999993</v>
      </c>
      <c r="DN185">
        <v>8.4</v>
      </c>
      <c r="DO185">
        <f>AVERAGE(CV185:CZ185)</f>
        <v>9</v>
      </c>
      <c r="DQ185">
        <v>8</v>
      </c>
      <c r="DR185" t="s">
        <v>33</v>
      </c>
      <c r="DS185" t="s">
        <v>100</v>
      </c>
      <c r="DT185" t="s">
        <v>101</v>
      </c>
      <c r="DU185" t="s">
        <v>102</v>
      </c>
      <c r="DV185" t="s">
        <v>103</v>
      </c>
      <c r="DW185" t="s">
        <v>3788</v>
      </c>
      <c r="DX185" t="s">
        <v>3789</v>
      </c>
      <c r="DY185" t="s">
        <v>3790</v>
      </c>
      <c r="DZ185" t="s">
        <v>3992</v>
      </c>
      <c r="EA185" t="s">
        <v>3993</v>
      </c>
      <c r="EB185" t="s">
        <v>3793</v>
      </c>
      <c r="EC185" t="s">
        <v>3994</v>
      </c>
      <c r="ED185" t="s">
        <v>3995</v>
      </c>
      <c r="EE185" t="s">
        <v>3996</v>
      </c>
      <c r="EF185" t="s">
        <v>3797</v>
      </c>
      <c r="EG185" t="s">
        <v>3997</v>
      </c>
      <c r="EH185" t="s">
        <v>3998</v>
      </c>
      <c r="EI185" t="s">
        <v>3981</v>
      </c>
      <c r="EJ185" t="s">
        <v>3800</v>
      </c>
      <c r="EK185" t="s">
        <v>3999</v>
      </c>
      <c r="EL185" t="s">
        <v>4000</v>
      </c>
      <c r="EM185" t="s">
        <v>4001</v>
      </c>
      <c r="EN185" t="s">
        <v>3803</v>
      </c>
      <c r="EO185" t="s">
        <v>4002</v>
      </c>
      <c r="EP185" t="s">
        <v>4003</v>
      </c>
      <c r="EQ185">
        <v>8</v>
      </c>
      <c r="ER185">
        <v>8</v>
      </c>
      <c r="ES185">
        <v>8</v>
      </c>
      <c r="ET185">
        <v>8</v>
      </c>
      <c r="EU185">
        <v>8</v>
      </c>
      <c r="EV185">
        <v>0.1</v>
      </c>
      <c r="EW185">
        <v>0.1</v>
      </c>
      <c r="EX185">
        <v>0.2</v>
      </c>
      <c r="EY185">
        <v>0.3</v>
      </c>
      <c r="EZ185">
        <v>0.3</v>
      </c>
      <c r="FA185">
        <f>EV185*EQ185</f>
        <v>0.8</v>
      </c>
      <c r="FB185">
        <f>EW185*ER185</f>
        <v>0.8</v>
      </c>
      <c r="FC185">
        <f>EX185*ES185</f>
        <v>1.6</v>
      </c>
      <c r="FD185">
        <f>EY185*ET185</f>
        <v>2.4</v>
      </c>
      <c r="FE185">
        <f>EZ185*EU185</f>
        <v>2.4</v>
      </c>
      <c r="FF185">
        <v>16</v>
      </c>
      <c r="FG185">
        <v>0</v>
      </c>
      <c r="FH185">
        <v>8</v>
      </c>
      <c r="FI185">
        <f>FA185+FB185+FC185+FD185+FE185</f>
        <v>8</v>
      </c>
      <c r="FJ185">
        <f>MEDIAN(EQ185:EU185)</f>
        <v>8</v>
      </c>
      <c r="FL185">
        <v>37.04</v>
      </c>
      <c r="FM185">
        <v>7</v>
      </c>
      <c r="FN185" t="s">
        <v>725</v>
      </c>
      <c r="FO185" t="s">
        <v>726</v>
      </c>
      <c r="FP185" t="s">
        <v>727</v>
      </c>
      <c r="FQ185" t="s">
        <v>728</v>
      </c>
      <c r="FR185" t="s">
        <v>729</v>
      </c>
      <c r="FS185">
        <v>6</v>
      </c>
      <c r="FT185">
        <v>8</v>
      </c>
      <c r="FU185">
        <v>5</v>
      </c>
      <c r="FV185">
        <v>7</v>
      </c>
      <c r="FW185">
        <v>4</v>
      </c>
      <c r="FX185">
        <v>0.1</v>
      </c>
      <c r="FY185">
        <v>0.1</v>
      </c>
      <c r="FZ185">
        <v>0.2</v>
      </c>
      <c r="GA185">
        <v>0.3</v>
      </c>
      <c r="GB185">
        <v>0.3</v>
      </c>
      <c r="GC185">
        <f>FS185*FX185</f>
        <v>0.60000000000000009</v>
      </c>
      <c r="GD185">
        <f>FT185*FY185</f>
        <v>0.8</v>
      </c>
      <c r="GE185">
        <f>FU185*FZ185</f>
        <v>1</v>
      </c>
      <c r="GF185">
        <f>FV185*GA185</f>
        <v>2.1</v>
      </c>
      <c r="GG185">
        <f>FW185*GB185</f>
        <v>1.2</v>
      </c>
      <c r="GH185">
        <v>6.9</v>
      </c>
      <c r="GI185">
        <v>0.1</v>
      </c>
      <c r="GJ185">
        <v>7</v>
      </c>
      <c r="GK185">
        <f>GC185+GD185+GE185+GF185+GG185</f>
        <v>5.7</v>
      </c>
      <c r="GL185">
        <f>MEDIAN(FS185:FW185)</f>
        <v>6</v>
      </c>
    </row>
    <row r="186" spans="1:194" hidden="1" x14ac:dyDescent="0.25">
      <c r="A186">
        <v>185</v>
      </c>
      <c r="B186" t="s">
        <v>2</v>
      </c>
      <c r="C186" s="4">
        <v>72</v>
      </c>
      <c r="D186">
        <v>3.2</v>
      </c>
      <c r="E186" s="1">
        <f>C186/3/D186</f>
        <v>7.5</v>
      </c>
      <c r="G186">
        <v>35.840000000000003</v>
      </c>
      <c r="H186">
        <v>8</v>
      </c>
      <c r="I186">
        <f>H186*D186*3</f>
        <v>76.800000000000011</v>
      </c>
      <c r="J186">
        <v>16.850000000000001</v>
      </c>
      <c r="K186">
        <v>9</v>
      </c>
      <c r="L186" s="3">
        <f>K186*3*D186</f>
        <v>86.4</v>
      </c>
      <c r="M186">
        <v>4.8499999999999996</v>
      </c>
      <c r="N186">
        <v>5</v>
      </c>
      <c r="O186">
        <f>N186*D186*3</f>
        <v>48</v>
      </c>
      <c r="P186" s="5">
        <v>8.9</v>
      </c>
      <c r="Q186" s="5">
        <f>P186*D186*3</f>
        <v>85.440000000000012</v>
      </c>
      <c r="S186" t="s">
        <v>6317</v>
      </c>
      <c r="T186">
        <v>6</v>
      </c>
      <c r="U186" s="8">
        <f>T186*D186*3</f>
        <v>57.600000000000009</v>
      </c>
      <c r="V186">
        <v>31.28</v>
      </c>
      <c r="W186">
        <v>8.4</v>
      </c>
      <c r="X186" s="5">
        <f>W186*D186*3</f>
        <v>80.640000000000015</v>
      </c>
      <c r="Y186">
        <v>11.4</v>
      </c>
      <c r="Z186">
        <v>7.8</v>
      </c>
      <c r="AA186">
        <f>Z186*D186*3</f>
        <v>74.88</v>
      </c>
      <c r="AC186">
        <v>44.6</v>
      </c>
      <c r="AD186">
        <v>7.9</v>
      </c>
      <c r="AE186" s="1">
        <f>AD186*3*D186</f>
        <v>75.840000000000018</v>
      </c>
      <c r="AF186">
        <v>11.87</v>
      </c>
      <c r="AG186" s="5">
        <v>7</v>
      </c>
      <c r="AH186" s="5">
        <f>AG186*D186*3</f>
        <v>67.2</v>
      </c>
      <c r="AI186" s="13"/>
      <c r="AJ186">
        <v>0.8</v>
      </c>
      <c r="AK186" s="8">
        <f>AJ186*D186*3</f>
        <v>7.6800000000000015</v>
      </c>
      <c r="AL186" s="13"/>
      <c r="AM186">
        <v>31.1</v>
      </c>
      <c r="AN186">
        <v>7.1</v>
      </c>
      <c r="AO186" s="8">
        <f>AN186*D186*3</f>
        <v>68.16</v>
      </c>
      <c r="AP186">
        <v>12.59</v>
      </c>
      <c r="AQ186">
        <v>10</v>
      </c>
      <c r="AR186">
        <f>AQ186*D186*3</f>
        <v>96</v>
      </c>
      <c r="AT186">
        <v>9</v>
      </c>
      <c r="AU186">
        <f>AT186*D186*3</f>
        <v>86.4</v>
      </c>
      <c r="AW186">
        <v>26.16</v>
      </c>
      <c r="AX186">
        <v>8.9</v>
      </c>
      <c r="AY186">
        <f>AX186*D186*3</f>
        <v>85.440000000000012</v>
      </c>
      <c r="AZ186">
        <v>26.16</v>
      </c>
      <c r="BA186">
        <v>9.1</v>
      </c>
      <c r="BB186">
        <f>BA186*D186*3</f>
        <v>87.36</v>
      </c>
      <c r="BD186">
        <v>8.9</v>
      </c>
      <c r="BE186">
        <f>BD186*D186*3</f>
        <v>85.440000000000012</v>
      </c>
      <c r="BG186" s="10"/>
      <c r="BH186" s="1">
        <f>CHOOSE(MATCH(MIN(ABS(BP186-C186),ABS(BQ186-C186),ABS(BR186-C186)),CHOOSE({1;2;3},ABS(BP186-C186),ABS(BQ186-C186),ABS(BR186-C186)),0),BP186,BQ186,BR186)</f>
        <v>67.2</v>
      </c>
      <c r="BJ186" s="1" cm="1">
        <f t="array" ref="BJ186">(INDEX(_xlfn._xlws.SORT(CHOOSE({1;2;3;4;5;6},BQ186,BR186,L186,AE186,BO186,BP186)),3) + INDEX(_xlfn._xlws.SORT(CHOOSE({1;2;3;4;5;6},BQ186,BR186,L186,AE186,BO186,BP186)),4))/2</f>
        <v>76.320000000000022</v>
      </c>
      <c r="BK186">
        <v>7.5616513023289897</v>
      </c>
      <c r="BL186" t="s">
        <v>6117</v>
      </c>
      <c r="BM186" s="1">
        <f>BK186*3*D186</f>
        <v>72.591852502358307</v>
      </c>
      <c r="BN186" s="1">
        <f>BM186-C186</f>
        <v>0.59185250235830722</v>
      </c>
      <c r="BO186" s="1">
        <f>GK186*3*D186</f>
        <v>67.680000000000007</v>
      </c>
      <c r="BP186" s="1">
        <f>DO186*3*D186</f>
        <v>86.4</v>
      </c>
      <c r="BQ186" s="1">
        <f>FJ186*3*D186</f>
        <v>76.800000000000011</v>
      </c>
      <c r="BR186" s="1">
        <f>GL186*3*D186</f>
        <v>67.2</v>
      </c>
      <c r="BT186">
        <v>35.840000000000003</v>
      </c>
      <c r="BU186">
        <v>8</v>
      </c>
      <c r="BV186" t="s">
        <v>5449</v>
      </c>
      <c r="BW186" t="s">
        <v>5082</v>
      </c>
      <c r="BX186" t="s">
        <v>5057</v>
      </c>
      <c r="BY186" t="s">
        <v>5438</v>
      </c>
      <c r="BZ186" t="s">
        <v>5600</v>
      </c>
      <c r="CA186" t="s">
        <v>2480</v>
      </c>
      <c r="CC186" t="s">
        <v>2551</v>
      </c>
      <c r="CD186" t="s">
        <v>3258</v>
      </c>
      <c r="CE186" t="s">
        <v>2482</v>
      </c>
      <c r="CG186" t="s">
        <v>3259</v>
      </c>
      <c r="CH186" t="s">
        <v>3260</v>
      </c>
      <c r="CI186" t="s">
        <v>2726</v>
      </c>
      <c r="CK186" t="s">
        <v>3261</v>
      </c>
      <c r="CL186" t="s">
        <v>3262</v>
      </c>
      <c r="CM186" t="s">
        <v>3263</v>
      </c>
      <c r="CO186" t="s">
        <v>3264</v>
      </c>
      <c r="CP186" t="s">
        <v>3265</v>
      </c>
      <c r="CQ186" t="s">
        <v>3266</v>
      </c>
      <c r="CS186" t="s">
        <v>3267</v>
      </c>
      <c r="CT186" t="s">
        <v>3268</v>
      </c>
      <c r="CV186">
        <v>9</v>
      </c>
      <c r="CW186">
        <v>9</v>
      </c>
      <c r="CX186">
        <v>9</v>
      </c>
      <c r="CY186">
        <v>9</v>
      </c>
      <c r="CZ186">
        <v>9</v>
      </c>
      <c r="DA186">
        <v>0.1</v>
      </c>
      <c r="DB186">
        <v>0.1</v>
      </c>
      <c r="DC186">
        <v>0.2</v>
      </c>
      <c r="DD186">
        <v>0.3</v>
      </c>
      <c r="DE186">
        <v>0.3</v>
      </c>
      <c r="DF186">
        <v>0.9</v>
      </c>
      <c r="DG186">
        <v>0.9</v>
      </c>
      <c r="DH186">
        <v>1.8</v>
      </c>
      <c r="DI186">
        <v>2.7</v>
      </c>
      <c r="DJ186">
        <v>2.7</v>
      </c>
      <c r="DK186">
        <v>8</v>
      </c>
      <c r="DL186">
        <v>0</v>
      </c>
      <c r="DM186">
        <v>8</v>
      </c>
      <c r="DN186">
        <v>9</v>
      </c>
      <c r="DO186">
        <f>AVERAGE(CV186:CZ186)</f>
        <v>9</v>
      </c>
      <c r="DQ186">
        <v>8</v>
      </c>
      <c r="DR186" t="s">
        <v>65</v>
      </c>
      <c r="DS186" t="s">
        <v>66</v>
      </c>
      <c r="DT186" t="s">
        <v>373</v>
      </c>
      <c r="DU186" t="s">
        <v>252</v>
      </c>
      <c r="DV186" t="s">
        <v>124</v>
      </c>
      <c r="DW186" t="s">
        <v>3769</v>
      </c>
      <c r="DX186" t="s">
        <v>3770</v>
      </c>
      <c r="DY186" t="s">
        <v>3771</v>
      </c>
      <c r="DZ186" t="s">
        <v>3772</v>
      </c>
      <c r="EA186" t="s">
        <v>3806</v>
      </c>
      <c r="EB186" t="s">
        <v>3807</v>
      </c>
      <c r="EC186" t="s">
        <v>3775</v>
      </c>
      <c r="ED186" t="s">
        <v>3776</v>
      </c>
      <c r="EE186" t="s">
        <v>4240</v>
      </c>
      <c r="EF186" t="s">
        <v>3809</v>
      </c>
      <c r="EG186" t="s">
        <v>4585</v>
      </c>
      <c r="EH186" t="s">
        <v>4586</v>
      </c>
      <c r="EI186" t="s">
        <v>4468</v>
      </c>
      <c r="EJ186" t="s">
        <v>3813</v>
      </c>
      <c r="EK186" t="s">
        <v>4014</v>
      </c>
      <c r="EL186" t="s">
        <v>3815</v>
      </c>
      <c r="EM186" t="s">
        <v>4470</v>
      </c>
      <c r="EN186" t="s">
        <v>3809</v>
      </c>
      <c r="EO186" t="s">
        <v>4587</v>
      </c>
      <c r="EP186" t="s">
        <v>3818</v>
      </c>
      <c r="EQ186">
        <v>7</v>
      </c>
      <c r="ER186">
        <v>8</v>
      </c>
      <c r="ES186">
        <v>8</v>
      </c>
      <c r="ET186">
        <v>8</v>
      </c>
      <c r="EU186">
        <v>8</v>
      </c>
      <c r="EV186">
        <v>0.1</v>
      </c>
      <c r="EW186">
        <v>0.1</v>
      </c>
      <c r="EX186">
        <v>0.2</v>
      </c>
      <c r="EY186">
        <v>0.3</v>
      </c>
      <c r="EZ186">
        <v>0.3</v>
      </c>
      <c r="FA186">
        <f>EV186*EQ186</f>
        <v>0.70000000000000007</v>
      </c>
      <c r="FB186">
        <f>EW186*ER186</f>
        <v>0.8</v>
      </c>
      <c r="FC186">
        <f>EX186*ES186</f>
        <v>1.6</v>
      </c>
      <c r="FD186">
        <f>EY186*ET186</f>
        <v>2.4</v>
      </c>
      <c r="FE186">
        <f>EZ186*EU186</f>
        <v>2.4</v>
      </c>
      <c r="FF186">
        <v>15</v>
      </c>
      <c r="FG186">
        <v>0</v>
      </c>
      <c r="FH186">
        <v>15</v>
      </c>
      <c r="FI186">
        <f>FA186+FB186+FC186+FD186+FE186</f>
        <v>7.9</v>
      </c>
      <c r="FJ186">
        <f>MEDIAN(EQ186:EU186)</f>
        <v>8</v>
      </c>
      <c r="FL186">
        <v>42.52</v>
      </c>
      <c r="FM186">
        <v>7.4</v>
      </c>
      <c r="FN186" t="s">
        <v>1477</v>
      </c>
      <c r="FO186" t="s">
        <v>1478</v>
      </c>
      <c r="FP186" t="s">
        <v>1479</v>
      </c>
      <c r="FQ186" t="s">
        <v>1480</v>
      </c>
      <c r="FR186" t="s">
        <v>1481</v>
      </c>
      <c r="FS186">
        <v>7</v>
      </c>
      <c r="FT186">
        <v>8</v>
      </c>
      <c r="FU186">
        <v>7.5</v>
      </c>
      <c r="FV186">
        <v>6.5</v>
      </c>
      <c r="FW186">
        <v>7</v>
      </c>
      <c r="FX186">
        <v>0.1</v>
      </c>
      <c r="FY186">
        <v>0.1</v>
      </c>
      <c r="FZ186">
        <v>0.2</v>
      </c>
      <c r="GA186">
        <v>0.3</v>
      </c>
      <c r="GB186">
        <v>0.3</v>
      </c>
      <c r="GC186">
        <f>FS186*FX186</f>
        <v>0.70000000000000007</v>
      </c>
      <c r="GD186">
        <f>FT186*FY186</f>
        <v>0.8</v>
      </c>
      <c r="GE186">
        <f>FU186*FZ186</f>
        <v>1.5</v>
      </c>
      <c r="GF186">
        <f>FV186*GA186</f>
        <v>1.95</v>
      </c>
      <c r="GG186">
        <f>FW186*GB186</f>
        <v>2.1</v>
      </c>
      <c r="GH186">
        <v>7.45</v>
      </c>
      <c r="GI186">
        <v>0</v>
      </c>
      <c r="GJ186">
        <v>7.4</v>
      </c>
      <c r="GK186">
        <f>GC186+GD186+GE186+GF186+GG186</f>
        <v>7.0500000000000007</v>
      </c>
      <c r="GL186">
        <f>MEDIAN(FS186:FW186)</f>
        <v>7</v>
      </c>
    </row>
    <row r="187" spans="1:194" hidden="1" x14ac:dyDescent="0.25">
      <c r="A187">
        <v>186</v>
      </c>
      <c r="B187" t="s">
        <v>2</v>
      </c>
      <c r="C187" s="4">
        <v>73.5</v>
      </c>
      <c r="D187">
        <v>3</v>
      </c>
      <c r="E187" s="1">
        <f>C187/3/D187</f>
        <v>8.1666666666666661</v>
      </c>
      <c r="G187">
        <v>98.3</v>
      </c>
      <c r="H187">
        <v>8.1999999999999993</v>
      </c>
      <c r="I187">
        <f>H187*D187*3</f>
        <v>73.8</v>
      </c>
      <c r="J187">
        <v>18.690000000000001</v>
      </c>
      <c r="K187">
        <v>9</v>
      </c>
      <c r="L187" s="3">
        <f>K187*3*D187</f>
        <v>81</v>
      </c>
      <c r="M187">
        <v>4.1100000000000003</v>
      </c>
      <c r="N187">
        <v>8</v>
      </c>
      <c r="O187">
        <f>N187*D187*3</f>
        <v>72</v>
      </c>
      <c r="P187" s="5">
        <v>8.5</v>
      </c>
      <c r="Q187" s="5">
        <f>P187*D187*3</f>
        <v>76.5</v>
      </c>
      <c r="S187" t="s">
        <v>6318</v>
      </c>
      <c r="T187">
        <v>2.5</v>
      </c>
      <c r="U187" s="8">
        <f>T187*D187*3</f>
        <v>22.5</v>
      </c>
      <c r="V187">
        <v>36.07</v>
      </c>
      <c r="W187">
        <v>8</v>
      </c>
      <c r="X187" s="5">
        <f>W187*D187*3</f>
        <v>72</v>
      </c>
      <c r="Y187">
        <v>9.16</v>
      </c>
      <c r="Z187">
        <v>6</v>
      </c>
      <c r="AA187">
        <f>Z187*D187*3</f>
        <v>54</v>
      </c>
      <c r="AC187">
        <v>46.78</v>
      </c>
      <c r="AD187">
        <v>7.9</v>
      </c>
      <c r="AE187" s="1">
        <f>AD187*3*D187</f>
        <v>71.100000000000009</v>
      </c>
      <c r="AF187">
        <v>12.01</v>
      </c>
      <c r="AG187" s="5">
        <v>7</v>
      </c>
      <c r="AH187" s="5">
        <f>AG187*D187*3</f>
        <v>63</v>
      </c>
      <c r="AI187" s="13"/>
      <c r="AJ187">
        <v>3.2</v>
      </c>
      <c r="AK187" s="8">
        <f>AJ187*D187*3</f>
        <v>28.800000000000004</v>
      </c>
      <c r="AL187" s="13"/>
      <c r="AM187">
        <v>30.78</v>
      </c>
      <c r="AN187">
        <v>7.6</v>
      </c>
      <c r="AO187" s="8">
        <f>AN187*D187*3</f>
        <v>68.399999999999991</v>
      </c>
      <c r="AP187">
        <v>14.72</v>
      </c>
      <c r="AQ187">
        <v>10</v>
      </c>
      <c r="AR187">
        <f>AQ187*D187*3</f>
        <v>90</v>
      </c>
      <c r="AT187">
        <v>9</v>
      </c>
      <c r="AU187">
        <f>AT187*D187*3</f>
        <v>81</v>
      </c>
      <c r="AW187">
        <v>23.9</v>
      </c>
      <c r="AX187">
        <v>9.3000000000000007</v>
      </c>
      <c r="AY187">
        <f>AX187*D187*3</f>
        <v>83.7</v>
      </c>
      <c r="AZ187">
        <v>23.9</v>
      </c>
      <c r="BA187">
        <v>9</v>
      </c>
      <c r="BB187">
        <f>BA187*D187*3</f>
        <v>81</v>
      </c>
      <c r="BD187">
        <v>9</v>
      </c>
      <c r="BE187">
        <f>BD187*D187*3</f>
        <v>81</v>
      </c>
      <c r="BG187" s="10"/>
      <c r="BH187" s="1">
        <f>CHOOSE(MATCH(MIN(ABS(BP187-C187),ABS(BQ187-C187),ABS(BR187-C187)),CHOOSE({1;2;3},ABS(BP187-C187),ABS(BQ187-C187),ABS(BR187-C187)),0),BP187,BQ187,BR187)</f>
        <v>72</v>
      </c>
      <c r="BJ187" s="1" cm="1">
        <f t="array" ref="BJ187">(INDEX(_xlfn._xlws.SORT(CHOOSE({1;2;3;4;5;6},BQ187,BR187,L187,AE187,BO187,BP187)),3) + INDEX(_xlfn._xlws.SORT(CHOOSE({1;2;3;4;5;6},BQ187,BR187,L187,AE187,BO187,BP187)),4))/2</f>
        <v>72</v>
      </c>
      <c r="BK187">
        <v>8.1644473240902808</v>
      </c>
      <c r="BL187" t="s">
        <v>6117</v>
      </c>
      <c r="BM187" s="1">
        <f>BK187*3*D187</f>
        <v>73.480025916812522</v>
      </c>
      <c r="BN187" s="1">
        <f>BM187-C187</f>
        <v>-1.9974083187477731E-2</v>
      </c>
      <c r="BO187" s="1">
        <f>GK187*3*D187</f>
        <v>66.599999999999994</v>
      </c>
      <c r="BP187" s="1">
        <f>DO187*3*D187</f>
        <v>81</v>
      </c>
      <c r="BQ187" s="1">
        <f>FJ187*3*D187</f>
        <v>72</v>
      </c>
      <c r="BR187" s="1">
        <f>GL187*3*D187</f>
        <v>72</v>
      </c>
      <c r="BT187">
        <v>98.3</v>
      </c>
      <c r="BU187">
        <v>8.1999999999999993</v>
      </c>
      <c r="BV187" t="s">
        <v>5114</v>
      </c>
      <c r="BW187" t="s">
        <v>5276</v>
      </c>
      <c r="BX187" t="s">
        <v>5277</v>
      </c>
      <c r="BY187" t="s">
        <v>5278</v>
      </c>
      <c r="BZ187" t="s">
        <v>5601</v>
      </c>
      <c r="CA187" t="s">
        <v>2723</v>
      </c>
      <c r="CC187" t="s">
        <v>2842</v>
      </c>
      <c r="CD187" t="s">
        <v>2439</v>
      </c>
      <c r="CE187" t="s">
        <v>2440</v>
      </c>
      <c r="CG187" t="s">
        <v>3023</v>
      </c>
      <c r="CH187" t="s">
        <v>2648</v>
      </c>
      <c r="CI187" t="s">
        <v>2443</v>
      </c>
      <c r="CK187" t="s">
        <v>3024</v>
      </c>
      <c r="CL187" t="s">
        <v>3025</v>
      </c>
      <c r="CM187" t="s">
        <v>2446</v>
      </c>
      <c r="CO187" t="s">
        <v>3026</v>
      </c>
      <c r="CP187" t="s">
        <v>2652</v>
      </c>
      <c r="CQ187" t="s">
        <v>2449</v>
      </c>
      <c r="CS187" t="s">
        <v>3027</v>
      </c>
      <c r="CT187" t="s">
        <v>3028</v>
      </c>
      <c r="CV187">
        <v>9</v>
      </c>
      <c r="CW187">
        <v>9</v>
      </c>
      <c r="CX187">
        <v>9</v>
      </c>
      <c r="CY187">
        <v>9</v>
      </c>
      <c r="CZ187">
        <v>9</v>
      </c>
      <c r="DA187">
        <v>0.1</v>
      </c>
      <c r="DB187">
        <v>0.1</v>
      </c>
      <c r="DC187">
        <v>0.2</v>
      </c>
      <c r="DD187">
        <v>0.3</v>
      </c>
      <c r="DE187">
        <v>0.3</v>
      </c>
      <c r="DF187">
        <v>0.9</v>
      </c>
      <c r="DG187">
        <v>0.9</v>
      </c>
      <c r="DH187">
        <v>1.8</v>
      </c>
      <c r="DI187">
        <v>2.7</v>
      </c>
      <c r="DJ187">
        <v>2.7</v>
      </c>
      <c r="DK187">
        <v>8.1999999999999993</v>
      </c>
      <c r="DL187">
        <v>0</v>
      </c>
      <c r="DM187">
        <v>8.1999999999999993</v>
      </c>
      <c r="DN187">
        <v>9</v>
      </c>
      <c r="DO187">
        <f>AVERAGE(CV187:CZ187)</f>
        <v>9</v>
      </c>
      <c r="DQ187">
        <v>8</v>
      </c>
      <c r="DR187" t="s">
        <v>65</v>
      </c>
      <c r="DS187" t="s">
        <v>66</v>
      </c>
      <c r="DT187" t="s">
        <v>373</v>
      </c>
      <c r="DU187" t="s">
        <v>252</v>
      </c>
      <c r="DV187" t="s">
        <v>124</v>
      </c>
      <c r="DW187" t="s">
        <v>3805</v>
      </c>
      <c r="DX187" t="s">
        <v>3770</v>
      </c>
      <c r="DY187" t="s">
        <v>3771</v>
      </c>
      <c r="DZ187" t="s">
        <v>3772</v>
      </c>
      <c r="EA187" t="s">
        <v>3806</v>
      </c>
      <c r="EB187" t="s">
        <v>3807</v>
      </c>
      <c r="EC187" t="s">
        <v>3775</v>
      </c>
      <c r="ED187" t="s">
        <v>3776</v>
      </c>
      <c r="EE187" t="s">
        <v>4240</v>
      </c>
      <c r="EF187" t="s">
        <v>3809</v>
      </c>
      <c r="EG187" t="s">
        <v>4588</v>
      </c>
      <c r="EH187" t="s">
        <v>3811</v>
      </c>
      <c r="EI187" t="s">
        <v>4468</v>
      </c>
      <c r="EJ187" t="s">
        <v>3813</v>
      </c>
      <c r="EK187" t="s">
        <v>4469</v>
      </c>
      <c r="EL187" t="s">
        <v>3815</v>
      </c>
      <c r="EM187" t="s">
        <v>4470</v>
      </c>
      <c r="EN187" t="s">
        <v>3809</v>
      </c>
      <c r="EO187" t="s">
        <v>4589</v>
      </c>
      <c r="EP187" t="s">
        <v>3818</v>
      </c>
      <c r="EQ187">
        <v>7</v>
      </c>
      <c r="ER187">
        <v>8</v>
      </c>
      <c r="ES187">
        <v>8</v>
      </c>
      <c r="ET187">
        <v>8</v>
      </c>
      <c r="EU187">
        <v>8</v>
      </c>
      <c r="EV187">
        <v>0.1</v>
      </c>
      <c r="EW187">
        <v>0.1</v>
      </c>
      <c r="EX187">
        <v>0.2</v>
      </c>
      <c r="EY187">
        <v>0.3</v>
      </c>
      <c r="EZ187">
        <v>0.3</v>
      </c>
      <c r="FA187">
        <f>EV187*EQ187</f>
        <v>0.70000000000000007</v>
      </c>
      <c r="FB187">
        <f>EW187*ER187</f>
        <v>0.8</v>
      </c>
      <c r="FC187">
        <f>EX187*ES187</f>
        <v>1.6</v>
      </c>
      <c r="FD187">
        <f>EY187*ET187</f>
        <v>2.4</v>
      </c>
      <c r="FE187">
        <f>EZ187*EU187</f>
        <v>2.4</v>
      </c>
      <c r="FF187">
        <v>15</v>
      </c>
      <c r="FG187">
        <v>0</v>
      </c>
      <c r="FH187">
        <v>15</v>
      </c>
      <c r="FI187">
        <f>FA187+FB187+FC187+FD187+FE187</f>
        <v>7.9</v>
      </c>
      <c r="FJ187">
        <f>MEDIAN(EQ187:EU187)</f>
        <v>8</v>
      </c>
      <c r="FL187">
        <v>87.52</v>
      </c>
      <c r="FM187">
        <v>8.4</v>
      </c>
      <c r="FN187" t="s">
        <v>1482</v>
      </c>
      <c r="FO187" t="s">
        <v>1483</v>
      </c>
      <c r="FP187" t="s">
        <v>1484</v>
      </c>
      <c r="FQ187" t="s">
        <v>1485</v>
      </c>
      <c r="FR187" t="s">
        <v>1486</v>
      </c>
      <c r="FS187">
        <v>10</v>
      </c>
      <c r="FT187">
        <v>9</v>
      </c>
      <c r="FU187">
        <v>8</v>
      </c>
      <c r="FV187">
        <v>7</v>
      </c>
      <c r="FW187">
        <v>6</v>
      </c>
      <c r="FX187">
        <v>0.1</v>
      </c>
      <c r="FY187">
        <v>0.1</v>
      </c>
      <c r="FZ187">
        <v>0.2</v>
      </c>
      <c r="GA187">
        <v>0.3</v>
      </c>
      <c r="GB187">
        <v>0.3</v>
      </c>
      <c r="GC187">
        <f>FS187*FX187</f>
        <v>1</v>
      </c>
      <c r="GD187">
        <f>FT187*FY187</f>
        <v>0.9</v>
      </c>
      <c r="GE187">
        <f>FU187*FZ187</f>
        <v>1.6</v>
      </c>
      <c r="GF187">
        <f>FV187*GA187</f>
        <v>2.1</v>
      </c>
      <c r="GG187">
        <f>FW187*GB187</f>
        <v>1.7999999999999998</v>
      </c>
      <c r="GH187">
        <v>8.4</v>
      </c>
      <c r="GJ187">
        <v>8.4</v>
      </c>
      <c r="GK187">
        <f>GC187+GD187+GE187+GF187+GG187</f>
        <v>7.3999999999999995</v>
      </c>
      <c r="GL187">
        <f>MEDIAN(FS187:FW187)</f>
        <v>8</v>
      </c>
    </row>
    <row r="188" spans="1:194" hidden="1" x14ac:dyDescent="0.25">
      <c r="A188">
        <v>187</v>
      </c>
      <c r="B188" t="s">
        <v>2</v>
      </c>
      <c r="C188" s="4">
        <v>66</v>
      </c>
      <c r="D188">
        <v>3</v>
      </c>
      <c r="E188" s="1">
        <f>C188/3/D188</f>
        <v>7.333333333333333</v>
      </c>
      <c r="G188">
        <v>86.86</v>
      </c>
      <c r="H188">
        <v>8.1999999999999993</v>
      </c>
      <c r="I188">
        <f>H188*D188*3</f>
        <v>73.8</v>
      </c>
      <c r="J188">
        <v>18.3</v>
      </c>
      <c r="K188">
        <v>9</v>
      </c>
      <c r="L188" s="3">
        <f>K188*3*D188</f>
        <v>81</v>
      </c>
      <c r="M188">
        <v>3.99</v>
      </c>
      <c r="N188">
        <v>8.9</v>
      </c>
      <c r="O188">
        <f>N188*D188*3</f>
        <v>80.100000000000009</v>
      </c>
      <c r="P188" s="5">
        <v>7.8</v>
      </c>
      <c r="Q188" s="5">
        <f>P188*D188*3</f>
        <v>70.199999999999989</v>
      </c>
      <c r="S188" t="s">
        <v>6319</v>
      </c>
      <c r="T188">
        <v>5.3</v>
      </c>
      <c r="U188" s="8">
        <f>T188*D188*3</f>
        <v>47.699999999999996</v>
      </c>
      <c r="V188">
        <v>32.64</v>
      </c>
      <c r="W188">
        <v>8</v>
      </c>
      <c r="X188" s="5">
        <f>W188*D188*3</f>
        <v>72</v>
      </c>
      <c r="Y188">
        <v>9.15</v>
      </c>
      <c r="Z188">
        <v>6.7</v>
      </c>
      <c r="AA188">
        <f>Z188*D188*3</f>
        <v>60.300000000000004</v>
      </c>
      <c r="AC188">
        <v>49.02</v>
      </c>
      <c r="AD188">
        <v>7.9</v>
      </c>
      <c r="AE188" s="1">
        <f>AD188*3*D188</f>
        <v>71.100000000000009</v>
      </c>
      <c r="AF188">
        <v>12.04</v>
      </c>
      <c r="AG188" s="5">
        <v>7</v>
      </c>
      <c r="AH188" s="5">
        <f>AG188*D188*3</f>
        <v>63</v>
      </c>
      <c r="AI188" s="13"/>
      <c r="AJ188">
        <v>8.1999999999999993</v>
      </c>
      <c r="AK188" s="8">
        <f>AJ188*D188*3</f>
        <v>73.8</v>
      </c>
      <c r="AL188" s="13"/>
      <c r="AM188">
        <v>30.17</v>
      </c>
      <c r="AN188">
        <v>7.5</v>
      </c>
      <c r="AO188" s="8">
        <f>AN188*D188*3</f>
        <v>67.5</v>
      </c>
      <c r="AP188">
        <v>14.59</v>
      </c>
      <c r="AQ188">
        <v>9.5</v>
      </c>
      <c r="AR188">
        <f>AQ188*D188*3</f>
        <v>85.5</v>
      </c>
      <c r="AT188">
        <v>8.6</v>
      </c>
      <c r="AU188">
        <f>AT188*D188*3</f>
        <v>77.399999999999991</v>
      </c>
      <c r="AW188">
        <v>24.18</v>
      </c>
      <c r="AX188">
        <v>9.9</v>
      </c>
      <c r="AY188">
        <f>AX188*D188*3</f>
        <v>89.100000000000009</v>
      </c>
      <c r="AZ188">
        <v>24.18</v>
      </c>
      <c r="BA188">
        <v>9</v>
      </c>
      <c r="BB188">
        <f>BA188*D188*3</f>
        <v>81</v>
      </c>
      <c r="BD188">
        <v>8.8000000000000007</v>
      </c>
      <c r="BE188">
        <f>BD188*D188*3</f>
        <v>79.2</v>
      </c>
      <c r="BG188" s="10"/>
      <c r="BH188" s="1">
        <f>CHOOSE(MATCH(MIN(ABS(BP188-C188),ABS(BQ188-C188),ABS(BR188-C188)),CHOOSE({1;2;3},ABS(BP188-C188),ABS(BQ188-C188),ABS(BR188-C188)),0),BP188,BQ188,BR188)</f>
        <v>67.5</v>
      </c>
      <c r="BJ188" s="1" cm="1">
        <f t="array" ref="BJ188">(INDEX(_xlfn._xlws.SORT(CHOOSE({1;2;3;4;5;6},BQ188,BR188,L188,AE188,BO188,BP188)),3) + INDEX(_xlfn._xlws.SORT(CHOOSE({1;2;3;4;5;6},BQ188,BR188,L188,AE188,BO188,BP188)),4))/2</f>
        <v>71.550000000000011</v>
      </c>
      <c r="BK188">
        <v>7.4045380268950103</v>
      </c>
      <c r="BL188" t="s">
        <v>6117</v>
      </c>
      <c r="BM188" s="1">
        <f>BK188*3*D188</f>
        <v>66.640842242055086</v>
      </c>
      <c r="BN188" s="1">
        <f>BM188-C188</f>
        <v>0.64084224205508633</v>
      </c>
      <c r="BO188" s="1">
        <f>GK188*3*D188</f>
        <v>57.150000000000006</v>
      </c>
      <c r="BP188" s="1">
        <f>DO188*3*D188</f>
        <v>81</v>
      </c>
      <c r="BQ188" s="1">
        <f>FJ188*3*D188</f>
        <v>72</v>
      </c>
      <c r="BR188" s="1">
        <f>GL188*3*D188</f>
        <v>67.5</v>
      </c>
      <c r="BT188">
        <v>86.86</v>
      </c>
      <c r="BU188">
        <v>8.1999999999999993</v>
      </c>
      <c r="BV188" t="s">
        <v>5602</v>
      </c>
      <c r="BW188" t="s">
        <v>5603</v>
      </c>
      <c r="BX188" t="s">
        <v>5604</v>
      </c>
      <c r="BY188" t="s">
        <v>5605</v>
      </c>
      <c r="BZ188" t="s">
        <v>5606</v>
      </c>
      <c r="CA188" t="s">
        <v>2452</v>
      </c>
      <c r="CC188" t="s">
        <v>2585</v>
      </c>
      <c r="CD188" t="s">
        <v>2744</v>
      </c>
      <c r="CE188" t="s">
        <v>2739</v>
      </c>
      <c r="CG188" t="s">
        <v>3269</v>
      </c>
      <c r="CH188" t="s">
        <v>2823</v>
      </c>
      <c r="CI188" t="s">
        <v>3270</v>
      </c>
      <c r="CK188" t="s">
        <v>3271</v>
      </c>
      <c r="CL188" t="s">
        <v>2825</v>
      </c>
      <c r="CM188" t="s">
        <v>3272</v>
      </c>
      <c r="CO188" t="s">
        <v>3273</v>
      </c>
      <c r="CP188" t="s">
        <v>2828</v>
      </c>
      <c r="CQ188" t="s">
        <v>3231</v>
      </c>
      <c r="CS188" t="s">
        <v>3274</v>
      </c>
      <c r="CT188" t="s">
        <v>2831</v>
      </c>
      <c r="CV188">
        <v>9</v>
      </c>
      <c r="CW188">
        <v>9</v>
      </c>
      <c r="CX188">
        <v>9</v>
      </c>
      <c r="CY188">
        <v>9</v>
      </c>
      <c r="CZ188">
        <v>9</v>
      </c>
      <c r="DA188">
        <v>0.1</v>
      </c>
      <c r="DB188">
        <v>0.1</v>
      </c>
      <c r="DC188">
        <v>0.2</v>
      </c>
      <c r="DD188">
        <v>0.3</v>
      </c>
      <c r="DE188">
        <v>0.3</v>
      </c>
      <c r="DF188">
        <v>0.9</v>
      </c>
      <c r="DG188">
        <v>0.9</v>
      </c>
      <c r="DH188">
        <v>1.8</v>
      </c>
      <c r="DI188">
        <v>2.7</v>
      </c>
      <c r="DJ188">
        <v>2.7</v>
      </c>
      <c r="DK188">
        <v>8.1999999999999993</v>
      </c>
      <c r="DL188">
        <v>0</v>
      </c>
      <c r="DM188">
        <v>8.1999999999999993</v>
      </c>
      <c r="DN188">
        <v>9</v>
      </c>
      <c r="DO188">
        <f>AVERAGE(CV188:CZ188)</f>
        <v>9</v>
      </c>
      <c r="DQ188">
        <v>8</v>
      </c>
      <c r="DR188" t="s">
        <v>28</v>
      </c>
      <c r="DS188" t="s">
        <v>29</v>
      </c>
      <c r="DT188" t="s">
        <v>227</v>
      </c>
      <c r="DU188" t="s">
        <v>374</v>
      </c>
      <c r="DV188" t="s">
        <v>59</v>
      </c>
      <c r="DW188" t="s">
        <v>3769</v>
      </c>
      <c r="DX188" t="s">
        <v>3770</v>
      </c>
      <c r="DY188" t="s">
        <v>3771</v>
      </c>
      <c r="DZ188" t="s">
        <v>3772</v>
      </c>
      <c r="EA188" t="s">
        <v>3806</v>
      </c>
      <c r="EB188" t="s">
        <v>3807</v>
      </c>
      <c r="EC188" t="s">
        <v>3775</v>
      </c>
      <c r="ED188" t="s">
        <v>3776</v>
      </c>
      <c r="EE188" t="s">
        <v>4240</v>
      </c>
      <c r="EF188" t="s">
        <v>3809</v>
      </c>
      <c r="EG188" t="s">
        <v>3810</v>
      </c>
      <c r="EH188" t="s">
        <v>3811</v>
      </c>
      <c r="EI188" t="s">
        <v>4590</v>
      </c>
      <c r="EJ188" t="s">
        <v>3813</v>
      </c>
      <c r="EK188" t="s">
        <v>3855</v>
      </c>
      <c r="EL188" t="s">
        <v>4591</v>
      </c>
      <c r="EM188" t="s">
        <v>3816</v>
      </c>
      <c r="EN188" t="s">
        <v>3823</v>
      </c>
      <c r="EO188" t="s">
        <v>3824</v>
      </c>
      <c r="EP188" t="s">
        <v>3857</v>
      </c>
      <c r="EQ188">
        <v>7</v>
      </c>
      <c r="ER188">
        <v>8</v>
      </c>
      <c r="ES188">
        <v>8</v>
      </c>
      <c r="ET188">
        <v>8</v>
      </c>
      <c r="EU188">
        <v>8</v>
      </c>
      <c r="EV188">
        <v>0.1</v>
      </c>
      <c r="EW188">
        <v>0.1</v>
      </c>
      <c r="EX188">
        <v>0.2</v>
      </c>
      <c r="EY188">
        <v>0.3</v>
      </c>
      <c r="EZ188">
        <v>0.3</v>
      </c>
      <c r="FA188">
        <f>EV188*EQ188</f>
        <v>0.70000000000000007</v>
      </c>
      <c r="FB188">
        <f>EW188*ER188</f>
        <v>0.8</v>
      </c>
      <c r="FC188">
        <f>EX188*ES188</f>
        <v>1.6</v>
      </c>
      <c r="FD188">
        <f>EY188*ET188</f>
        <v>2.4</v>
      </c>
      <c r="FE188">
        <f>EZ188*EU188</f>
        <v>2.4</v>
      </c>
      <c r="FF188">
        <v>15</v>
      </c>
      <c r="FG188">
        <v>0</v>
      </c>
      <c r="FH188">
        <v>8</v>
      </c>
      <c r="FI188">
        <f>FA188+FB188+FC188+FD188+FE188</f>
        <v>7.9</v>
      </c>
      <c r="FJ188">
        <f>MEDIAN(EQ188:EU188)</f>
        <v>8</v>
      </c>
      <c r="FL188">
        <v>77.66</v>
      </c>
      <c r="FM188">
        <v>6.5</v>
      </c>
      <c r="FN188" t="s">
        <v>1487</v>
      </c>
      <c r="FO188" t="s">
        <v>1488</v>
      </c>
      <c r="FP188" t="s">
        <v>1489</v>
      </c>
      <c r="FQ188" t="s">
        <v>1490</v>
      </c>
      <c r="FR188" t="s">
        <v>1491</v>
      </c>
      <c r="FS188">
        <v>8</v>
      </c>
      <c r="FT188">
        <v>9</v>
      </c>
      <c r="FU188">
        <v>7.5</v>
      </c>
      <c r="FV188">
        <v>6.5</v>
      </c>
      <c r="FW188">
        <v>4</v>
      </c>
      <c r="FX188">
        <v>0.1</v>
      </c>
      <c r="FY188">
        <v>0.1</v>
      </c>
      <c r="FZ188">
        <v>0.2</v>
      </c>
      <c r="GA188">
        <v>0.3</v>
      </c>
      <c r="GB188">
        <v>0.3</v>
      </c>
      <c r="GC188">
        <f>FS188*FX188</f>
        <v>0.8</v>
      </c>
      <c r="GD188">
        <f>FT188*FY188</f>
        <v>0.9</v>
      </c>
      <c r="GE188">
        <f>FU188*FZ188</f>
        <v>1.5</v>
      </c>
      <c r="GF188">
        <f>FV188*GA188</f>
        <v>1.95</v>
      </c>
      <c r="GG188">
        <f>FW188*GB188</f>
        <v>1.2</v>
      </c>
      <c r="GH188">
        <v>6.5</v>
      </c>
      <c r="GI188">
        <v>0</v>
      </c>
      <c r="GJ188">
        <v>6.5</v>
      </c>
      <c r="GK188">
        <f>GC188+GD188+GE188+GF188+GG188</f>
        <v>6.3500000000000005</v>
      </c>
      <c r="GL188">
        <f>MEDIAN(FS188:FW188)</f>
        <v>7.5</v>
      </c>
    </row>
    <row r="189" spans="1:194" x14ac:dyDescent="0.25">
      <c r="A189">
        <v>239</v>
      </c>
      <c r="B189" t="s">
        <v>2</v>
      </c>
      <c r="C189" s="4">
        <v>88.8</v>
      </c>
      <c r="D189">
        <v>3.7</v>
      </c>
      <c r="E189" s="1">
        <f>C189/3/D189</f>
        <v>7.9999999999999991</v>
      </c>
      <c r="G189">
        <v>84.32</v>
      </c>
      <c r="H189">
        <v>8.1999999999999993</v>
      </c>
      <c r="I189">
        <f>H189*D189*3</f>
        <v>91.02</v>
      </c>
      <c r="J189">
        <v>18.190000000000001</v>
      </c>
      <c r="K189">
        <v>9</v>
      </c>
      <c r="L189" s="3">
        <f>K189*3*D189</f>
        <v>99.9</v>
      </c>
      <c r="M189">
        <v>5.37</v>
      </c>
      <c r="N189">
        <v>5</v>
      </c>
      <c r="O189">
        <f>N189*D189*3</f>
        <v>55.5</v>
      </c>
      <c r="P189" s="5">
        <v>8.5</v>
      </c>
      <c r="Q189" s="5">
        <f>P189*D189*3</f>
        <v>94.350000000000009</v>
      </c>
      <c r="S189" t="s">
        <v>6370</v>
      </c>
      <c r="T189">
        <v>5.6</v>
      </c>
      <c r="U189" s="8">
        <f>T189*D189*3</f>
        <v>62.16</v>
      </c>
      <c r="V189">
        <v>36.56</v>
      </c>
      <c r="W189">
        <v>8.4</v>
      </c>
      <c r="X189" s="5">
        <f>W189*D189*3</f>
        <v>93.240000000000009</v>
      </c>
      <c r="Y189">
        <v>10.93</v>
      </c>
      <c r="Z189">
        <v>6</v>
      </c>
      <c r="AA189">
        <f>Z189*D189*3</f>
        <v>66.600000000000009</v>
      </c>
      <c r="AC189">
        <v>50.29</v>
      </c>
      <c r="AD189">
        <v>7.4</v>
      </c>
      <c r="AE189" s="1">
        <f>AD189*3*D189</f>
        <v>82.140000000000015</v>
      </c>
      <c r="AF189">
        <v>11.9</v>
      </c>
      <c r="AG189" s="5">
        <v>7</v>
      </c>
      <c r="AH189" s="5">
        <f>AG189*D189*3</f>
        <v>77.7</v>
      </c>
      <c r="AI189" s="13"/>
      <c r="AJ189">
        <v>2.7</v>
      </c>
      <c r="AK189" s="8">
        <f>AJ189*D189*3</f>
        <v>29.970000000000006</v>
      </c>
      <c r="AL189" s="13"/>
      <c r="AM189">
        <v>31.87</v>
      </c>
      <c r="AN189">
        <v>7.2</v>
      </c>
      <c r="AO189" s="8">
        <f>AN189*D189*3</f>
        <v>79.92</v>
      </c>
      <c r="AP189">
        <v>14.17</v>
      </c>
      <c r="AQ189">
        <v>10</v>
      </c>
      <c r="AR189">
        <f>AQ189*D189*3</f>
        <v>111</v>
      </c>
      <c r="AT189">
        <v>9</v>
      </c>
      <c r="AU189">
        <f>AT189*D189*3</f>
        <v>99.9</v>
      </c>
      <c r="AW189">
        <v>24.13</v>
      </c>
      <c r="AX189">
        <v>8.1999999999999993</v>
      </c>
      <c r="AY189">
        <f>AX189*D189*3</f>
        <v>91.02</v>
      </c>
      <c r="AZ189">
        <v>24.13</v>
      </c>
      <c r="BA189">
        <v>8.6999999999999993</v>
      </c>
      <c r="BB189">
        <f>BA189*D189*3</f>
        <v>96.57</v>
      </c>
      <c r="BD189">
        <v>8.3000000000000007</v>
      </c>
      <c r="BE189">
        <f>BD189*D189*3</f>
        <v>92.13000000000001</v>
      </c>
      <c r="BG189" s="10"/>
      <c r="BH189" s="1">
        <f>CHOOSE(MATCH(MIN(ABS(BP189-C189),ABS(BQ189-C189),ABS(BR189-C189)),CHOOSE({1;2;3},ABS(BP189-C189),ABS(BQ189-C189),ABS(BR189-C189)),0),BP189,BQ189,BR189)</f>
        <v>83.25</v>
      </c>
      <c r="BJ189" s="1" cm="1">
        <f t="array" ref="BJ189">(INDEX(_xlfn._xlws.SORT(CHOOSE({1;2;3;4;5;6},BQ189,BR189,L189,AE189,BO189,BP189)),3) + INDEX(_xlfn._xlws.SORT(CHOOSE({1;2;3;4;5;6},BQ189,BR189,L189,AE189,BO189,BP189)),4))/2</f>
        <v>82.695000000000007</v>
      </c>
      <c r="BK189">
        <v>8.1506960574199194</v>
      </c>
      <c r="BL189" s="11" t="s">
        <v>6116</v>
      </c>
      <c r="BM189" s="1">
        <f>BK189*3*D189</f>
        <v>90.472726237361101</v>
      </c>
      <c r="BN189" s="1">
        <f>BM189-C189</f>
        <v>1.672726237361104</v>
      </c>
      <c r="BO189" s="1">
        <f>GK189*3*D189</f>
        <v>70.484999999999999</v>
      </c>
      <c r="BP189" s="1">
        <f>DO189*3*D189</f>
        <v>99.9</v>
      </c>
      <c r="BQ189" s="1">
        <f>FJ189*3*D189</f>
        <v>77.7</v>
      </c>
      <c r="BR189" s="1">
        <f>GL189*3*D189</f>
        <v>83.25</v>
      </c>
      <c r="BT189">
        <v>84.32</v>
      </c>
      <c r="BU189">
        <v>8.1999999999999993</v>
      </c>
      <c r="BV189" t="s">
        <v>5259</v>
      </c>
      <c r="BW189" t="s">
        <v>4987</v>
      </c>
      <c r="BX189" t="s">
        <v>5099</v>
      </c>
      <c r="BY189" t="s">
        <v>5771</v>
      </c>
      <c r="BZ189" t="s">
        <v>5331</v>
      </c>
      <c r="CA189" t="s">
        <v>2563</v>
      </c>
      <c r="CC189" t="s">
        <v>3389</v>
      </c>
      <c r="CD189" t="s">
        <v>3390</v>
      </c>
      <c r="CE189" t="s">
        <v>2565</v>
      </c>
      <c r="CG189" t="s">
        <v>3391</v>
      </c>
      <c r="CH189" t="s">
        <v>3392</v>
      </c>
      <c r="CI189" t="s">
        <v>2496</v>
      </c>
      <c r="CK189" t="s">
        <v>2805</v>
      </c>
      <c r="CL189" t="s">
        <v>3393</v>
      </c>
      <c r="CM189" t="s">
        <v>2670</v>
      </c>
      <c r="CO189" t="s">
        <v>3394</v>
      </c>
      <c r="CP189" t="s">
        <v>3395</v>
      </c>
      <c r="CQ189" t="s">
        <v>3109</v>
      </c>
      <c r="CS189" t="s">
        <v>2810</v>
      </c>
      <c r="CT189" t="s">
        <v>3396</v>
      </c>
      <c r="CV189">
        <v>9</v>
      </c>
      <c r="CW189">
        <v>9</v>
      </c>
      <c r="CX189">
        <v>9</v>
      </c>
      <c r="CY189">
        <v>9</v>
      </c>
      <c r="CZ189">
        <v>9</v>
      </c>
      <c r="DA189">
        <v>0.1</v>
      </c>
      <c r="DB189">
        <v>0.1</v>
      </c>
      <c r="DC189">
        <v>0.2</v>
      </c>
      <c r="DD189">
        <v>0.3</v>
      </c>
      <c r="DE189">
        <v>0.3</v>
      </c>
      <c r="DF189">
        <v>0.9</v>
      </c>
      <c r="DG189">
        <v>0.9</v>
      </c>
      <c r="DH189">
        <v>1.8</v>
      </c>
      <c r="DI189">
        <v>2.7</v>
      </c>
      <c r="DJ189">
        <v>2.7</v>
      </c>
      <c r="DK189">
        <v>8.1999999999999993</v>
      </c>
      <c r="DL189">
        <v>0</v>
      </c>
      <c r="DM189">
        <v>8.1999999999999993</v>
      </c>
      <c r="DN189">
        <v>9</v>
      </c>
      <c r="DO189">
        <f>AVERAGE(CV189:CZ189)</f>
        <v>9</v>
      </c>
      <c r="DQ189">
        <v>8</v>
      </c>
      <c r="DR189" t="s">
        <v>28</v>
      </c>
      <c r="DS189" t="s">
        <v>61</v>
      </c>
      <c r="DT189" t="s">
        <v>90</v>
      </c>
      <c r="DU189" t="s">
        <v>410</v>
      </c>
      <c r="DV189" t="s">
        <v>411</v>
      </c>
      <c r="DW189" t="s">
        <v>3769</v>
      </c>
      <c r="DX189" t="s">
        <v>3770</v>
      </c>
      <c r="DY189" t="s">
        <v>4042</v>
      </c>
      <c r="DZ189" t="s">
        <v>4043</v>
      </c>
      <c r="EA189" t="s">
        <v>3860</v>
      </c>
      <c r="EB189" t="s">
        <v>3964</v>
      </c>
      <c r="EE189" t="s">
        <v>4660</v>
      </c>
      <c r="EF189" t="s">
        <v>4020</v>
      </c>
      <c r="EG189" t="s">
        <v>4661</v>
      </c>
      <c r="EH189" t="s">
        <v>4662</v>
      </c>
      <c r="EI189" t="s">
        <v>4045</v>
      </c>
      <c r="EJ189" t="s">
        <v>3928</v>
      </c>
      <c r="EL189" t="s">
        <v>4664</v>
      </c>
      <c r="EM189" t="s">
        <v>3871</v>
      </c>
      <c r="EN189" t="s">
        <v>4047</v>
      </c>
      <c r="EQ189">
        <v>7</v>
      </c>
      <c r="ER189">
        <v>8</v>
      </c>
      <c r="ES189">
        <v>7</v>
      </c>
      <c r="ET189">
        <v>7</v>
      </c>
      <c r="EU189">
        <v>8</v>
      </c>
      <c r="EV189">
        <v>0.1</v>
      </c>
      <c r="EW189">
        <v>0.1</v>
      </c>
      <c r="EX189">
        <v>0.2</v>
      </c>
      <c r="EY189">
        <v>0.3</v>
      </c>
      <c r="EZ189">
        <v>0.3</v>
      </c>
      <c r="FA189">
        <f>EV189*EQ189</f>
        <v>0.70000000000000007</v>
      </c>
      <c r="FB189">
        <f>EW189*ER189</f>
        <v>0.8</v>
      </c>
      <c r="FC189">
        <f>EX189*ES189</f>
        <v>1.4000000000000001</v>
      </c>
      <c r="FD189">
        <f>EY189*ET189</f>
        <v>2.1</v>
      </c>
      <c r="FE189">
        <f>EZ189*EU189</f>
        <v>2.4</v>
      </c>
      <c r="FF189">
        <v>21</v>
      </c>
      <c r="FG189">
        <v>0</v>
      </c>
      <c r="FH189">
        <v>8</v>
      </c>
      <c r="FI189">
        <f>FA189+FB189+FC189+FD189+FE189</f>
        <v>7.4</v>
      </c>
      <c r="FJ189">
        <f>MEDIAN(EQ189:EU189)</f>
        <v>7</v>
      </c>
      <c r="FL189">
        <v>78.27</v>
      </c>
      <c r="FM189">
        <v>5.3</v>
      </c>
      <c r="FN189" t="s">
        <v>1736</v>
      </c>
      <c r="FO189" t="s">
        <v>1737</v>
      </c>
      <c r="FP189" t="s">
        <v>1738</v>
      </c>
      <c r="FQ189" t="s">
        <v>1739</v>
      </c>
      <c r="FR189" t="s">
        <v>1740</v>
      </c>
      <c r="FS189">
        <v>8</v>
      </c>
      <c r="FT189">
        <v>9</v>
      </c>
      <c r="FU189">
        <v>7.5</v>
      </c>
      <c r="FV189">
        <v>6.5</v>
      </c>
      <c r="FW189">
        <v>4</v>
      </c>
      <c r="FX189">
        <v>0.1</v>
      </c>
      <c r="FY189">
        <v>0.1</v>
      </c>
      <c r="FZ189">
        <v>0.2</v>
      </c>
      <c r="GA189">
        <v>0.3</v>
      </c>
      <c r="GB189">
        <v>0.3</v>
      </c>
      <c r="GC189">
        <f>FS189*FX189</f>
        <v>0.8</v>
      </c>
      <c r="GD189">
        <f>FT189*FY189</f>
        <v>0.9</v>
      </c>
      <c r="GE189">
        <f>FU189*FZ189</f>
        <v>1.5</v>
      </c>
      <c r="GF189">
        <f>FV189*GA189</f>
        <v>1.95</v>
      </c>
      <c r="GG189">
        <f>FW189*GB189</f>
        <v>1.2</v>
      </c>
      <c r="GH189">
        <v>5.85</v>
      </c>
      <c r="GI189">
        <v>-0.5</v>
      </c>
      <c r="GJ189">
        <v>5.3</v>
      </c>
      <c r="GK189">
        <f>GC189+GD189+GE189+GF189+GG189</f>
        <v>6.3500000000000005</v>
      </c>
      <c r="GL189">
        <f>MEDIAN(FS189:FW189)</f>
        <v>7.5</v>
      </c>
    </row>
    <row r="190" spans="1:194" hidden="1" x14ac:dyDescent="0.25">
      <c r="A190">
        <v>189</v>
      </c>
      <c r="B190" t="s">
        <v>2</v>
      </c>
      <c r="C190" s="4">
        <v>61.5</v>
      </c>
      <c r="D190">
        <v>3</v>
      </c>
      <c r="E190" s="1">
        <f>C190/3/D190</f>
        <v>6.833333333333333</v>
      </c>
      <c r="G190">
        <v>119.3</v>
      </c>
      <c r="H190">
        <v>7.6</v>
      </c>
      <c r="I190">
        <f>H190*D190*3</f>
        <v>68.399999999999991</v>
      </c>
      <c r="J190">
        <v>18.87</v>
      </c>
      <c r="K190">
        <v>8.4</v>
      </c>
      <c r="L190" s="3">
        <f>K190*3*D190</f>
        <v>75.600000000000009</v>
      </c>
      <c r="M190">
        <v>4.09</v>
      </c>
      <c r="N190">
        <v>8.9</v>
      </c>
      <c r="O190">
        <f>N190*D190*3</f>
        <v>80.100000000000009</v>
      </c>
      <c r="P190" s="5">
        <v>8.5</v>
      </c>
      <c r="Q190" s="5">
        <f>P190*D190*3</f>
        <v>76.5</v>
      </c>
      <c r="S190" t="s">
        <v>6321</v>
      </c>
      <c r="T190">
        <v>3.6</v>
      </c>
      <c r="U190" s="8">
        <f>T190*D190*3</f>
        <v>32.400000000000006</v>
      </c>
      <c r="V190">
        <v>31.01</v>
      </c>
      <c r="W190">
        <v>8</v>
      </c>
      <c r="X190" s="5">
        <f>W190*D190*3</f>
        <v>72</v>
      </c>
      <c r="Y190">
        <v>9.23</v>
      </c>
      <c r="Z190">
        <v>7.5</v>
      </c>
      <c r="AA190">
        <f>Z190*D190*3</f>
        <v>67.5</v>
      </c>
      <c r="AC190">
        <v>49.18</v>
      </c>
      <c r="AD190">
        <v>7.9</v>
      </c>
      <c r="AE190" s="1">
        <f>AD190*3*D190</f>
        <v>71.100000000000009</v>
      </c>
      <c r="AF190">
        <v>12.13</v>
      </c>
      <c r="AG190" s="5">
        <v>7</v>
      </c>
      <c r="AH190" s="5">
        <f>AG190*D190*3</f>
        <v>63</v>
      </c>
      <c r="AI190" s="13"/>
      <c r="AJ190">
        <v>27</v>
      </c>
      <c r="AK190" s="8">
        <f>AJ190*D190*3</f>
        <v>243</v>
      </c>
      <c r="AL190" s="13"/>
      <c r="AM190">
        <v>31.41</v>
      </c>
      <c r="AN190">
        <v>7.6</v>
      </c>
      <c r="AO190" s="8">
        <f>AN190*D190*3</f>
        <v>68.399999999999991</v>
      </c>
      <c r="AP190">
        <v>13.41</v>
      </c>
      <c r="AQ190">
        <v>9.5</v>
      </c>
      <c r="AR190">
        <f>AQ190*D190*3</f>
        <v>85.5</v>
      </c>
      <c r="AT190">
        <v>9</v>
      </c>
      <c r="AU190">
        <f>AT190*D190*3</f>
        <v>81</v>
      </c>
      <c r="AW190">
        <v>22.79</v>
      </c>
      <c r="AX190">
        <v>9.4</v>
      </c>
      <c r="AY190">
        <f>AX190*D190*3</f>
        <v>84.600000000000009</v>
      </c>
      <c r="AZ190">
        <v>22.79</v>
      </c>
      <c r="BA190">
        <v>9</v>
      </c>
      <c r="BB190">
        <f>BA190*D190*3</f>
        <v>81</v>
      </c>
      <c r="BD190">
        <v>9</v>
      </c>
      <c r="BE190">
        <f>BD190*D190*3</f>
        <v>81</v>
      </c>
      <c r="BG190" s="10"/>
      <c r="BH190" s="1">
        <f>CHOOSE(MATCH(MIN(ABS(BP190-C190),ABS(BQ190-C190),ABS(BR190-C190)),CHOOSE({1;2;3},ABS(BP190-C190),ABS(BQ190-C190),ABS(BR190-C190)),0),BP190,BQ190,BR190)</f>
        <v>70.199999999999989</v>
      </c>
      <c r="BJ190" s="1" cm="1">
        <f t="array" ref="BJ190">(INDEX(_xlfn._xlws.SORT(CHOOSE({1;2;3;4;5;6},BQ190,BR190,L190,AE190,BO190,BP190)),3) + INDEX(_xlfn._xlws.SORT(CHOOSE({1;2;3;4;5;6},BQ190,BR190,L190,AE190,BO190,BP190)),4))/2</f>
        <v>73.800000000000011</v>
      </c>
      <c r="BK190">
        <v>6.8436675582435402</v>
      </c>
      <c r="BL190" t="s">
        <v>6117</v>
      </c>
      <c r="BM190" s="1">
        <f>BK190*3*D190</f>
        <v>61.593008024191867</v>
      </c>
      <c r="BN190" s="1">
        <f>BM190-C190</f>
        <v>9.3008024191867378E-2</v>
      </c>
      <c r="BO190" s="1">
        <f>GK190*3*D190</f>
        <v>79.2</v>
      </c>
      <c r="BP190" s="1">
        <f>DO190*3*D190</f>
        <v>70.199999999999989</v>
      </c>
      <c r="BQ190" s="1">
        <f>FJ190*3*D190</f>
        <v>72</v>
      </c>
      <c r="BR190" s="1">
        <f>GL190*3*D190</f>
        <v>90</v>
      </c>
      <c r="BT190">
        <v>119.3</v>
      </c>
      <c r="BU190">
        <v>7.6</v>
      </c>
      <c r="BV190" t="s">
        <v>5167</v>
      </c>
      <c r="BW190" t="s">
        <v>5612</v>
      </c>
      <c r="BX190" t="s">
        <v>5613</v>
      </c>
      <c r="BY190" t="s">
        <v>5614</v>
      </c>
      <c r="BZ190" t="s">
        <v>5615</v>
      </c>
      <c r="CA190" t="s">
        <v>2452</v>
      </c>
      <c r="CC190" t="s">
        <v>2438</v>
      </c>
      <c r="CD190" t="s">
        <v>2453</v>
      </c>
      <c r="CE190" t="s">
        <v>2454</v>
      </c>
      <c r="CG190" t="s">
        <v>2455</v>
      </c>
      <c r="CH190" t="s">
        <v>2456</v>
      </c>
      <c r="CI190" t="s">
        <v>3275</v>
      </c>
      <c r="CJ190" t="s">
        <v>2458</v>
      </c>
      <c r="CK190" t="s">
        <v>2459</v>
      </c>
      <c r="CL190" t="s">
        <v>2460</v>
      </c>
      <c r="CM190" t="s">
        <v>3276</v>
      </c>
      <c r="CN190" t="s">
        <v>2886</v>
      </c>
      <c r="CO190" t="s">
        <v>2463</v>
      </c>
      <c r="CP190" t="s">
        <v>2464</v>
      </c>
      <c r="CQ190" t="s">
        <v>2465</v>
      </c>
      <c r="CR190" t="s">
        <v>2837</v>
      </c>
      <c r="CS190" t="s">
        <v>2467</v>
      </c>
      <c r="CT190" t="s">
        <v>2468</v>
      </c>
      <c r="CV190">
        <v>9</v>
      </c>
      <c r="CW190">
        <v>9</v>
      </c>
      <c r="CX190">
        <v>7</v>
      </c>
      <c r="CY190">
        <v>6</v>
      </c>
      <c r="CZ190">
        <v>8</v>
      </c>
      <c r="DA190">
        <v>0.1</v>
      </c>
      <c r="DB190">
        <v>0.1</v>
      </c>
      <c r="DC190">
        <v>0.2</v>
      </c>
      <c r="DD190">
        <v>0.3</v>
      </c>
      <c r="DE190">
        <v>0.3</v>
      </c>
      <c r="DF190">
        <v>0.9</v>
      </c>
      <c r="DG190">
        <v>0.9</v>
      </c>
      <c r="DH190">
        <v>1.4</v>
      </c>
      <c r="DI190">
        <v>1.8</v>
      </c>
      <c r="DJ190">
        <v>2.4</v>
      </c>
      <c r="DK190">
        <v>7.6</v>
      </c>
      <c r="DL190">
        <v>0</v>
      </c>
      <c r="DM190">
        <v>7.6</v>
      </c>
      <c r="DN190">
        <v>8.4</v>
      </c>
      <c r="DO190">
        <f>AVERAGE(CV190:CZ190)</f>
        <v>7.8</v>
      </c>
      <c r="DQ190">
        <v>15</v>
      </c>
      <c r="DR190" t="s">
        <v>379</v>
      </c>
      <c r="DS190" t="s">
        <v>380</v>
      </c>
      <c r="DT190" t="s">
        <v>381</v>
      </c>
      <c r="DU190" t="s">
        <v>382</v>
      </c>
      <c r="DV190" t="s">
        <v>383</v>
      </c>
      <c r="DW190" t="s">
        <v>3805</v>
      </c>
      <c r="DX190" t="s">
        <v>3770</v>
      </c>
      <c r="DY190" t="s">
        <v>3771</v>
      </c>
      <c r="DZ190" t="s">
        <v>3772</v>
      </c>
      <c r="EA190" t="s">
        <v>3806</v>
      </c>
      <c r="EB190" t="s">
        <v>3807</v>
      </c>
      <c r="EC190" t="s">
        <v>3775</v>
      </c>
      <c r="ED190" t="s">
        <v>3776</v>
      </c>
      <c r="EE190" t="s">
        <v>3819</v>
      </c>
      <c r="EF190" t="s">
        <v>4104</v>
      </c>
      <c r="EG190" t="s">
        <v>3810</v>
      </c>
      <c r="EH190" t="s">
        <v>3811</v>
      </c>
      <c r="EI190" t="s">
        <v>3820</v>
      </c>
      <c r="EJ190" t="s">
        <v>3813</v>
      </c>
      <c r="EK190" t="s">
        <v>3821</v>
      </c>
      <c r="EL190" t="s">
        <v>3822</v>
      </c>
      <c r="EM190" t="s">
        <v>3816</v>
      </c>
      <c r="EN190" t="s">
        <v>3931</v>
      </c>
      <c r="EO190" t="s">
        <v>4259</v>
      </c>
      <c r="EP190" t="s">
        <v>4260</v>
      </c>
      <c r="EQ190">
        <v>7</v>
      </c>
      <c r="ER190">
        <v>8</v>
      </c>
      <c r="ES190">
        <v>8</v>
      </c>
      <c r="ET190">
        <v>8</v>
      </c>
      <c r="EU190">
        <v>8</v>
      </c>
      <c r="EV190">
        <v>0.1</v>
      </c>
      <c r="EW190">
        <v>0.1</v>
      </c>
      <c r="EX190">
        <v>0.2</v>
      </c>
      <c r="EY190">
        <v>0.3</v>
      </c>
      <c r="EZ190">
        <v>0.3</v>
      </c>
      <c r="FA190">
        <f>EV190*EQ190</f>
        <v>0.70000000000000007</v>
      </c>
      <c r="FB190">
        <f>EW190*ER190</f>
        <v>0.8</v>
      </c>
      <c r="FC190">
        <f>EX190*ES190</f>
        <v>1.6</v>
      </c>
      <c r="FD190">
        <f>EY190*ET190</f>
        <v>2.4</v>
      </c>
      <c r="FE190">
        <f>EZ190*EU190</f>
        <v>2.4</v>
      </c>
      <c r="FF190">
        <v>15</v>
      </c>
      <c r="FG190">
        <v>0</v>
      </c>
      <c r="FH190">
        <v>15</v>
      </c>
      <c r="FI190">
        <f>FA190+FB190+FC190+FD190+FE190</f>
        <v>7.9</v>
      </c>
      <c r="FJ190">
        <f>MEDIAN(EQ190:EU190)</f>
        <v>8</v>
      </c>
      <c r="FL190">
        <v>89.34</v>
      </c>
      <c r="FM190">
        <v>9.6</v>
      </c>
      <c r="FN190" t="s">
        <v>1150</v>
      </c>
      <c r="FO190" t="s">
        <v>1497</v>
      </c>
      <c r="FP190" t="s">
        <v>1498</v>
      </c>
      <c r="FQ190" t="s">
        <v>1499</v>
      </c>
      <c r="FR190" t="s">
        <v>1500</v>
      </c>
      <c r="FS190">
        <v>10</v>
      </c>
      <c r="FT190">
        <v>10</v>
      </c>
      <c r="FU190">
        <v>10</v>
      </c>
      <c r="FV190">
        <v>8.5</v>
      </c>
      <c r="FW190">
        <v>7.5</v>
      </c>
      <c r="FX190">
        <v>0.1</v>
      </c>
      <c r="FY190">
        <v>0.1</v>
      </c>
      <c r="FZ190">
        <v>0.2</v>
      </c>
      <c r="GA190">
        <v>0.3</v>
      </c>
      <c r="GB190">
        <v>0.3</v>
      </c>
      <c r="GC190">
        <f>FS190*FX190</f>
        <v>1</v>
      </c>
      <c r="GD190">
        <f>FT190*FY190</f>
        <v>1</v>
      </c>
      <c r="GE190">
        <f>FU190*FZ190</f>
        <v>2</v>
      </c>
      <c r="GF190">
        <f>FV190*GA190</f>
        <v>2.5499999999999998</v>
      </c>
      <c r="GG190">
        <f>FW190*GB190</f>
        <v>2.25</v>
      </c>
      <c r="GH190">
        <v>9.85</v>
      </c>
      <c r="GI190">
        <v>0.2</v>
      </c>
      <c r="GJ190">
        <v>9.6</v>
      </c>
      <c r="GK190">
        <f>GC190+GD190+GE190+GF190+GG190</f>
        <v>8.8000000000000007</v>
      </c>
      <c r="GL190">
        <f>MEDIAN(FS190:FW190)</f>
        <v>10</v>
      </c>
    </row>
    <row r="191" spans="1:194" hidden="1" x14ac:dyDescent="0.25">
      <c r="A191">
        <v>190</v>
      </c>
      <c r="B191" t="s">
        <v>2</v>
      </c>
      <c r="C191" s="4">
        <v>81.599999999999994</v>
      </c>
      <c r="D191">
        <v>3.2</v>
      </c>
      <c r="E191" s="1">
        <f>C191/3/D191</f>
        <v>8.5</v>
      </c>
      <c r="G191">
        <v>35.51</v>
      </c>
      <c r="H191">
        <v>8.1999999999999993</v>
      </c>
      <c r="I191">
        <f>H191*D191*3</f>
        <v>78.72</v>
      </c>
      <c r="J191">
        <v>17.149999999999999</v>
      </c>
      <c r="K191">
        <v>9</v>
      </c>
      <c r="L191" s="3">
        <f>K191*3*D191</f>
        <v>86.4</v>
      </c>
      <c r="M191">
        <v>4.37</v>
      </c>
      <c r="N191">
        <v>6.5</v>
      </c>
      <c r="O191">
        <f>N191*D191*3</f>
        <v>62.400000000000006</v>
      </c>
      <c r="P191" s="5">
        <v>7</v>
      </c>
      <c r="Q191" s="5">
        <f>P191*D191*3</f>
        <v>67.2</v>
      </c>
      <c r="S191" t="s">
        <v>6322</v>
      </c>
      <c r="T191">
        <v>4.3</v>
      </c>
      <c r="U191" s="8">
        <f>T191*D191*3</f>
        <v>41.28</v>
      </c>
      <c r="V191">
        <v>32.93</v>
      </c>
      <c r="W191">
        <v>7.9</v>
      </c>
      <c r="X191" s="5">
        <f>W191*D191*3</f>
        <v>75.84</v>
      </c>
      <c r="Y191">
        <v>9.15</v>
      </c>
      <c r="Z191">
        <v>7</v>
      </c>
      <c r="AA191">
        <f>Z191*D191*3</f>
        <v>67.2</v>
      </c>
      <c r="AC191">
        <v>45.67</v>
      </c>
      <c r="AD191">
        <v>8</v>
      </c>
      <c r="AE191" s="1">
        <f>AD191*3*D191</f>
        <v>76.800000000000011</v>
      </c>
      <c r="AF191">
        <v>13.42</v>
      </c>
      <c r="AH191" s="5">
        <f>AG191*D191*3</f>
        <v>0</v>
      </c>
      <c r="AI191" s="13"/>
      <c r="AJ191">
        <v>23</v>
      </c>
      <c r="AK191" s="8">
        <f>AJ191*D191*3</f>
        <v>220.8</v>
      </c>
      <c r="AL191" s="13"/>
      <c r="AM191">
        <v>30.18</v>
      </c>
      <c r="AN191">
        <v>7.5</v>
      </c>
      <c r="AO191" s="8">
        <f>AN191*D191*3</f>
        <v>72</v>
      </c>
      <c r="AP191">
        <v>13.68</v>
      </c>
      <c r="AQ191">
        <v>9.5</v>
      </c>
      <c r="AR191">
        <f>AQ191*D191*3</f>
        <v>91.2</v>
      </c>
      <c r="AT191">
        <v>9</v>
      </c>
      <c r="AU191">
        <f>AT191*D191*3</f>
        <v>86.4</v>
      </c>
      <c r="AW191">
        <v>25.29</v>
      </c>
      <c r="AX191">
        <v>9.4</v>
      </c>
      <c r="AY191">
        <f>AX191*D191*3</f>
        <v>90.240000000000009</v>
      </c>
      <c r="AZ191">
        <v>25.29</v>
      </c>
      <c r="BA191">
        <v>9</v>
      </c>
      <c r="BB191">
        <f>BA191*D191*3</f>
        <v>86.4</v>
      </c>
      <c r="BD191">
        <v>8.9</v>
      </c>
      <c r="BE191">
        <f>BD191*D191*3</f>
        <v>85.440000000000012</v>
      </c>
      <c r="BG191" s="10"/>
      <c r="BH191" s="1">
        <f>CHOOSE(MATCH(MIN(ABS(BP191-C191),ABS(BQ191-C191),ABS(BR191-C191)),CHOOSE({1;2;3},ABS(BP191-C191),ABS(BQ191-C191),ABS(BR191-C191)),0),BP191,BQ191,BR191)</f>
        <v>76.800000000000011</v>
      </c>
      <c r="BJ191" s="1" cm="1">
        <f t="array" ref="BJ191">(INDEX(_xlfn._xlws.SORT(CHOOSE({1;2;3;4;5;6},BQ191,BR191,L191,AE191,BO191,BP191)),3) + INDEX(_xlfn._xlws.SORT(CHOOSE({1;2;3;4;5;6},BQ191,BR191,L191,AE191,BO191,BP191)),4))/2</f>
        <v>76.800000000000011</v>
      </c>
      <c r="BK191">
        <v>8.52057818610003</v>
      </c>
      <c r="BL191" t="s">
        <v>6117</v>
      </c>
      <c r="BM191" s="1">
        <f>BK191*3*D191</f>
        <v>81.797550586560291</v>
      </c>
      <c r="BN191" s="1">
        <f>BM191-C191</f>
        <v>0.19755058656029689</v>
      </c>
      <c r="BO191" s="1">
        <f>GK191*3*D191</f>
        <v>70.559999999999988</v>
      </c>
      <c r="BP191" s="1">
        <f>DO191*3*D191</f>
        <v>86.4</v>
      </c>
      <c r="BQ191" s="1">
        <f>FJ191*3*D191</f>
        <v>76.800000000000011</v>
      </c>
      <c r="BR191" s="1">
        <f>GL191*3*D191</f>
        <v>67.2</v>
      </c>
      <c r="BT191">
        <v>35.51</v>
      </c>
      <c r="BU191">
        <v>8.1999999999999993</v>
      </c>
      <c r="BV191" t="s">
        <v>5616</v>
      </c>
      <c r="BW191" t="s">
        <v>5617</v>
      </c>
      <c r="BX191" t="s">
        <v>5618</v>
      </c>
      <c r="BY191" t="s">
        <v>5619</v>
      </c>
      <c r="BZ191" t="s">
        <v>5620</v>
      </c>
      <c r="CA191" t="s">
        <v>2437</v>
      </c>
      <c r="CC191" t="s">
        <v>2758</v>
      </c>
      <c r="CD191" t="s">
        <v>2508</v>
      </c>
      <c r="CE191" t="s">
        <v>2440</v>
      </c>
      <c r="CG191" t="s">
        <v>2761</v>
      </c>
      <c r="CH191" t="s">
        <v>2510</v>
      </c>
      <c r="CI191" t="s">
        <v>2443</v>
      </c>
      <c r="CK191" t="s">
        <v>2795</v>
      </c>
      <c r="CL191" t="s">
        <v>2512</v>
      </c>
      <c r="CM191" t="s">
        <v>2446</v>
      </c>
      <c r="CO191" t="s">
        <v>2796</v>
      </c>
      <c r="CP191" t="s">
        <v>2514</v>
      </c>
      <c r="CQ191" t="s">
        <v>2449</v>
      </c>
      <c r="CS191" t="s">
        <v>2679</v>
      </c>
      <c r="CT191" t="s">
        <v>2524</v>
      </c>
      <c r="CV191">
        <v>9</v>
      </c>
      <c r="CW191">
        <v>9</v>
      </c>
      <c r="CX191">
        <v>9</v>
      </c>
      <c r="CY191">
        <v>9</v>
      </c>
      <c r="CZ191">
        <v>9</v>
      </c>
      <c r="DA191">
        <v>0.1</v>
      </c>
      <c r="DB191">
        <v>0.1</v>
      </c>
      <c r="DC191">
        <v>0.2</v>
      </c>
      <c r="DD191">
        <v>0.3</v>
      </c>
      <c r="DE191">
        <v>0.3</v>
      </c>
      <c r="DF191">
        <v>0.9</v>
      </c>
      <c r="DG191">
        <v>0.9</v>
      </c>
      <c r="DH191">
        <v>1.8</v>
      </c>
      <c r="DI191">
        <v>2.7</v>
      </c>
      <c r="DJ191">
        <v>2.7</v>
      </c>
      <c r="DK191">
        <v>8.1999999999999993</v>
      </c>
      <c r="DL191">
        <v>0</v>
      </c>
      <c r="DM191">
        <v>8.1999999999999993</v>
      </c>
      <c r="DN191">
        <v>9</v>
      </c>
      <c r="DO191">
        <f>AVERAGE(CV191:CZ191)</f>
        <v>9</v>
      </c>
      <c r="DQ191" t="s">
        <v>27</v>
      </c>
      <c r="DR191" t="s">
        <v>65</v>
      </c>
      <c r="DS191" t="s">
        <v>66</v>
      </c>
      <c r="DT191" t="s">
        <v>67</v>
      </c>
      <c r="DU191" t="s">
        <v>68</v>
      </c>
      <c r="DV191" t="s">
        <v>253</v>
      </c>
      <c r="DW191" t="s">
        <v>3836</v>
      </c>
      <c r="DX191" t="s">
        <v>3858</v>
      </c>
      <c r="DY191" t="s">
        <v>3883</v>
      </c>
      <c r="DZ191" t="s">
        <v>3884</v>
      </c>
      <c r="EA191" t="s">
        <v>3860</v>
      </c>
      <c r="EB191" t="s">
        <v>3840</v>
      </c>
      <c r="EC191" t="s">
        <v>3885</v>
      </c>
      <c r="ED191" t="s">
        <v>4244</v>
      </c>
      <c r="EE191" t="s">
        <v>3886</v>
      </c>
      <c r="EF191" t="s">
        <v>4245</v>
      </c>
      <c r="EG191" t="s">
        <v>4598</v>
      </c>
      <c r="EH191" t="s">
        <v>4599</v>
      </c>
      <c r="EI191" t="s">
        <v>3879</v>
      </c>
      <c r="EJ191" t="s">
        <v>4247</v>
      </c>
      <c r="EK191" t="s">
        <v>4600</v>
      </c>
      <c r="EL191" t="s">
        <v>4249</v>
      </c>
      <c r="EM191" t="s">
        <v>3851</v>
      </c>
      <c r="EN191" t="s">
        <v>4250</v>
      </c>
      <c r="EO191" t="s">
        <v>4601</v>
      </c>
      <c r="EP191" t="s">
        <v>4602</v>
      </c>
      <c r="EQ191">
        <v>8</v>
      </c>
      <c r="ER191">
        <v>8</v>
      </c>
      <c r="ES191">
        <v>8</v>
      </c>
      <c r="ET191">
        <v>8</v>
      </c>
      <c r="EU191">
        <v>8</v>
      </c>
      <c r="EV191">
        <v>0.1</v>
      </c>
      <c r="EW191">
        <v>0.1</v>
      </c>
      <c r="EX191">
        <v>0.2</v>
      </c>
      <c r="EY191">
        <v>0.3</v>
      </c>
      <c r="EZ191">
        <v>0.3</v>
      </c>
      <c r="FA191">
        <f>EV191*EQ191</f>
        <v>0.8</v>
      </c>
      <c r="FB191">
        <f>EW191*ER191</f>
        <v>0.8</v>
      </c>
      <c r="FC191">
        <f>EX191*ES191</f>
        <v>1.6</v>
      </c>
      <c r="FD191">
        <f>EY191*ET191</f>
        <v>2.4</v>
      </c>
      <c r="FE191">
        <f>EZ191*EU191</f>
        <v>2.4</v>
      </c>
      <c r="FF191">
        <v>16</v>
      </c>
      <c r="FG191">
        <v>0</v>
      </c>
      <c r="FH191">
        <v>8</v>
      </c>
      <c r="FI191">
        <f>FA191+FB191+FC191+FD191+FE191</f>
        <v>8</v>
      </c>
      <c r="FJ191">
        <f>MEDIAN(EQ191:EU191)</f>
        <v>8</v>
      </c>
      <c r="FL191">
        <v>40.630000000000003</v>
      </c>
      <c r="FM191">
        <v>7.4</v>
      </c>
      <c r="FN191" t="s">
        <v>1501</v>
      </c>
      <c r="FO191" t="s">
        <v>1502</v>
      </c>
      <c r="FP191" t="s">
        <v>1503</v>
      </c>
      <c r="FQ191" t="s">
        <v>1504</v>
      </c>
      <c r="FR191" t="s">
        <v>1505</v>
      </c>
      <c r="FS191">
        <v>7</v>
      </c>
      <c r="FT191">
        <v>9</v>
      </c>
      <c r="FU191">
        <v>8.5</v>
      </c>
      <c r="FV191">
        <v>6.5</v>
      </c>
      <c r="FW191">
        <v>7</v>
      </c>
      <c r="FX191">
        <v>0.1</v>
      </c>
      <c r="FY191">
        <v>0.1</v>
      </c>
      <c r="FZ191">
        <v>0.2</v>
      </c>
      <c r="GA191">
        <v>0.3</v>
      </c>
      <c r="GB191">
        <v>0.3</v>
      </c>
      <c r="GC191">
        <f>FS191*FX191</f>
        <v>0.70000000000000007</v>
      </c>
      <c r="GD191">
        <f>FT191*FY191</f>
        <v>0.9</v>
      </c>
      <c r="GE191">
        <f>FU191*FZ191</f>
        <v>1.7000000000000002</v>
      </c>
      <c r="GF191">
        <f>FV191*GA191</f>
        <v>1.95</v>
      </c>
      <c r="GG191">
        <f>FW191*GB191</f>
        <v>2.1</v>
      </c>
      <c r="GH191">
        <v>7.45</v>
      </c>
      <c r="GI191">
        <v>0</v>
      </c>
      <c r="GJ191">
        <v>7.4</v>
      </c>
      <c r="GK191">
        <f>GC191+GD191+GE191+GF191+GG191</f>
        <v>7.35</v>
      </c>
      <c r="GL191">
        <f>MEDIAN(FS191:FW191)</f>
        <v>7</v>
      </c>
    </row>
    <row r="192" spans="1:194" hidden="1" x14ac:dyDescent="0.25">
      <c r="A192">
        <v>191</v>
      </c>
      <c r="B192" t="s">
        <v>2</v>
      </c>
      <c r="C192" s="4">
        <v>72</v>
      </c>
      <c r="D192">
        <v>3</v>
      </c>
      <c r="E192" s="1">
        <f>C192/3/D192</f>
        <v>8</v>
      </c>
      <c r="G192">
        <v>83.12</v>
      </c>
      <c r="H192">
        <v>8.85</v>
      </c>
      <c r="I192">
        <f>H192*D192*3</f>
        <v>79.649999999999991</v>
      </c>
      <c r="J192">
        <v>17.23</v>
      </c>
      <c r="K192">
        <v>9</v>
      </c>
      <c r="L192" s="3">
        <f>K192*3*D192</f>
        <v>81</v>
      </c>
      <c r="M192">
        <v>3.84</v>
      </c>
      <c r="N192">
        <v>8</v>
      </c>
      <c r="O192">
        <f>N192*D192*3</f>
        <v>72</v>
      </c>
      <c r="P192" s="5">
        <v>8.5</v>
      </c>
      <c r="Q192" s="5">
        <f>P192*D192*3</f>
        <v>76.5</v>
      </c>
      <c r="S192" t="s">
        <v>6323</v>
      </c>
      <c r="T192">
        <v>7.1</v>
      </c>
      <c r="U192" s="8">
        <f>T192*D192*3</f>
        <v>63.899999999999991</v>
      </c>
      <c r="V192">
        <v>29.7</v>
      </c>
      <c r="W192">
        <v>8.4</v>
      </c>
      <c r="X192" s="5">
        <f>W192*D192*3</f>
        <v>75.600000000000009</v>
      </c>
      <c r="Y192">
        <v>9.61</v>
      </c>
      <c r="Z192">
        <v>7.5</v>
      </c>
      <c r="AA192">
        <f>Z192*D192*3</f>
        <v>67.5</v>
      </c>
      <c r="AC192">
        <v>51.4</v>
      </c>
      <c r="AD192">
        <v>7.1</v>
      </c>
      <c r="AE192" s="1">
        <f>AD192*3*D192</f>
        <v>63.899999999999991</v>
      </c>
      <c r="AF192">
        <v>11.9</v>
      </c>
      <c r="AG192" s="5">
        <v>7</v>
      </c>
      <c r="AH192" s="5">
        <f>AG192*D192*3</f>
        <v>63</v>
      </c>
      <c r="AI192" s="13"/>
      <c r="AJ192">
        <v>25.5</v>
      </c>
      <c r="AK192" s="8">
        <f>AJ192*D192*3</f>
        <v>229.5</v>
      </c>
      <c r="AL192" s="13"/>
      <c r="AM192">
        <v>30.38</v>
      </c>
      <c r="AN192">
        <v>7</v>
      </c>
      <c r="AO192" s="8">
        <f>AN192*D192*3</f>
        <v>63</v>
      </c>
      <c r="AP192">
        <v>15.28</v>
      </c>
      <c r="AQ192">
        <v>10</v>
      </c>
      <c r="AR192">
        <f>AQ192*D192*3</f>
        <v>90</v>
      </c>
      <c r="AT192">
        <v>9</v>
      </c>
      <c r="AU192">
        <f>AT192*D192*3</f>
        <v>81</v>
      </c>
      <c r="AW192">
        <v>24.38</v>
      </c>
      <c r="AX192">
        <v>9.4</v>
      </c>
      <c r="AY192">
        <f>AX192*D192*3</f>
        <v>84.600000000000009</v>
      </c>
      <c r="AZ192">
        <v>24.38</v>
      </c>
      <c r="BA192">
        <v>8.9</v>
      </c>
      <c r="BB192">
        <f>BA192*D192*3</f>
        <v>80.100000000000009</v>
      </c>
      <c r="BD192">
        <v>7.9</v>
      </c>
      <c r="BE192">
        <f>BD192*D192*3</f>
        <v>71.100000000000009</v>
      </c>
      <c r="BG192" s="10"/>
      <c r="BH192" s="1">
        <f>CHOOSE(MATCH(MIN(ABS(BP192-C192),ABS(BQ192-C192),ABS(BR192-C192)),CHOOSE({1;2;3},ABS(BP192-C192),ABS(BQ192-C192),ABS(BR192-C192)),0),BP192,BQ192,BR192)</f>
        <v>80.100000000000009</v>
      </c>
      <c r="BJ192" s="1" cm="1">
        <f t="array" ref="BJ192">(INDEX(_xlfn._xlws.SORT(CHOOSE({1;2;3;4;5;6},BQ192,BR192,L192,AE192,BO192,BP192)),3) + INDEX(_xlfn._xlws.SORT(CHOOSE({1;2;3;4;5;6},BQ192,BR192,L192,AE192,BO192,BP192)),4))/2</f>
        <v>80.550000000000011</v>
      </c>
      <c r="BK192">
        <v>7.9948263128247197</v>
      </c>
      <c r="BL192" t="s">
        <v>6117</v>
      </c>
      <c r="BM192" s="1">
        <f>BK192*3*D192</f>
        <v>71.953436815422478</v>
      </c>
      <c r="BN192" s="1">
        <f>BM192-C192</f>
        <v>-4.6563184577522065E-2</v>
      </c>
      <c r="BO192" s="1">
        <f>GK192*3*D192</f>
        <v>82.350000000000009</v>
      </c>
      <c r="BP192" s="1">
        <f>DO192*3*D192</f>
        <v>80.100000000000009</v>
      </c>
      <c r="BQ192" s="1">
        <f>FJ192*3*D192</f>
        <v>63</v>
      </c>
      <c r="BR192" s="1">
        <f>GL192*3*D192</f>
        <v>85.5</v>
      </c>
      <c r="BT192">
        <v>83.12</v>
      </c>
      <c r="BU192">
        <v>8.85</v>
      </c>
      <c r="BV192" t="s">
        <v>5032</v>
      </c>
      <c r="BW192" t="s">
        <v>5033</v>
      </c>
      <c r="BX192" t="s">
        <v>5621</v>
      </c>
      <c r="BY192" t="s">
        <v>5622</v>
      </c>
      <c r="BZ192" t="s">
        <v>5623</v>
      </c>
      <c r="CA192" t="s">
        <v>2550</v>
      </c>
      <c r="CC192" t="s">
        <v>2634</v>
      </c>
      <c r="CD192" t="s">
        <v>2635</v>
      </c>
      <c r="CE192" t="s">
        <v>2482</v>
      </c>
      <c r="CG192" t="s">
        <v>2636</v>
      </c>
      <c r="CH192" t="s">
        <v>2637</v>
      </c>
      <c r="CI192" t="s">
        <v>3277</v>
      </c>
      <c r="CK192" t="s">
        <v>3278</v>
      </c>
      <c r="CL192" t="s">
        <v>3279</v>
      </c>
      <c r="CM192" t="s">
        <v>3280</v>
      </c>
      <c r="CO192" t="s">
        <v>2642</v>
      </c>
      <c r="CP192" t="s">
        <v>2869</v>
      </c>
      <c r="CQ192" t="s">
        <v>3281</v>
      </c>
      <c r="CR192" t="s">
        <v>3282</v>
      </c>
      <c r="CS192" t="s">
        <v>3283</v>
      </c>
      <c r="CT192" t="s">
        <v>3284</v>
      </c>
      <c r="CV192">
        <v>9</v>
      </c>
      <c r="CW192">
        <v>9</v>
      </c>
      <c r="CX192">
        <v>9</v>
      </c>
      <c r="CY192">
        <v>9</v>
      </c>
      <c r="CZ192">
        <v>8.5</v>
      </c>
      <c r="DA192">
        <v>0.1</v>
      </c>
      <c r="DB192">
        <v>0.1</v>
      </c>
      <c r="DC192">
        <v>0.2</v>
      </c>
      <c r="DD192">
        <v>0.3</v>
      </c>
      <c r="DE192">
        <v>0.3</v>
      </c>
      <c r="DF192">
        <v>0.9</v>
      </c>
      <c r="DG192">
        <v>0.9</v>
      </c>
      <c r="DH192">
        <v>1.8</v>
      </c>
      <c r="DI192">
        <v>2.7</v>
      </c>
      <c r="DJ192">
        <v>2.5499999999999998</v>
      </c>
      <c r="DK192">
        <v>8.85</v>
      </c>
      <c r="DL192">
        <v>0</v>
      </c>
      <c r="DM192">
        <v>8.85</v>
      </c>
      <c r="DN192">
        <v>9</v>
      </c>
      <c r="DO192">
        <f>AVERAGE(CV192:CZ192)</f>
        <v>8.9</v>
      </c>
      <c r="DQ192">
        <v>14</v>
      </c>
      <c r="DR192" t="s">
        <v>28</v>
      </c>
      <c r="DS192" t="s">
        <v>61</v>
      </c>
      <c r="DT192" t="s">
        <v>90</v>
      </c>
      <c r="DU192" t="s">
        <v>91</v>
      </c>
      <c r="DV192" t="s">
        <v>113</v>
      </c>
      <c r="DW192" t="s">
        <v>3769</v>
      </c>
      <c r="DX192" t="s">
        <v>3770</v>
      </c>
      <c r="DY192" t="s">
        <v>3963</v>
      </c>
      <c r="DZ192" t="s">
        <v>3963</v>
      </c>
      <c r="EA192" t="s">
        <v>3860</v>
      </c>
      <c r="EB192" t="s">
        <v>3964</v>
      </c>
      <c r="EC192" t="s">
        <v>3965</v>
      </c>
      <c r="ED192" t="s">
        <v>3965</v>
      </c>
      <c r="EE192" t="s">
        <v>3966</v>
      </c>
      <c r="EF192" t="s">
        <v>3967</v>
      </c>
      <c r="EG192" t="s">
        <v>3968</v>
      </c>
      <c r="EH192" t="s">
        <v>3968</v>
      </c>
      <c r="EI192" t="s">
        <v>3246</v>
      </c>
      <c r="EJ192" t="s">
        <v>3969</v>
      </c>
      <c r="EK192" t="s">
        <v>3970</v>
      </c>
      <c r="EL192" t="s">
        <v>3970</v>
      </c>
      <c r="EM192" t="s">
        <v>4024</v>
      </c>
      <c r="EN192" t="s">
        <v>4025</v>
      </c>
      <c r="EO192" t="s">
        <v>4026</v>
      </c>
      <c r="EP192" t="s">
        <v>4026</v>
      </c>
      <c r="EQ192">
        <v>7</v>
      </c>
      <c r="ER192">
        <v>8</v>
      </c>
      <c r="ES192">
        <v>7</v>
      </c>
      <c r="ET192">
        <v>7</v>
      </c>
      <c r="EU192">
        <v>7</v>
      </c>
      <c r="EV192">
        <v>0.1</v>
      </c>
      <c r="EW192">
        <v>0.1</v>
      </c>
      <c r="EX192">
        <v>0.2</v>
      </c>
      <c r="EY192">
        <v>0.3</v>
      </c>
      <c r="EZ192">
        <v>0.3</v>
      </c>
      <c r="FA192">
        <f>EV192*EQ192</f>
        <v>0.70000000000000007</v>
      </c>
      <c r="FB192">
        <f>EW192*ER192</f>
        <v>0.8</v>
      </c>
      <c r="FC192">
        <f>EX192*ES192</f>
        <v>1.4000000000000001</v>
      </c>
      <c r="FD192">
        <f>EY192*ET192</f>
        <v>2.1</v>
      </c>
      <c r="FE192">
        <f>EZ192*EU192</f>
        <v>2.1</v>
      </c>
      <c r="FF192">
        <v>14</v>
      </c>
      <c r="FG192">
        <v>0</v>
      </c>
      <c r="FH192">
        <v>14</v>
      </c>
      <c r="FI192">
        <f>FA192+FB192+FC192+FD192+FE192</f>
        <v>7.1</v>
      </c>
      <c r="FJ192">
        <f>MEDIAN(EQ192:EU192)</f>
        <v>7</v>
      </c>
      <c r="FL192">
        <v>75.86</v>
      </c>
      <c r="FM192">
        <v>6.25</v>
      </c>
      <c r="FN192" t="s">
        <v>1506</v>
      </c>
      <c r="FO192" t="s">
        <v>1507</v>
      </c>
      <c r="FP192" t="s">
        <v>1508</v>
      </c>
      <c r="FQ192" t="s">
        <v>1509</v>
      </c>
      <c r="FR192" t="s">
        <v>1510</v>
      </c>
      <c r="FS192">
        <v>10</v>
      </c>
      <c r="FT192">
        <v>10</v>
      </c>
      <c r="FU192">
        <v>9.5</v>
      </c>
      <c r="FV192">
        <v>8.5</v>
      </c>
      <c r="FW192">
        <v>9</v>
      </c>
      <c r="FX192">
        <v>0.1</v>
      </c>
      <c r="FY192">
        <v>0.1</v>
      </c>
      <c r="FZ192">
        <v>0.2</v>
      </c>
      <c r="GA192">
        <v>0.3</v>
      </c>
      <c r="GB192">
        <v>0.3</v>
      </c>
      <c r="GC192">
        <f>FS192*FX192</f>
        <v>1</v>
      </c>
      <c r="GD192">
        <f>FT192*FY192</f>
        <v>1</v>
      </c>
      <c r="GE192">
        <f>FU192*FZ192</f>
        <v>1.9000000000000001</v>
      </c>
      <c r="GF192">
        <f>FV192*GA192</f>
        <v>2.5499999999999998</v>
      </c>
      <c r="GG192">
        <f>FW192*GB192</f>
        <v>2.6999999999999997</v>
      </c>
      <c r="GH192">
        <v>6.25</v>
      </c>
      <c r="GI192">
        <v>0</v>
      </c>
      <c r="GJ192">
        <v>6.25</v>
      </c>
      <c r="GK192">
        <f>GC192+GD192+GE192+GF192+GG192</f>
        <v>9.15</v>
      </c>
      <c r="GL192">
        <f>MEDIAN(FS192:FW192)</f>
        <v>9.5</v>
      </c>
    </row>
    <row r="193" spans="1:194" hidden="1" x14ac:dyDescent="0.25">
      <c r="A193">
        <v>192</v>
      </c>
      <c r="B193" t="s">
        <v>2</v>
      </c>
      <c r="C193" s="4">
        <v>67.2</v>
      </c>
      <c r="D193">
        <v>3.2</v>
      </c>
      <c r="E193" s="1">
        <f>C193/3/D193</f>
        <v>7</v>
      </c>
      <c r="G193">
        <v>36.07</v>
      </c>
      <c r="H193">
        <v>8</v>
      </c>
      <c r="I193">
        <f>H193*D193*3</f>
        <v>76.800000000000011</v>
      </c>
      <c r="J193">
        <v>18.34</v>
      </c>
      <c r="K193">
        <v>8.4</v>
      </c>
      <c r="L193" s="3">
        <f>K193*3*D193</f>
        <v>80.640000000000015</v>
      </c>
      <c r="M193">
        <v>6.55</v>
      </c>
      <c r="N193">
        <v>5</v>
      </c>
      <c r="O193">
        <f>N193*D193*3</f>
        <v>48</v>
      </c>
      <c r="P193" s="5">
        <v>7</v>
      </c>
      <c r="Q193" s="5">
        <f>P193*D193*3</f>
        <v>67.2</v>
      </c>
      <c r="S193" t="s">
        <v>6324</v>
      </c>
      <c r="T193">
        <v>5.6</v>
      </c>
      <c r="U193" s="8">
        <f>T193*D193*3</f>
        <v>53.759999999999991</v>
      </c>
      <c r="V193">
        <v>29.97</v>
      </c>
      <c r="W193">
        <v>8.4</v>
      </c>
      <c r="X193" s="5">
        <f>W193*D193*3</f>
        <v>80.640000000000015</v>
      </c>
      <c r="Y193">
        <v>12.01</v>
      </c>
      <c r="Z193">
        <v>7.5</v>
      </c>
      <c r="AA193">
        <f>Z193*D193*3</f>
        <v>72</v>
      </c>
      <c r="AC193">
        <v>46.99</v>
      </c>
      <c r="AD193">
        <v>7.9</v>
      </c>
      <c r="AE193" s="1">
        <f>AD193*3*D193</f>
        <v>75.840000000000018</v>
      </c>
      <c r="AF193">
        <v>13.39</v>
      </c>
      <c r="AH193" s="5">
        <f>AG193*D193*3</f>
        <v>0</v>
      </c>
      <c r="AI193" s="13"/>
      <c r="AJ193">
        <v>8.1999999999999993</v>
      </c>
      <c r="AK193" s="8">
        <f>AJ193*D193*3</f>
        <v>78.72</v>
      </c>
      <c r="AL193" s="13"/>
      <c r="AM193">
        <v>30.41</v>
      </c>
      <c r="AN193">
        <v>7.2</v>
      </c>
      <c r="AO193" s="8">
        <f>AN193*D193*3</f>
        <v>69.12</v>
      </c>
      <c r="AP193">
        <v>12.62</v>
      </c>
      <c r="AQ193">
        <v>10</v>
      </c>
      <c r="AR193">
        <f>AQ193*D193*3</f>
        <v>96</v>
      </c>
      <c r="AT193">
        <v>9</v>
      </c>
      <c r="AU193">
        <f>AT193*D193*3</f>
        <v>86.4</v>
      </c>
      <c r="AW193">
        <v>27.55</v>
      </c>
      <c r="AX193">
        <v>9.4</v>
      </c>
      <c r="AY193">
        <f>AX193*D193*3</f>
        <v>90.240000000000009</v>
      </c>
      <c r="AZ193">
        <v>27.55</v>
      </c>
      <c r="BA193">
        <v>8.4</v>
      </c>
      <c r="BB193">
        <f>BA193*D193*3</f>
        <v>80.640000000000015</v>
      </c>
      <c r="BD193">
        <v>8.9</v>
      </c>
      <c r="BE193">
        <f>BD193*D193*3</f>
        <v>85.440000000000012</v>
      </c>
      <c r="BG193" s="10"/>
      <c r="BH193" s="1">
        <f>CHOOSE(MATCH(MIN(ABS(BP193-C193),ABS(BQ193-C193),ABS(BR193-C193)),CHOOSE({1;2;3},ABS(BP193-C193),ABS(BQ193-C193),ABS(BR193-C193)),0),BP193,BQ193,BR193)</f>
        <v>57.6</v>
      </c>
      <c r="BJ193" s="1" cm="1">
        <f t="array" ref="BJ193">(INDEX(_xlfn._xlws.SORT(CHOOSE({1;2;3;4;5;6},BQ193,BR193,L193,AE193,BO193,BP193)),3) + INDEX(_xlfn._xlws.SORT(CHOOSE({1;2;3;4;5;6},BQ193,BR193,L193,AE193,BO193,BP193)),4))/2</f>
        <v>76.320000000000022</v>
      </c>
      <c r="BK193">
        <v>7.0221973163374596</v>
      </c>
      <c r="BL193" t="s">
        <v>6117</v>
      </c>
      <c r="BM193" s="1">
        <f>BK193*3*D193</f>
        <v>67.413094236839612</v>
      </c>
      <c r="BN193" s="1">
        <f>BM193-C193</f>
        <v>0.21309423683960915</v>
      </c>
      <c r="BO193" s="1">
        <f>GK193*3*D193</f>
        <v>54.720000000000006</v>
      </c>
      <c r="BP193" s="1">
        <f>DO193*3*D193</f>
        <v>86.4</v>
      </c>
      <c r="BQ193" s="1">
        <f>FJ193*3*D193</f>
        <v>76.800000000000011</v>
      </c>
      <c r="BR193" s="1">
        <f>GL193*3*D193</f>
        <v>57.6</v>
      </c>
      <c r="BT193">
        <v>36.07</v>
      </c>
      <c r="BU193">
        <v>8</v>
      </c>
      <c r="BV193" t="s">
        <v>5624</v>
      </c>
      <c r="BW193" t="s">
        <v>5004</v>
      </c>
      <c r="BX193" t="s">
        <v>5005</v>
      </c>
      <c r="BY193" t="s">
        <v>5092</v>
      </c>
      <c r="BZ193" t="s">
        <v>5292</v>
      </c>
      <c r="CA193" t="s">
        <v>2437</v>
      </c>
      <c r="CC193" t="s">
        <v>2438</v>
      </c>
      <c r="CD193" t="s">
        <v>2439</v>
      </c>
      <c r="CE193" t="s">
        <v>2440</v>
      </c>
      <c r="CG193" t="s">
        <v>2441</v>
      </c>
      <c r="CH193" t="s">
        <v>2442</v>
      </c>
      <c r="CI193" t="s">
        <v>2535</v>
      </c>
      <c r="CK193" t="s">
        <v>2444</v>
      </c>
      <c r="CL193" t="s">
        <v>2445</v>
      </c>
      <c r="CM193" t="s">
        <v>2446</v>
      </c>
      <c r="CO193" t="s">
        <v>2447</v>
      </c>
      <c r="CP193" t="s">
        <v>2448</v>
      </c>
      <c r="CQ193" t="s">
        <v>2666</v>
      </c>
      <c r="CS193" t="s">
        <v>2450</v>
      </c>
      <c r="CT193" t="s">
        <v>2451</v>
      </c>
      <c r="CV193">
        <v>9</v>
      </c>
      <c r="CW193">
        <v>9</v>
      </c>
      <c r="CX193">
        <v>9</v>
      </c>
      <c r="CY193">
        <v>9</v>
      </c>
      <c r="CZ193">
        <v>9</v>
      </c>
      <c r="DA193">
        <v>0.1</v>
      </c>
      <c r="DB193">
        <v>0.1</v>
      </c>
      <c r="DC193">
        <v>0.2</v>
      </c>
      <c r="DD193">
        <v>0.3</v>
      </c>
      <c r="DE193">
        <v>0.3</v>
      </c>
      <c r="DF193">
        <v>0.9</v>
      </c>
      <c r="DG193">
        <v>0.9</v>
      </c>
      <c r="DH193">
        <v>1.8</v>
      </c>
      <c r="DI193">
        <v>2.7</v>
      </c>
      <c r="DJ193">
        <v>2.7</v>
      </c>
      <c r="DK193">
        <v>8</v>
      </c>
      <c r="DL193">
        <v>0</v>
      </c>
      <c r="DM193">
        <v>8</v>
      </c>
      <c r="DN193">
        <v>8.4</v>
      </c>
      <c r="DO193">
        <f>AVERAGE(CV193:CZ193)</f>
        <v>9</v>
      </c>
      <c r="DQ193">
        <v>15</v>
      </c>
      <c r="DR193" t="s">
        <v>28</v>
      </c>
      <c r="DS193" t="s">
        <v>29</v>
      </c>
      <c r="DT193" t="s">
        <v>57</v>
      </c>
      <c r="DU193" t="s">
        <v>58</v>
      </c>
      <c r="DV193" t="s">
        <v>220</v>
      </c>
      <c r="DW193" t="s">
        <v>3769</v>
      </c>
      <c r="DX193" t="s">
        <v>3770</v>
      </c>
      <c r="DY193" t="s">
        <v>3771</v>
      </c>
      <c r="DZ193" t="s">
        <v>3772</v>
      </c>
      <c r="EA193" t="s">
        <v>3860</v>
      </c>
      <c r="EB193" t="s">
        <v>3807</v>
      </c>
      <c r="EC193" t="s">
        <v>3775</v>
      </c>
      <c r="ED193" t="s">
        <v>3776</v>
      </c>
      <c r="EE193" t="s">
        <v>3819</v>
      </c>
      <c r="EF193" t="s">
        <v>3809</v>
      </c>
      <c r="EG193" t="s">
        <v>4588</v>
      </c>
      <c r="EH193" t="s">
        <v>3811</v>
      </c>
      <c r="EI193" t="s">
        <v>3820</v>
      </c>
      <c r="EJ193" t="s">
        <v>3813</v>
      </c>
      <c r="EK193" t="s">
        <v>3821</v>
      </c>
      <c r="EL193" t="s">
        <v>3822</v>
      </c>
      <c r="EM193" t="s">
        <v>3816</v>
      </c>
      <c r="EN193" t="s">
        <v>3931</v>
      </c>
      <c r="EO193" t="s">
        <v>4603</v>
      </c>
      <c r="EP193" t="s">
        <v>4260</v>
      </c>
      <c r="EQ193">
        <v>7</v>
      </c>
      <c r="ER193">
        <v>8</v>
      </c>
      <c r="ES193">
        <v>8</v>
      </c>
      <c r="ET193">
        <v>8</v>
      </c>
      <c r="EU193">
        <v>8</v>
      </c>
      <c r="EV193">
        <v>0.1</v>
      </c>
      <c r="EW193">
        <v>0.1</v>
      </c>
      <c r="EX193">
        <v>0.2</v>
      </c>
      <c r="EY193">
        <v>0.3</v>
      </c>
      <c r="EZ193">
        <v>0.3</v>
      </c>
      <c r="FA193">
        <f>EV193*EQ193</f>
        <v>0.70000000000000007</v>
      </c>
      <c r="FB193">
        <f>EW193*ER193</f>
        <v>0.8</v>
      </c>
      <c r="FC193">
        <f>EX193*ES193</f>
        <v>1.6</v>
      </c>
      <c r="FD193">
        <f>EY193*ET193</f>
        <v>2.4</v>
      </c>
      <c r="FE193">
        <f>EZ193*EU193</f>
        <v>2.4</v>
      </c>
      <c r="FF193">
        <v>15</v>
      </c>
      <c r="FG193">
        <v>0</v>
      </c>
      <c r="FH193">
        <v>15</v>
      </c>
      <c r="FI193">
        <f>FA193+FB193+FC193+FD193+FE193</f>
        <v>7.9</v>
      </c>
      <c r="FJ193">
        <f>MEDIAN(EQ193:EU193)</f>
        <v>8</v>
      </c>
      <c r="FL193">
        <v>37.24</v>
      </c>
      <c r="FM193">
        <v>5.7</v>
      </c>
      <c r="FN193" t="s">
        <v>1511</v>
      </c>
      <c r="FO193" t="s">
        <v>1512</v>
      </c>
      <c r="FP193" t="s">
        <v>1513</v>
      </c>
      <c r="FQ193" t="s">
        <v>1514</v>
      </c>
      <c r="FR193" t="s">
        <v>1515</v>
      </c>
      <c r="FS193">
        <v>6</v>
      </c>
      <c r="FT193">
        <v>5.5</v>
      </c>
      <c r="FU193">
        <v>7</v>
      </c>
      <c r="FV193">
        <v>6.5</v>
      </c>
      <c r="FW193">
        <v>4</v>
      </c>
      <c r="FX193">
        <v>0.1</v>
      </c>
      <c r="FY193">
        <v>0.1</v>
      </c>
      <c r="FZ193">
        <v>0.2</v>
      </c>
      <c r="GA193">
        <v>0.3</v>
      </c>
      <c r="GB193">
        <v>0.3</v>
      </c>
      <c r="GC193">
        <f>FS193*FX193</f>
        <v>0.60000000000000009</v>
      </c>
      <c r="GD193">
        <f>FT193*FY193</f>
        <v>0.55000000000000004</v>
      </c>
      <c r="GE193">
        <f>FU193*FZ193</f>
        <v>1.4000000000000001</v>
      </c>
      <c r="GF193">
        <f>FV193*GA193</f>
        <v>1.95</v>
      </c>
      <c r="GG193">
        <f>FW193*GB193</f>
        <v>1.2</v>
      </c>
      <c r="GH193">
        <v>5.85</v>
      </c>
      <c r="GI193">
        <v>-0.15</v>
      </c>
      <c r="GJ193">
        <v>5.7</v>
      </c>
      <c r="GK193">
        <f>GC193+GD193+GE193+GF193+GG193</f>
        <v>5.7</v>
      </c>
      <c r="GL193">
        <f>MEDIAN(FS193:FW193)</f>
        <v>6</v>
      </c>
    </row>
    <row r="194" spans="1:194" hidden="1" x14ac:dyDescent="0.25">
      <c r="A194">
        <v>193</v>
      </c>
      <c r="B194" t="s">
        <v>2</v>
      </c>
      <c r="C194" s="4">
        <v>89.1</v>
      </c>
      <c r="D194">
        <v>3.3</v>
      </c>
      <c r="E194" s="1">
        <f>C194/3/D194</f>
        <v>9</v>
      </c>
      <c r="G194">
        <v>33.840000000000003</v>
      </c>
      <c r="H194">
        <v>8.4</v>
      </c>
      <c r="I194">
        <f>H194*D194*3</f>
        <v>83.16</v>
      </c>
      <c r="J194">
        <v>17.23</v>
      </c>
      <c r="K194">
        <v>9</v>
      </c>
      <c r="L194" s="3">
        <f>K194*3*D194</f>
        <v>89.1</v>
      </c>
      <c r="M194">
        <v>4.84</v>
      </c>
      <c r="N194">
        <v>5.5</v>
      </c>
      <c r="O194">
        <f>N194*D194*3</f>
        <v>54.449999999999996</v>
      </c>
      <c r="P194" s="5">
        <v>7</v>
      </c>
      <c r="Q194" s="5">
        <f>P194*D194*3</f>
        <v>69.3</v>
      </c>
      <c r="S194" t="s">
        <v>6325</v>
      </c>
      <c r="T194">
        <v>4.9000000000000004</v>
      </c>
      <c r="U194" s="8">
        <f>T194*D194*3</f>
        <v>48.510000000000005</v>
      </c>
      <c r="V194">
        <v>32.729999999999997</v>
      </c>
      <c r="W194">
        <v>8.6999999999999993</v>
      </c>
      <c r="X194" s="5">
        <f>W194*D194*3</f>
        <v>86.13</v>
      </c>
      <c r="Y194">
        <v>12.42</v>
      </c>
      <c r="Z194">
        <v>7.6</v>
      </c>
      <c r="AA194">
        <f>Z194*D194*3</f>
        <v>75.239999999999995</v>
      </c>
      <c r="AC194">
        <v>46.74</v>
      </c>
      <c r="AD194">
        <v>7.9</v>
      </c>
      <c r="AE194" s="1">
        <f>AD194*3*D194</f>
        <v>78.210000000000008</v>
      </c>
      <c r="AF194">
        <v>11.89</v>
      </c>
      <c r="AG194" s="5">
        <v>7</v>
      </c>
      <c r="AH194" s="5">
        <f>AG194*D194*3</f>
        <v>69.3</v>
      </c>
      <c r="AI194" s="13"/>
      <c r="AJ194">
        <v>7.3</v>
      </c>
      <c r="AK194" s="8">
        <f>AJ194*D194*3</f>
        <v>72.27</v>
      </c>
      <c r="AL194" s="13"/>
      <c r="AM194">
        <v>30.27</v>
      </c>
      <c r="AN194">
        <v>7.4</v>
      </c>
      <c r="AO194" s="8">
        <f>AN194*D194*3</f>
        <v>73.259999999999991</v>
      </c>
      <c r="AP194">
        <v>14.79</v>
      </c>
      <c r="AQ194">
        <v>9.5</v>
      </c>
      <c r="AR194">
        <f>AQ194*D194*3</f>
        <v>94.05</v>
      </c>
      <c r="AT194">
        <v>9</v>
      </c>
      <c r="AU194">
        <f>AT194*D194*3</f>
        <v>89.1</v>
      </c>
      <c r="AW194">
        <v>22.49</v>
      </c>
      <c r="AX194">
        <v>9.3000000000000007</v>
      </c>
      <c r="AY194">
        <f>AX194*D194*3</f>
        <v>92.070000000000007</v>
      </c>
      <c r="AZ194">
        <v>22.49</v>
      </c>
      <c r="BA194">
        <v>9.1999999999999993</v>
      </c>
      <c r="BB194">
        <f>BA194*D194*3</f>
        <v>91.079999999999984</v>
      </c>
      <c r="BD194">
        <v>8.6</v>
      </c>
      <c r="BE194">
        <f>BD194*D194*3</f>
        <v>85.14</v>
      </c>
      <c r="BG194" s="10"/>
      <c r="BH194" s="1">
        <f>CHOOSE(MATCH(MIN(ABS(BP194-C194),ABS(BQ194-C194),ABS(BR194-C194)),CHOOSE({1;2;3},ABS(BP194-C194),ABS(BQ194-C194),ABS(BR194-C194)),0),BP194,BQ194,BR194)</f>
        <v>85.139999999999986</v>
      </c>
      <c r="BJ194" s="1" cm="1">
        <f t="array" ref="BJ194">(INDEX(_xlfn._xlws.SORT(CHOOSE({1;2;3;4;5;6},BQ194,BR194,L194,AE194,BO194,BP194)),3) + INDEX(_xlfn._xlws.SORT(CHOOSE({1;2;3;4;5;6},BQ194,BR194,L194,AE194,BO194,BP194)),4))/2</f>
        <v>78.704999999999998</v>
      </c>
      <c r="BK194">
        <v>8.9973160724380605</v>
      </c>
      <c r="BL194" t="s">
        <v>6117</v>
      </c>
      <c r="BM194" s="1">
        <f>BK194*3*D194</f>
        <v>89.073429117136797</v>
      </c>
      <c r="BN194" s="1">
        <f>BM194-C194</f>
        <v>-2.6570882863197198E-2</v>
      </c>
      <c r="BO194" s="1">
        <f>GK194*3*D194</f>
        <v>40.589999999999996</v>
      </c>
      <c r="BP194" s="1">
        <f>DO194*3*D194</f>
        <v>85.139999999999986</v>
      </c>
      <c r="BQ194" s="1">
        <f>FJ194*3*D194</f>
        <v>79.199999999999989</v>
      </c>
      <c r="BR194" s="1">
        <f>GL194*3*D194</f>
        <v>39.599999999999994</v>
      </c>
      <c r="BT194">
        <v>33.840000000000003</v>
      </c>
      <c r="BU194">
        <v>8.4</v>
      </c>
      <c r="BV194" t="s">
        <v>4991</v>
      </c>
      <c r="BW194" t="s">
        <v>5043</v>
      </c>
      <c r="BX194" t="s">
        <v>5625</v>
      </c>
      <c r="BY194" t="s">
        <v>5626</v>
      </c>
      <c r="BZ194" t="s">
        <v>5627</v>
      </c>
      <c r="CA194" t="s">
        <v>2550</v>
      </c>
      <c r="CC194" t="s">
        <v>2634</v>
      </c>
      <c r="CD194" t="s">
        <v>3031</v>
      </c>
      <c r="CE194" t="s">
        <v>2553</v>
      </c>
      <c r="CG194" t="s">
        <v>2634</v>
      </c>
      <c r="CH194" t="s">
        <v>2773</v>
      </c>
      <c r="CI194" t="s">
        <v>2774</v>
      </c>
      <c r="CK194" t="s">
        <v>2634</v>
      </c>
      <c r="CL194" t="s">
        <v>2775</v>
      </c>
      <c r="CM194" t="s">
        <v>2595</v>
      </c>
      <c r="CO194" t="s">
        <v>2634</v>
      </c>
      <c r="CP194" t="s">
        <v>2776</v>
      </c>
      <c r="CQ194" t="s">
        <v>2777</v>
      </c>
      <c r="CR194" t="s">
        <v>2778</v>
      </c>
      <c r="CS194" t="s">
        <v>2779</v>
      </c>
      <c r="CT194" t="s">
        <v>3033</v>
      </c>
      <c r="CV194">
        <v>9</v>
      </c>
      <c r="CW194">
        <v>9</v>
      </c>
      <c r="CX194">
        <v>9</v>
      </c>
      <c r="CY194">
        <v>9</v>
      </c>
      <c r="CZ194">
        <v>7</v>
      </c>
      <c r="DA194">
        <v>0.1</v>
      </c>
      <c r="DB194">
        <v>0.1</v>
      </c>
      <c r="DC194">
        <v>0.2</v>
      </c>
      <c r="DD194">
        <v>0.3</v>
      </c>
      <c r="DE194">
        <v>0.3</v>
      </c>
      <c r="DF194">
        <v>0.9</v>
      </c>
      <c r="DG194">
        <v>0.9</v>
      </c>
      <c r="DH194">
        <v>1.8</v>
      </c>
      <c r="DI194">
        <v>2.7</v>
      </c>
      <c r="DJ194">
        <v>2.1</v>
      </c>
      <c r="DK194">
        <v>8.4</v>
      </c>
      <c r="DL194">
        <v>0</v>
      </c>
      <c r="DM194">
        <v>8.4</v>
      </c>
      <c r="DN194">
        <v>9</v>
      </c>
      <c r="DO194">
        <f>AVERAGE(CV194:CZ194)</f>
        <v>8.6</v>
      </c>
      <c r="DQ194">
        <v>15</v>
      </c>
      <c r="DR194" t="s">
        <v>194</v>
      </c>
      <c r="DS194" t="s">
        <v>384</v>
      </c>
      <c r="DT194" t="s">
        <v>381</v>
      </c>
      <c r="DU194" t="s">
        <v>385</v>
      </c>
      <c r="DV194" t="s">
        <v>386</v>
      </c>
      <c r="DW194" t="s">
        <v>3769</v>
      </c>
      <c r="DX194" t="s">
        <v>3770</v>
      </c>
      <c r="DY194" t="s">
        <v>3771</v>
      </c>
      <c r="DZ194" t="s">
        <v>3772</v>
      </c>
      <c r="EA194" t="s">
        <v>3806</v>
      </c>
      <c r="EB194" t="s">
        <v>3807</v>
      </c>
      <c r="EC194" t="s">
        <v>3775</v>
      </c>
      <c r="ED194" t="s">
        <v>3776</v>
      </c>
      <c r="EE194" t="s">
        <v>3819</v>
      </c>
      <c r="EF194" t="s">
        <v>3809</v>
      </c>
      <c r="EG194" t="s">
        <v>3810</v>
      </c>
      <c r="EH194" t="s">
        <v>3811</v>
      </c>
      <c r="EI194" t="s">
        <v>3820</v>
      </c>
      <c r="EJ194" t="s">
        <v>3813</v>
      </c>
      <c r="EK194" t="s">
        <v>3821</v>
      </c>
      <c r="EL194" t="s">
        <v>3822</v>
      </c>
      <c r="EM194" t="s">
        <v>3816</v>
      </c>
      <c r="EN194" t="s">
        <v>3823</v>
      </c>
      <c r="EO194" t="s">
        <v>3824</v>
      </c>
      <c r="EP194" t="s">
        <v>3825</v>
      </c>
      <c r="EQ194">
        <v>7</v>
      </c>
      <c r="ER194">
        <v>8</v>
      </c>
      <c r="ES194">
        <v>8</v>
      </c>
      <c r="ET194">
        <v>8</v>
      </c>
      <c r="EU194">
        <v>8</v>
      </c>
      <c r="EV194">
        <v>0.1</v>
      </c>
      <c r="EW194">
        <v>0.1</v>
      </c>
      <c r="EX194">
        <v>0.2</v>
      </c>
      <c r="EY194">
        <v>0.3</v>
      </c>
      <c r="EZ194">
        <v>0.3</v>
      </c>
      <c r="FA194">
        <f>EV194*EQ194</f>
        <v>0.70000000000000007</v>
      </c>
      <c r="FB194">
        <f>EW194*ER194</f>
        <v>0.8</v>
      </c>
      <c r="FC194">
        <f>EX194*ES194</f>
        <v>1.6</v>
      </c>
      <c r="FD194">
        <f>EY194*ET194</f>
        <v>2.4</v>
      </c>
      <c r="FE194">
        <f>EZ194*EU194</f>
        <v>2.4</v>
      </c>
      <c r="FF194">
        <v>15</v>
      </c>
      <c r="FG194">
        <v>0</v>
      </c>
      <c r="FH194">
        <v>15</v>
      </c>
      <c r="FI194">
        <f>FA194+FB194+FC194+FD194+FE194</f>
        <v>7.9</v>
      </c>
      <c r="FJ194">
        <f>MEDIAN(EQ194:EU194)</f>
        <v>8</v>
      </c>
      <c r="FL194">
        <v>39.770000000000003</v>
      </c>
      <c r="FM194">
        <v>8</v>
      </c>
      <c r="FN194" t="s">
        <v>1516</v>
      </c>
      <c r="FO194" t="s">
        <v>1517</v>
      </c>
      <c r="FP194" t="s">
        <v>1518</v>
      </c>
      <c r="FQ194" t="s">
        <v>1519</v>
      </c>
      <c r="FR194" t="s">
        <v>1520</v>
      </c>
      <c r="FS194">
        <v>4</v>
      </c>
      <c r="FT194">
        <v>3</v>
      </c>
      <c r="FU194">
        <v>2</v>
      </c>
      <c r="FV194">
        <v>4</v>
      </c>
      <c r="FW194">
        <v>6</v>
      </c>
      <c r="FX194">
        <v>0.1</v>
      </c>
      <c r="FY194">
        <v>0.1</v>
      </c>
      <c r="FZ194">
        <v>0.2</v>
      </c>
      <c r="GA194">
        <v>0.3</v>
      </c>
      <c r="GB194">
        <v>0.3</v>
      </c>
      <c r="GC194">
        <f>FS194*FX194</f>
        <v>0.4</v>
      </c>
      <c r="GD194">
        <f>FT194*FY194</f>
        <v>0.30000000000000004</v>
      </c>
      <c r="GE194">
        <f>FU194*FZ194</f>
        <v>0.4</v>
      </c>
      <c r="GF194">
        <f>FV194*GA194</f>
        <v>1.2</v>
      </c>
      <c r="GG194">
        <f>FW194*GB194</f>
        <v>1.7999999999999998</v>
      </c>
      <c r="GH194">
        <v>7.9</v>
      </c>
      <c r="GI194">
        <v>0.1</v>
      </c>
      <c r="GJ194">
        <v>8</v>
      </c>
      <c r="GK194">
        <f>GC194+GD194+GE194+GF194+GG194</f>
        <v>4.0999999999999996</v>
      </c>
      <c r="GL194">
        <f>MEDIAN(FS194:FW194)</f>
        <v>4</v>
      </c>
    </row>
    <row r="195" spans="1:194" hidden="1" x14ac:dyDescent="0.25">
      <c r="A195">
        <v>194</v>
      </c>
      <c r="B195" t="s">
        <v>2</v>
      </c>
      <c r="C195" s="4">
        <v>73.5</v>
      </c>
      <c r="D195">
        <v>3</v>
      </c>
      <c r="E195" s="1">
        <f>C195/3/D195</f>
        <v>8.1666666666666661</v>
      </c>
      <c r="G195">
        <v>82.81</v>
      </c>
      <c r="H195">
        <v>8.65</v>
      </c>
      <c r="I195">
        <f>H195*D195*3</f>
        <v>77.850000000000009</v>
      </c>
      <c r="J195">
        <v>17.350000000000001</v>
      </c>
      <c r="K195">
        <v>9</v>
      </c>
      <c r="L195" s="3">
        <f>K195*3*D195</f>
        <v>81</v>
      </c>
      <c r="M195">
        <v>4.72</v>
      </c>
      <c r="N195">
        <v>4</v>
      </c>
      <c r="O195">
        <f>N195*D195*3</f>
        <v>36</v>
      </c>
      <c r="P195" s="5">
        <v>8.9</v>
      </c>
      <c r="Q195" s="5">
        <f>P195*D195*3</f>
        <v>80.100000000000009</v>
      </c>
      <c r="S195" t="s">
        <v>6326</v>
      </c>
      <c r="T195">
        <v>6</v>
      </c>
      <c r="U195" s="8">
        <f>T195*D195*3</f>
        <v>54</v>
      </c>
      <c r="V195">
        <v>33.04</v>
      </c>
      <c r="W195">
        <v>8.4</v>
      </c>
      <c r="X195" s="5">
        <f>W195*D195*3</f>
        <v>75.600000000000009</v>
      </c>
      <c r="Y195">
        <v>9.17</v>
      </c>
      <c r="Z195">
        <v>7.5</v>
      </c>
      <c r="AA195">
        <f>Z195*D195*3</f>
        <v>67.5</v>
      </c>
      <c r="AC195">
        <v>51.36</v>
      </c>
      <c r="AD195">
        <v>7.1</v>
      </c>
      <c r="AE195" s="1">
        <f>AD195*3*D195</f>
        <v>63.899999999999991</v>
      </c>
      <c r="AF195">
        <v>11.9</v>
      </c>
      <c r="AG195" s="5">
        <v>7</v>
      </c>
      <c r="AH195" s="5">
        <f>AG195*D195*3</f>
        <v>63</v>
      </c>
      <c r="AI195" s="13"/>
      <c r="AJ195">
        <v>2.8</v>
      </c>
      <c r="AK195" s="8">
        <f>AJ195*D195*3</f>
        <v>25.199999999999996</v>
      </c>
      <c r="AL195" s="13"/>
      <c r="AM195">
        <v>30.57</v>
      </c>
      <c r="AN195">
        <v>7.5</v>
      </c>
      <c r="AO195" s="8">
        <f>AN195*D195*3</f>
        <v>67.5</v>
      </c>
      <c r="AP195">
        <v>14.66</v>
      </c>
      <c r="AQ195">
        <v>10</v>
      </c>
      <c r="AR195">
        <f>AQ195*D195*3</f>
        <v>90</v>
      </c>
      <c r="AT195">
        <v>8.6</v>
      </c>
      <c r="AU195">
        <f>AT195*D195*3</f>
        <v>77.399999999999991</v>
      </c>
      <c r="AW195">
        <v>24.75</v>
      </c>
      <c r="AX195">
        <v>8.8000000000000007</v>
      </c>
      <c r="AY195">
        <f>AX195*D195*3</f>
        <v>79.2</v>
      </c>
      <c r="AZ195">
        <v>24.75</v>
      </c>
      <c r="BA195">
        <v>9</v>
      </c>
      <c r="BB195">
        <f>BA195*D195*3</f>
        <v>81</v>
      </c>
      <c r="BD195">
        <v>8.1999999999999993</v>
      </c>
      <c r="BE195">
        <f>BD195*D195*3</f>
        <v>73.8</v>
      </c>
      <c r="BG195" s="10"/>
      <c r="BH195" s="1">
        <f>CHOOSE(MATCH(MIN(ABS(BP195-C195),ABS(BQ195-C195),ABS(BR195-C195)),CHOOSE({1;2;3},ABS(BP195-C195),ABS(BQ195-C195),ABS(BR195-C195)),0),BP195,BQ195,BR195)</f>
        <v>80.100000000000009</v>
      </c>
      <c r="BJ195" s="1" cm="1">
        <f t="array" ref="BJ195">(INDEX(_xlfn._xlws.SORT(CHOOSE({1;2;3;4;5;6},BQ195,BR195,L195,AE195,BO195,BP195)),3) + INDEX(_xlfn._xlws.SORT(CHOOSE({1;2;3;4;5;6},BQ195,BR195,L195,AE195,BO195,BP195)),4))/2</f>
        <v>63.449999999999996</v>
      </c>
      <c r="BK195">
        <v>8.1497662384456699</v>
      </c>
      <c r="BL195" t="s">
        <v>6117</v>
      </c>
      <c r="BM195" s="1">
        <f>BK195*3*D195</f>
        <v>73.347896146011024</v>
      </c>
      <c r="BN195" s="1">
        <f>BM195-C195</f>
        <v>-0.15210385398897586</v>
      </c>
      <c r="BO195" s="1">
        <f>GK195*3*D195</f>
        <v>40.5</v>
      </c>
      <c r="BP195" s="1">
        <f>DO195*3*D195</f>
        <v>80.100000000000009</v>
      </c>
      <c r="BQ195" s="1">
        <f>FJ195*3*D195</f>
        <v>63</v>
      </c>
      <c r="BR195" s="1">
        <f>GL195*3*D195</f>
        <v>45</v>
      </c>
      <c r="BT195">
        <v>82.81</v>
      </c>
      <c r="BU195">
        <v>8.65</v>
      </c>
      <c r="BV195" t="s">
        <v>5628</v>
      </c>
      <c r="BW195" t="s">
        <v>5629</v>
      </c>
      <c r="BX195" t="s">
        <v>5630</v>
      </c>
      <c r="BY195" t="s">
        <v>5631</v>
      </c>
      <c r="BZ195" t="s">
        <v>5632</v>
      </c>
      <c r="CA195" t="s">
        <v>2550</v>
      </c>
      <c r="CC195" t="s">
        <v>2634</v>
      </c>
      <c r="CD195" t="s">
        <v>2635</v>
      </c>
      <c r="CE195" t="s">
        <v>2482</v>
      </c>
      <c r="CG195" t="s">
        <v>2636</v>
      </c>
      <c r="CH195" t="s">
        <v>2637</v>
      </c>
      <c r="CI195" t="s">
        <v>2763</v>
      </c>
      <c r="CK195" t="s">
        <v>2993</v>
      </c>
      <c r="CL195" t="s">
        <v>3285</v>
      </c>
      <c r="CM195" t="s">
        <v>2704</v>
      </c>
      <c r="CO195" t="s">
        <v>3286</v>
      </c>
      <c r="CP195" t="s">
        <v>2869</v>
      </c>
      <c r="CQ195" t="s">
        <v>2707</v>
      </c>
      <c r="CR195" t="s">
        <v>3287</v>
      </c>
      <c r="CS195" t="s">
        <v>2645</v>
      </c>
      <c r="CT195" t="s">
        <v>3288</v>
      </c>
      <c r="CV195">
        <v>9</v>
      </c>
      <c r="CW195">
        <v>9</v>
      </c>
      <c r="CX195">
        <v>9</v>
      </c>
      <c r="CY195">
        <v>9</v>
      </c>
      <c r="CZ195">
        <v>8.5</v>
      </c>
      <c r="DA195">
        <v>0.1</v>
      </c>
      <c r="DB195">
        <v>0.1</v>
      </c>
      <c r="DC195">
        <v>0.2</v>
      </c>
      <c r="DD195">
        <v>0.3</v>
      </c>
      <c r="DE195">
        <v>0.3</v>
      </c>
      <c r="DF195">
        <v>0.9</v>
      </c>
      <c r="DG195">
        <v>0.9</v>
      </c>
      <c r="DH195">
        <v>1.8</v>
      </c>
      <c r="DI195">
        <v>2.7</v>
      </c>
      <c r="DJ195">
        <v>2.5499999999999998</v>
      </c>
      <c r="DK195">
        <v>8.65</v>
      </c>
      <c r="DL195">
        <v>0</v>
      </c>
      <c r="DM195">
        <v>8.65</v>
      </c>
      <c r="DN195">
        <v>9</v>
      </c>
      <c r="DO195">
        <f>AVERAGE(CV195:CZ195)</f>
        <v>8.9</v>
      </c>
      <c r="DQ195">
        <v>14</v>
      </c>
      <c r="DR195" t="s">
        <v>28</v>
      </c>
      <c r="DS195" t="s">
        <v>61</v>
      </c>
      <c r="DT195" t="s">
        <v>90</v>
      </c>
      <c r="DU195" t="s">
        <v>91</v>
      </c>
      <c r="DV195" t="s">
        <v>113</v>
      </c>
      <c r="DW195" t="s">
        <v>3769</v>
      </c>
      <c r="DX195" t="s">
        <v>3770</v>
      </c>
      <c r="DY195" t="s">
        <v>3963</v>
      </c>
      <c r="DZ195" t="s">
        <v>3963</v>
      </c>
      <c r="EA195" t="s">
        <v>3860</v>
      </c>
      <c r="EB195" t="s">
        <v>3964</v>
      </c>
      <c r="EC195" t="s">
        <v>3965</v>
      </c>
      <c r="ED195" t="s">
        <v>3965</v>
      </c>
      <c r="EE195" t="s">
        <v>3966</v>
      </c>
      <c r="EF195" t="s">
        <v>3967</v>
      </c>
      <c r="EG195" t="s">
        <v>3968</v>
      </c>
      <c r="EH195" t="s">
        <v>3968</v>
      </c>
      <c r="EI195" t="s">
        <v>3246</v>
      </c>
      <c r="EJ195" t="s">
        <v>3969</v>
      </c>
      <c r="EK195" t="s">
        <v>3970</v>
      </c>
      <c r="EL195" t="s">
        <v>3970</v>
      </c>
      <c r="EM195" t="s">
        <v>4024</v>
      </c>
      <c r="EN195" t="s">
        <v>4025</v>
      </c>
      <c r="EO195" t="s">
        <v>4026</v>
      </c>
      <c r="EP195" t="s">
        <v>4026</v>
      </c>
      <c r="EQ195">
        <v>7</v>
      </c>
      <c r="ER195">
        <v>8</v>
      </c>
      <c r="ES195">
        <v>7</v>
      </c>
      <c r="ET195">
        <v>7</v>
      </c>
      <c r="EU195">
        <v>7</v>
      </c>
      <c r="EV195">
        <v>0.1</v>
      </c>
      <c r="EW195">
        <v>0.1</v>
      </c>
      <c r="EX195">
        <v>0.2</v>
      </c>
      <c r="EY195">
        <v>0.3</v>
      </c>
      <c r="EZ195">
        <v>0.3</v>
      </c>
      <c r="FA195">
        <f>EV195*EQ195</f>
        <v>0.70000000000000007</v>
      </c>
      <c r="FB195">
        <f>EW195*ER195</f>
        <v>0.8</v>
      </c>
      <c r="FC195">
        <f>EX195*ES195</f>
        <v>1.4000000000000001</v>
      </c>
      <c r="FD195">
        <f>EY195*ET195</f>
        <v>2.1</v>
      </c>
      <c r="FE195">
        <f>EZ195*EU195</f>
        <v>2.1</v>
      </c>
      <c r="FF195">
        <v>14</v>
      </c>
      <c r="FG195">
        <v>0</v>
      </c>
      <c r="FH195">
        <v>14</v>
      </c>
      <c r="FI195">
        <f>FA195+FB195+FC195+FD195+FE195</f>
        <v>7.1</v>
      </c>
      <c r="FJ195">
        <f>MEDIAN(EQ195:EU195)</f>
        <v>7</v>
      </c>
      <c r="FL195">
        <v>79.45</v>
      </c>
      <c r="FM195">
        <v>4.5</v>
      </c>
      <c r="FN195" t="s">
        <v>1521</v>
      </c>
      <c r="FO195" t="s">
        <v>1522</v>
      </c>
      <c r="FP195" t="s">
        <v>1523</v>
      </c>
      <c r="FQ195" t="s">
        <v>1524</v>
      </c>
      <c r="FR195" t="s">
        <v>1525</v>
      </c>
      <c r="FS195">
        <v>8</v>
      </c>
      <c r="FT195">
        <v>6</v>
      </c>
      <c r="FU195">
        <v>5</v>
      </c>
      <c r="FV195">
        <v>4</v>
      </c>
      <c r="FW195">
        <v>3</v>
      </c>
      <c r="FX195">
        <v>0.1</v>
      </c>
      <c r="FY195">
        <v>0.1</v>
      </c>
      <c r="FZ195">
        <v>0.2</v>
      </c>
      <c r="GA195">
        <v>0.3</v>
      </c>
      <c r="GB195">
        <v>0.3</v>
      </c>
      <c r="GC195">
        <f>FS195*FX195</f>
        <v>0.8</v>
      </c>
      <c r="GD195">
        <f>FT195*FY195</f>
        <v>0.60000000000000009</v>
      </c>
      <c r="GE195">
        <f>FU195*FZ195</f>
        <v>1</v>
      </c>
      <c r="GF195">
        <f>FV195*GA195</f>
        <v>1.2</v>
      </c>
      <c r="GG195">
        <f>FW195*GB195</f>
        <v>0.89999999999999991</v>
      </c>
      <c r="GH195">
        <v>4.7</v>
      </c>
      <c r="GI195">
        <v>-0.2</v>
      </c>
      <c r="GJ195">
        <v>4.5</v>
      </c>
      <c r="GK195">
        <f>GC195+GD195+GE195+GF195+GG195</f>
        <v>4.5</v>
      </c>
      <c r="GL195">
        <f>MEDIAN(FS195:FW195)</f>
        <v>5</v>
      </c>
    </row>
    <row r="196" spans="1:194" hidden="1" x14ac:dyDescent="0.25">
      <c r="A196">
        <v>195</v>
      </c>
      <c r="B196" t="s">
        <v>2</v>
      </c>
      <c r="C196" s="4">
        <v>76.5</v>
      </c>
      <c r="D196">
        <v>3</v>
      </c>
      <c r="E196" s="1">
        <f>C196/3/D196</f>
        <v>8.5</v>
      </c>
      <c r="G196">
        <v>87.74</v>
      </c>
      <c r="H196">
        <v>6.3</v>
      </c>
      <c r="I196">
        <f>H196*D196*3</f>
        <v>56.699999999999996</v>
      </c>
      <c r="J196">
        <v>18.39</v>
      </c>
      <c r="K196">
        <v>9</v>
      </c>
      <c r="L196" s="3">
        <f>K196*3*D196</f>
        <v>81</v>
      </c>
      <c r="M196">
        <v>5.27</v>
      </c>
      <c r="N196">
        <v>4</v>
      </c>
      <c r="O196">
        <f>N196*D196*3</f>
        <v>36</v>
      </c>
      <c r="P196" s="5">
        <v>8</v>
      </c>
      <c r="Q196" s="5">
        <f>P196*D196*3</f>
        <v>72</v>
      </c>
      <c r="S196" t="s">
        <v>6327</v>
      </c>
      <c r="T196">
        <v>5.4</v>
      </c>
      <c r="U196" s="8">
        <f>T196*D196*3</f>
        <v>48.600000000000009</v>
      </c>
      <c r="V196">
        <v>32.270000000000003</v>
      </c>
      <c r="W196">
        <v>8.4</v>
      </c>
      <c r="X196" s="5">
        <f>W196*D196*3</f>
        <v>75.600000000000009</v>
      </c>
      <c r="Y196">
        <v>8.86</v>
      </c>
      <c r="Z196">
        <v>6</v>
      </c>
      <c r="AA196">
        <f>Z196*D196*3</f>
        <v>54</v>
      </c>
      <c r="AC196">
        <v>53.73</v>
      </c>
      <c r="AD196">
        <v>7.6</v>
      </c>
      <c r="AE196" s="1">
        <f>AD196*3*D196</f>
        <v>68.399999999999991</v>
      </c>
      <c r="AF196">
        <v>11.97</v>
      </c>
      <c r="AG196" s="5">
        <v>7</v>
      </c>
      <c r="AH196" s="5">
        <f>AG196*D196*3</f>
        <v>63</v>
      </c>
      <c r="AI196" s="13"/>
      <c r="AJ196">
        <v>2.8</v>
      </c>
      <c r="AK196" s="8">
        <f>AJ196*D196*3</f>
        <v>25.199999999999996</v>
      </c>
      <c r="AL196" s="13"/>
      <c r="AM196">
        <v>30.87</v>
      </c>
      <c r="AN196">
        <v>7.6</v>
      </c>
      <c r="AO196" s="8">
        <f>AN196*D196*3</f>
        <v>68.399999999999991</v>
      </c>
      <c r="AP196">
        <v>13.4</v>
      </c>
      <c r="AQ196">
        <v>9.5</v>
      </c>
      <c r="AR196">
        <f>AQ196*D196*3</f>
        <v>85.5</v>
      </c>
      <c r="AT196">
        <v>8.6</v>
      </c>
      <c r="AU196">
        <f>AT196*D196*3</f>
        <v>77.399999999999991</v>
      </c>
      <c r="AW196">
        <v>25.56</v>
      </c>
      <c r="AX196">
        <v>9.3000000000000007</v>
      </c>
      <c r="AY196">
        <f>AX196*D196*3</f>
        <v>83.7</v>
      </c>
      <c r="AZ196">
        <v>25.56</v>
      </c>
      <c r="BA196">
        <v>9</v>
      </c>
      <c r="BB196">
        <f>BA196*D196*3</f>
        <v>81</v>
      </c>
      <c r="BD196">
        <v>8.6999999999999993</v>
      </c>
      <c r="BE196">
        <f>BD196*D196*3</f>
        <v>78.3</v>
      </c>
      <c r="BG196" s="10"/>
      <c r="BH196" s="1">
        <f>CHOOSE(MATCH(MIN(ABS(BP196-C196),ABS(BQ196-C196),ABS(BR196-C196)),CHOOSE({1;2;3},ABS(BP196-C196),ABS(BQ196-C196),ABS(BR196-C196)),0),BP196,BQ196,BR196)</f>
        <v>72</v>
      </c>
      <c r="BJ196" s="1" cm="1">
        <f t="array" ref="BJ196">(INDEX(_xlfn._xlws.SORT(CHOOSE({1;2;3;4;5;6},BQ196,BR196,L196,AE196,BO196,BP196)),3) + INDEX(_xlfn._xlws.SORT(CHOOSE({1;2;3;4;5;6},BQ196,BR196,L196,AE196,BO196,BP196)),4))/2</f>
        <v>76.5</v>
      </c>
      <c r="BK196">
        <v>8.4548127989326893</v>
      </c>
      <c r="BL196" t="s">
        <v>6117</v>
      </c>
      <c r="BM196" s="1">
        <f>BK196*3*D196</f>
        <v>76.093315190394208</v>
      </c>
      <c r="BN196" s="1">
        <f>BM196-C196</f>
        <v>-0.40668480960579245</v>
      </c>
      <c r="BO196" s="1">
        <f>GK196*3*D196</f>
        <v>85.95</v>
      </c>
      <c r="BP196" s="1">
        <f>DO196*3*D196</f>
        <v>68.399999999999991</v>
      </c>
      <c r="BQ196" s="1">
        <f>FJ196*3*D196</f>
        <v>72</v>
      </c>
      <c r="BR196" s="1">
        <f>GL196*3*D196</f>
        <v>90</v>
      </c>
      <c r="BT196">
        <v>87.74</v>
      </c>
      <c r="BU196">
        <v>6.3</v>
      </c>
      <c r="BV196" t="s">
        <v>5633</v>
      </c>
      <c r="BW196" t="s">
        <v>5115</v>
      </c>
      <c r="BX196" t="s">
        <v>5634</v>
      </c>
      <c r="BY196" t="s">
        <v>5635</v>
      </c>
      <c r="BZ196" t="s">
        <v>5636</v>
      </c>
      <c r="CA196" t="s">
        <v>2452</v>
      </c>
      <c r="CC196" t="s">
        <v>2438</v>
      </c>
      <c r="CD196" t="s">
        <v>2453</v>
      </c>
      <c r="CE196" t="s">
        <v>2454</v>
      </c>
      <c r="CG196" t="s">
        <v>2455</v>
      </c>
      <c r="CH196" t="s">
        <v>2456</v>
      </c>
      <c r="CI196" t="s">
        <v>3289</v>
      </c>
      <c r="CJ196" t="s">
        <v>2458</v>
      </c>
      <c r="CK196" t="s">
        <v>2459</v>
      </c>
      <c r="CL196" t="s">
        <v>2460</v>
      </c>
      <c r="CM196" t="s">
        <v>2461</v>
      </c>
      <c r="CN196" t="s">
        <v>2462</v>
      </c>
      <c r="CO196" t="s">
        <v>2463</v>
      </c>
      <c r="CP196" t="s">
        <v>2464</v>
      </c>
      <c r="CQ196" t="s">
        <v>3290</v>
      </c>
      <c r="CR196" t="s">
        <v>2466</v>
      </c>
      <c r="CS196" t="s">
        <v>2467</v>
      </c>
      <c r="CT196" t="s">
        <v>2468</v>
      </c>
      <c r="CV196">
        <v>9</v>
      </c>
      <c r="CW196">
        <v>9</v>
      </c>
      <c r="CX196">
        <v>7</v>
      </c>
      <c r="CY196">
        <v>6</v>
      </c>
      <c r="CZ196">
        <v>7</v>
      </c>
      <c r="DA196">
        <v>0.1</v>
      </c>
      <c r="DB196">
        <v>0.1</v>
      </c>
      <c r="DC196">
        <v>0.2</v>
      </c>
      <c r="DD196">
        <v>0.3</v>
      </c>
      <c r="DE196">
        <v>0.3</v>
      </c>
      <c r="DF196">
        <v>0.9</v>
      </c>
      <c r="DG196">
        <v>0.9</v>
      </c>
      <c r="DH196">
        <v>1.4</v>
      </c>
      <c r="DI196">
        <v>1.8</v>
      </c>
      <c r="DJ196">
        <v>2.1</v>
      </c>
      <c r="DK196">
        <v>6.3</v>
      </c>
      <c r="DL196">
        <v>0</v>
      </c>
      <c r="DM196">
        <v>6.3</v>
      </c>
      <c r="DN196">
        <v>9</v>
      </c>
      <c r="DO196">
        <f>AVERAGE(CV196:CZ196)</f>
        <v>7.6</v>
      </c>
      <c r="DQ196">
        <v>8</v>
      </c>
      <c r="DR196" t="s">
        <v>65</v>
      </c>
      <c r="DS196" t="s">
        <v>387</v>
      </c>
      <c r="DT196" t="s">
        <v>388</v>
      </c>
      <c r="DU196" t="s">
        <v>389</v>
      </c>
      <c r="DV196" t="s">
        <v>390</v>
      </c>
      <c r="DW196" t="s">
        <v>3805</v>
      </c>
      <c r="DX196" t="s">
        <v>3770</v>
      </c>
      <c r="DY196" t="s">
        <v>4604</v>
      </c>
      <c r="DZ196" t="s">
        <v>4604</v>
      </c>
      <c r="EA196" t="s">
        <v>4605</v>
      </c>
      <c r="EB196" t="s">
        <v>4606</v>
      </c>
      <c r="EC196" t="s">
        <v>4607</v>
      </c>
      <c r="ED196" t="s">
        <v>4608</v>
      </c>
      <c r="EE196" t="s">
        <v>4609</v>
      </c>
      <c r="EF196" t="s">
        <v>4610</v>
      </c>
      <c r="EG196" t="s">
        <v>4611</v>
      </c>
      <c r="EH196" t="s">
        <v>4612</v>
      </c>
      <c r="EI196" t="s">
        <v>4613</v>
      </c>
      <c r="EJ196" t="s">
        <v>3969</v>
      </c>
      <c r="EK196" t="s">
        <v>4614</v>
      </c>
      <c r="EL196" t="s">
        <v>4615</v>
      </c>
      <c r="EM196" t="s">
        <v>4616</v>
      </c>
      <c r="EN196" t="s">
        <v>3967</v>
      </c>
      <c r="EO196" t="s">
        <v>4617</v>
      </c>
      <c r="EP196" t="s">
        <v>4618</v>
      </c>
      <c r="EQ196">
        <v>7</v>
      </c>
      <c r="ER196">
        <v>8</v>
      </c>
      <c r="ES196">
        <v>8</v>
      </c>
      <c r="ET196">
        <v>8</v>
      </c>
      <c r="EU196">
        <v>7</v>
      </c>
      <c r="EV196">
        <v>0.1</v>
      </c>
      <c r="EW196">
        <v>0.1</v>
      </c>
      <c r="EX196">
        <v>0.2</v>
      </c>
      <c r="EY196">
        <v>0.3</v>
      </c>
      <c r="EZ196">
        <v>0.3</v>
      </c>
      <c r="FA196">
        <f>EV196*EQ196</f>
        <v>0.70000000000000007</v>
      </c>
      <c r="FB196">
        <f>EW196*ER196</f>
        <v>0.8</v>
      </c>
      <c r="FC196">
        <f>EX196*ES196</f>
        <v>1.6</v>
      </c>
      <c r="FD196">
        <f>EY196*ET196</f>
        <v>2.4</v>
      </c>
      <c r="FE196">
        <f>EZ196*EU196</f>
        <v>2.1</v>
      </c>
      <c r="FF196">
        <v>15</v>
      </c>
      <c r="FG196">
        <v>0</v>
      </c>
      <c r="FH196">
        <v>8</v>
      </c>
      <c r="FI196">
        <f>FA196+FB196+FC196+FD196+FE196</f>
        <v>7.6</v>
      </c>
      <c r="FJ196">
        <f>MEDIAN(EQ196:EU196)</f>
        <v>8</v>
      </c>
      <c r="FL196">
        <v>78.510000000000005</v>
      </c>
      <c r="FM196">
        <v>10</v>
      </c>
      <c r="FN196" t="s">
        <v>1070</v>
      </c>
      <c r="FO196" t="s">
        <v>1526</v>
      </c>
      <c r="FP196" t="s">
        <v>1527</v>
      </c>
      <c r="FQ196" t="s">
        <v>1528</v>
      </c>
      <c r="FR196" t="s">
        <v>1529</v>
      </c>
      <c r="FS196">
        <v>10</v>
      </c>
      <c r="FT196">
        <v>10</v>
      </c>
      <c r="FU196">
        <v>10</v>
      </c>
      <c r="FV196">
        <v>8.5</v>
      </c>
      <c r="FW196">
        <v>10</v>
      </c>
      <c r="FX196">
        <v>0.1</v>
      </c>
      <c r="FY196">
        <v>0.1</v>
      </c>
      <c r="FZ196">
        <v>0.2</v>
      </c>
      <c r="GA196">
        <v>0.3</v>
      </c>
      <c r="GB196">
        <v>0.3</v>
      </c>
      <c r="GC196">
        <f>FS196*FX196</f>
        <v>1</v>
      </c>
      <c r="GD196">
        <f>FT196*FY196</f>
        <v>1</v>
      </c>
      <c r="GE196">
        <f>FU196*FZ196</f>
        <v>2</v>
      </c>
      <c r="GF196">
        <f>FV196*GA196</f>
        <v>2.5499999999999998</v>
      </c>
      <c r="GG196">
        <f>FW196*GB196</f>
        <v>3</v>
      </c>
      <c r="GH196">
        <v>9.6</v>
      </c>
      <c r="GI196">
        <v>0.4</v>
      </c>
      <c r="GJ196">
        <v>10</v>
      </c>
      <c r="GK196">
        <f>GC196+GD196+GE196+GF196+GG196</f>
        <v>9.5500000000000007</v>
      </c>
      <c r="GL196">
        <f>MEDIAN(FS196:FW196)</f>
        <v>10</v>
      </c>
    </row>
    <row r="197" spans="1:194" x14ac:dyDescent="0.25">
      <c r="A197">
        <v>56</v>
      </c>
      <c r="B197" t="s">
        <v>2</v>
      </c>
      <c r="C197" s="4">
        <v>88.2</v>
      </c>
      <c r="D197">
        <v>3.6</v>
      </c>
      <c r="E197" s="1">
        <f>C197/3/D197</f>
        <v>8.1666666666666679</v>
      </c>
      <c r="G197">
        <v>39.11</v>
      </c>
      <c r="H197">
        <v>8</v>
      </c>
      <c r="I197">
        <f>H197*D197*3</f>
        <v>86.4</v>
      </c>
      <c r="J197">
        <v>16.7</v>
      </c>
      <c r="K197">
        <v>9</v>
      </c>
      <c r="L197" s="3">
        <f>K197*3*D197</f>
        <v>97.2</v>
      </c>
      <c r="M197">
        <v>4.33</v>
      </c>
      <c r="N197">
        <v>8.8000000000000007</v>
      </c>
      <c r="O197">
        <f>N197*D197*3</f>
        <v>95.04</v>
      </c>
      <c r="P197" s="5">
        <v>8.6</v>
      </c>
      <c r="Q197" s="5">
        <f>P197*D197*3</f>
        <v>92.88</v>
      </c>
      <c r="S197" t="s">
        <v>6194</v>
      </c>
      <c r="T197">
        <v>4.0999999999999996</v>
      </c>
      <c r="U197" s="8">
        <f>T197*D197*3</f>
        <v>44.28</v>
      </c>
      <c r="V197">
        <v>52.22</v>
      </c>
      <c r="W197">
        <v>8.4</v>
      </c>
      <c r="X197" s="5">
        <f>W197*D197*3</f>
        <v>90.72</v>
      </c>
      <c r="Y197">
        <v>12.15</v>
      </c>
      <c r="Z197">
        <v>7.5</v>
      </c>
      <c r="AA197">
        <f>Z197*D197*3</f>
        <v>81</v>
      </c>
      <c r="AC197">
        <v>46.97</v>
      </c>
      <c r="AD197">
        <v>8</v>
      </c>
      <c r="AE197" s="1">
        <f>AD197*3*D197</f>
        <v>86.4</v>
      </c>
      <c r="AF197">
        <v>12.23</v>
      </c>
      <c r="AG197" s="5">
        <v>7</v>
      </c>
      <c r="AH197" s="5">
        <f>AG197*D197*3</f>
        <v>75.599999999999994</v>
      </c>
      <c r="AI197" s="13"/>
      <c r="AJ197">
        <v>27</v>
      </c>
      <c r="AK197" s="8">
        <f>AJ197*D197*3</f>
        <v>291.60000000000002</v>
      </c>
      <c r="AL197" s="13"/>
      <c r="AM197">
        <v>29.99</v>
      </c>
      <c r="AN197">
        <v>8.1</v>
      </c>
      <c r="AO197" s="8">
        <f>AN197*D197*3</f>
        <v>87.48</v>
      </c>
      <c r="AP197">
        <v>11.96</v>
      </c>
      <c r="AQ197">
        <v>9.6999999999999993</v>
      </c>
      <c r="AR197">
        <f>AQ197*D197*3</f>
        <v>104.76</v>
      </c>
      <c r="AS197">
        <v>10.69</v>
      </c>
      <c r="AT197">
        <v>8.8000000000000007</v>
      </c>
      <c r="AU197">
        <f>AT197*D197*3</f>
        <v>95.04</v>
      </c>
      <c r="AW197">
        <v>25.24</v>
      </c>
      <c r="AX197">
        <v>9.1</v>
      </c>
      <c r="AY197">
        <f>AX197*D197*3</f>
        <v>98.28</v>
      </c>
      <c r="AZ197">
        <v>25.24</v>
      </c>
      <c r="BA197">
        <v>9</v>
      </c>
      <c r="BB197">
        <f>BA197*D197*3</f>
        <v>97.199999999999989</v>
      </c>
      <c r="BD197">
        <v>9</v>
      </c>
      <c r="BE197">
        <f>BD197*D197*3</f>
        <v>97.199999999999989</v>
      </c>
      <c r="BG197" s="10"/>
      <c r="BH197" s="1">
        <f>CHOOSE(MATCH(MIN(ABS(BP197-C197),ABS(BQ197-C197),ABS(BR197-C197)),CHOOSE({1;2;3},ABS(BP197-C197),ABS(BQ197-C197),ABS(BR197-C197)),0),BP197,BQ197,BR197)</f>
        <v>88.559999999999988</v>
      </c>
      <c r="BJ197" s="1" cm="1">
        <f t="array" ref="BJ197">(INDEX(_xlfn._xlws.SORT(CHOOSE({1;2;3;4;5;6},BQ197,BR197,L197,AE197,BO197,BP197)),3) + INDEX(_xlfn._xlws.SORT(CHOOSE({1;2;3;4;5;6},BQ197,BR197,L197,AE197,BO197,BP197)),4))/2</f>
        <v>86.4</v>
      </c>
      <c r="BK197">
        <v>8.3281431061580804</v>
      </c>
      <c r="BL197" s="11" t="s">
        <v>6116</v>
      </c>
      <c r="BM197" s="1">
        <f>BK197*3*D197</f>
        <v>89.943945546507265</v>
      </c>
      <c r="BN197" s="1">
        <f>BM197-C197</f>
        <v>1.7439455465072626</v>
      </c>
      <c r="BO197" s="1">
        <f>GK197*3*D197</f>
        <v>62.639999999999993</v>
      </c>
      <c r="BP197" s="1">
        <f>DO197*3*D197</f>
        <v>88.559999999999988</v>
      </c>
      <c r="BQ197" s="1">
        <f>FJ197*3*D197</f>
        <v>86.4</v>
      </c>
      <c r="BR197" s="1">
        <f>GL197*3*D197</f>
        <v>64.8</v>
      </c>
      <c r="BT197">
        <v>39.11</v>
      </c>
      <c r="BU197">
        <v>8</v>
      </c>
      <c r="BV197" t="s">
        <v>5199</v>
      </c>
      <c r="BW197" t="s">
        <v>5056</v>
      </c>
      <c r="BX197" t="s">
        <v>5200</v>
      </c>
      <c r="BY197" t="s">
        <v>5201</v>
      </c>
      <c r="BZ197" t="s">
        <v>5202</v>
      </c>
      <c r="CA197" t="s">
        <v>2420</v>
      </c>
      <c r="CC197" t="s">
        <v>2491</v>
      </c>
      <c r="CD197" t="s">
        <v>2492</v>
      </c>
      <c r="CE197" t="s">
        <v>2572</v>
      </c>
      <c r="CG197" t="s">
        <v>2573</v>
      </c>
      <c r="CH197" t="s">
        <v>2574</v>
      </c>
      <c r="CI197" t="s">
        <v>2575</v>
      </c>
      <c r="CJ197" t="s">
        <v>2427</v>
      </c>
      <c r="CK197" t="s">
        <v>2576</v>
      </c>
      <c r="CL197" t="s">
        <v>2729</v>
      </c>
      <c r="CM197" t="s">
        <v>2578</v>
      </c>
      <c r="CN197" t="s">
        <v>2579</v>
      </c>
      <c r="CO197" t="s">
        <v>2580</v>
      </c>
      <c r="CP197" t="s">
        <v>2581</v>
      </c>
      <c r="CQ197" t="s">
        <v>2582</v>
      </c>
      <c r="CR197" t="s">
        <v>2434</v>
      </c>
      <c r="CS197" t="s">
        <v>2583</v>
      </c>
      <c r="CT197" t="s">
        <v>2584</v>
      </c>
      <c r="CV197">
        <v>9</v>
      </c>
      <c r="CW197">
        <v>9</v>
      </c>
      <c r="CX197">
        <v>8</v>
      </c>
      <c r="CY197">
        <v>8</v>
      </c>
      <c r="CZ197">
        <v>7</v>
      </c>
      <c r="DA197">
        <v>0.1</v>
      </c>
      <c r="DB197">
        <v>0.1</v>
      </c>
      <c r="DC197">
        <v>0.2</v>
      </c>
      <c r="DD197">
        <v>0.3</v>
      </c>
      <c r="DE197">
        <v>0.3</v>
      </c>
      <c r="DF197">
        <v>0.9</v>
      </c>
      <c r="DG197">
        <v>0.9</v>
      </c>
      <c r="DH197">
        <v>1.6</v>
      </c>
      <c r="DI197">
        <v>2.4</v>
      </c>
      <c r="DJ197">
        <v>2.1</v>
      </c>
      <c r="DK197">
        <v>7.9</v>
      </c>
      <c r="DL197">
        <v>0.1</v>
      </c>
      <c r="DM197">
        <v>8</v>
      </c>
      <c r="DN197">
        <v>9</v>
      </c>
      <c r="DO197">
        <f>AVERAGE(CV197:CZ197)</f>
        <v>8.1999999999999993</v>
      </c>
      <c r="DQ197">
        <v>8</v>
      </c>
      <c r="DR197" t="s">
        <v>33</v>
      </c>
      <c r="DS197" t="s">
        <v>82</v>
      </c>
      <c r="DT197" t="s">
        <v>83</v>
      </c>
      <c r="DU197" t="s">
        <v>84</v>
      </c>
      <c r="DV197" t="s">
        <v>85</v>
      </c>
      <c r="DW197" t="s">
        <v>3788</v>
      </c>
      <c r="DX197" t="s">
        <v>3789</v>
      </c>
      <c r="DY197" t="s">
        <v>3790</v>
      </c>
      <c r="DZ197" t="s">
        <v>3933</v>
      </c>
      <c r="EA197" t="s">
        <v>3934</v>
      </c>
      <c r="EB197" t="s">
        <v>3793</v>
      </c>
      <c r="EC197" t="s">
        <v>3935</v>
      </c>
      <c r="ED197" t="s">
        <v>3936</v>
      </c>
      <c r="EE197" t="s">
        <v>3937</v>
      </c>
      <c r="EF197" t="s">
        <v>3797</v>
      </c>
      <c r="EG197" t="s">
        <v>3938</v>
      </c>
      <c r="EH197" t="s">
        <v>3939</v>
      </c>
      <c r="EI197" t="s">
        <v>3940</v>
      </c>
      <c r="EJ197" t="s">
        <v>3800</v>
      </c>
      <c r="EK197" t="s">
        <v>3941</v>
      </c>
      <c r="EL197" t="s">
        <v>3942</v>
      </c>
      <c r="EM197" t="s">
        <v>3943</v>
      </c>
      <c r="EN197" t="s">
        <v>3803</v>
      </c>
      <c r="EO197" t="s">
        <v>3944</v>
      </c>
      <c r="EP197" t="s">
        <v>3945</v>
      </c>
      <c r="EQ197">
        <v>8</v>
      </c>
      <c r="ER197">
        <v>8</v>
      </c>
      <c r="ES197">
        <v>8</v>
      </c>
      <c r="ET197">
        <v>8</v>
      </c>
      <c r="EU197">
        <v>8</v>
      </c>
      <c r="EV197">
        <v>0.1</v>
      </c>
      <c r="EW197">
        <v>0.1</v>
      </c>
      <c r="EX197">
        <v>0.2</v>
      </c>
      <c r="EY197">
        <v>0.3</v>
      </c>
      <c r="EZ197">
        <v>0.3</v>
      </c>
      <c r="FA197">
        <f>EV197*EQ197</f>
        <v>0.8</v>
      </c>
      <c r="FB197">
        <f>EW197*ER197</f>
        <v>0.8</v>
      </c>
      <c r="FC197">
        <f>EX197*ES197</f>
        <v>1.6</v>
      </c>
      <c r="FD197">
        <f>EY197*ET197</f>
        <v>2.4</v>
      </c>
      <c r="FE197">
        <f>EZ197*EU197</f>
        <v>2.4</v>
      </c>
      <c r="FF197">
        <v>16</v>
      </c>
      <c r="FG197">
        <v>0</v>
      </c>
      <c r="FH197">
        <v>8</v>
      </c>
      <c r="FI197">
        <f>FA197+FB197+FC197+FD197+FE197</f>
        <v>8</v>
      </c>
      <c r="FJ197">
        <f>MEDIAN(EQ197:EU197)</f>
        <v>8</v>
      </c>
      <c r="FL197">
        <v>42.05</v>
      </c>
      <c r="FM197">
        <v>5.6</v>
      </c>
      <c r="FN197" t="s">
        <v>874</v>
      </c>
      <c r="FO197" t="s">
        <v>875</v>
      </c>
      <c r="FP197" t="s">
        <v>876</v>
      </c>
      <c r="FQ197" t="s">
        <v>877</v>
      </c>
      <c r="FR197" t="s">
        <v>878</v>
      </c>
      <c r="FS197">
        <v>5</v>
      </c>
      <c r="FT197">
        <v>8</v>
      </c>
      <c r="FU197">
        <v>6</v>
      </c>
      <c r="FV197">
        <v>7</v>
      </c>
      <c r="FW197">
        <v>4</v>
      </c>
      <c r="FX197">
        <v>0.1</v>
      </c>
      <c r="FY197">
        <v>0.1</v>
      </c>
      <c r="FZ197">
        <v>0.2</v>
      </c>
      <c r="GA197">
        <v>0.3</v>
      </c>
      <c r="GB197">
        <v>0.3</v>
      </c>
      <c r="GC197">
        <f>FS197*FX197</f>
        <v>0.5</v>
      </c>
      <c r="GD197">
        <f>FT197*FY197</f>
        <v>0.8</v>
      </c>
      <c r="GE197">
        <f>FU197*FZ197</f>
        <v>1.2000000000000002</v>
      </c>
      <c r="GF197">
        <f>FV197*GA197</f>
        <v>2.1</v>
      </c>
      <c r="GG197">
        <f>FW197*GB197</f>
        <v>1.2</v>
      </c>
      <c r="GH197">
        <v>5.6</v>
      </c>
      <c r="GJ197">
        <v>5.6</v>
      </c>
      <c r="GK197">
        <f>GC197+GD197+GE197+GF197+GG197</f>
        <v>5.8</v>
      </c>
      <c r="GL197">
        <f>MEDIAN(FS197:FW197)</f>
        <v>6</v>
      </c>
    </row>
    <row r="198" spans="1:194" hidden="1" x14ac:dyDescent="0.25">
      <c r="A198">
        <v>197</v>
      </c>
      <c r="B198" t="s">
        <v>2</v>
      </c>
      <c r="C198" s="4">
        <v>72.5</v>
      </c>
      <c r="D198">
        <v>2.9</v>
      </c>
      <c r="E198" s="1">
        <f>C198/3/D198</f>
        <v>8.3333333333333339</v>
      </c>
      <c r="G198">
        <v>84.23</v>
      </c>
      <c r="H198">
        <v>8.1999999999999993</v>
      </c>
      <c r="I198">
        <f>H198*D198*3</f>
        <v>71.339999999999989</v>
      </c>
      <c r="J198">
        <v>17.899999999999999</v>
      </c>
      <c r="K198">
        <v>9</v>
      </c>
      <c r="L198" s="3">
        <f>K198*3*D198</f>
        <v>78.3</v>
      </c>
      <c r="M198">
        <v>5.39</v>
      </c>
      <c r="N198">
        <v>5</v>
      </c>
      <c r="O198">
        <f>N198*D198*3</f>
        <v>43.5</v>
      </c>
      <c r="P198" s="5">
        <v>8.5</v>
      </c>
      <c r="Q198" s="5">
        <f>P198*D198*3</f>
        <v>73.949999999999989</v>
      </c>
      <c r="S198" t="s">
        <v>6329</v>
      </c>
      <c r="T198">
        <v>7</v>
      </c>
      <c r="U198" s="8">
        <f>T198*D198*3</f>
        <v>60.900000000000006</v>
      </c>
      <c r="V198">
        <v>33.06</v>
      </c>
      <c r="W198">
        <v>8.4</v>
      </c>
      <c r="X198" s="5">
        <f>W198*D198*3</f>
        <v>73.08</v>
      </c>
      <c r="Y198">
        <v>9.7899999999999991</v>
      </c>
      <c r="Z198">
        <v>7.8</v>
      </c>
      <c r="AA198">
        <f>Z198*D198*3</f>
        <v>67.859999999999985</v>
      </c>
      <c r="AC198">
        <v>48.15</v>
      </c>
      <c r="AD198">
        <v>8</v>
      </c>
      <c r="AE198" s="1">
        <f>AD198*3*D198</f>
        <v>69.599999999999994</v>
      </c>
      <c r="AF198">
        <v>11.89</v>
      </c>
      <c r="AG198" s="5">
        <v>7</v>
      </c>
      <c r="AH198" s="5">
        <f>AG198*D198*3</f>
        <v>60.900000000000006</v>
      </c>
      <c r="AI198" s="13"/>
      <c r="AJ198">
        <v>32.5</v>
      </c>
      <c r="AK198" s="8">
        <f>AJ198*D198*3</f>
        <v>282.75</v>
      </c>
      <c r="AL198" s="13"/>
      <c r="AM198">
        <v>30.27</v>
      </c>
      <c r="AN198">
        <v>7.2</v>
      </c>
      <c r="AO198" s="8">
        <f>AN198*D198*3</f>
        <v>62.64</v>
      </c>
      <c r="AP198">
        <v>13.01</v>
      </c>
      <c r="AQ198">
        <v>10</v>
      </c>
      <c r="AR198">
        <f>AQ198*D198*3</f>
        <v>87</v>
      </c>
      <c r="AT198">
        <v>8.8000000000000007</v>
      </c>
      <c r="AU198">
        <f>AT198*D198*3</f>
        <v>76.56</v>
      </c>
      <c r="AW198">
        <v>25.82</v>
      </c>
      <c r="AX198">
        <v>8.8000000000000007</v>
      </c>
      <c r="AY198">
        <f>AX198*D198*3</f>
        <v>76.56</v>
      </c>
      <c r="AZ198">
        <v>25.82</v>
      </c>
      <c r="BA198">
        <v>9</v>
      </c>
      <c r="BB198">
        <f>BA198*D198*3</f>
        <v>78.3</v>
      </c>
      <c r="BD198">
        <v>8.6999999999999993</v>
      </c>
      <c r="BE198">
        <f>BD198*D198*3</f>
        <v>75.69</v>
      </c>
      <c r="BG198" s="10"/>
      <c r="BH198" s="1">
        <f>CHOOSE(MATCH(MIN(ABS(BP198-C198),ABS(BQ198-C198),ABS(BR198-C198)),CHOOSE({1;2;3},ABS(BP198-C198),ABS(BQ198-C198),ABS(BR198-C198)),0),BP198,BQ198,BR198)</f>
        <v>73.95</v>
      </c>
      <c r="BJ198" s="1" cm="1">
        <f t="array" ref="BJ198">(INDEX(_xlfn._xlws.SORT(CHOOSE({1;2;3;4;5;6},BQ198,BR198,L198,AE198,BO198,BP198)),3) + INDEX(_xlfn._xlws.SORT(CHOOSE({1;2;3;4;5;6},BQ198,BR198,L198,AE198,BO198,BP198)),4))/2</f>
        <v>71.775000000000006</v>
      </c>
      <c r="BK198">
        <v>8.3313214195525607</v>
      </c>
      <c r="BL198" t="s">
        <v>6117</v>
      </c>
      <c r="BM198" s="1">
        <f>BK198*3*D198</f>
        <v>72.482496350107283</v>
      </c>
      <c r="BN198" s="1">
        <f>BM198-C198</f>
        <v>-1.7503649892717021E-2</v>
      </c>
      <c r="BO198" s="1">
        <f>GK198*3*D198</f>
        <v>68.73</v>
      </c>
      <c r="BP198" s="1">
        <f>DO198*3*D198</f>
        <v>78.3</v>
      </c>
      <c r="BQ198" s="1">
        <f>FJ198*3*D198</f>
        <v>69.599999999999994</v>
      </c>
      <c r="BR198" s="1">
        <f>GL198*3*D198</f>
        <v>73.95</v>
      </c>
      <c r="BT198">
        <v>84.23</v>
      </c>
      <c r="BU198">
        <v>8.1999999999999993</v>
      </c>
      <c r="BV198" t="s">
        <v>5602</v>
      </c>
      <c r="BW198" t="s">
        <v>5603</v>
      </c>
      <c r="BX198" t="s">
        <v>5604</v>
      </c>
      <c r="BY198" t="s">
        <v>5642</v>
      </c>
      <c r="BZ198" t="s">
        <v>5643</v>
      </c>
      <c r="CA198" t="s">
        <v>2437</v>
      </c>
      <c r="CC198" t="s">
        <v>2842</v>
      </c>
      <c r="CD198" t="s">
        <v>2533</v>
      </c>
      <c r="CE198" t="s">
        <v>2440</v>
      </c>
      <c r="CG198" t="s">
        <v>2843</v>
      </c>
      <c r="CH198" t="s">
        <v>2534</v>
      </c>
      <c r="CI198" t="s">
        <v>2443</v>
      </c>
      <c r="CK198" t="s">
        <v>2844</v>
      </c>
      <c r="CL198" t="s">
        <v>2536</v>
      </c>
      <c r="CM198" t="s">
        <v>2446</v>
      </c>
      <c r="CO198" t="s">
        <v>2845</v>
      </c>
      <c r="CP198" t="s">
        <v>2537</v>
      </c>
      <c r="CQ198" t="s">
        <v>2449</v>
      </c>
      <c r="CS198" t="s">
        <v>2846</v>
      </c>
      <c r="CT198" t="s">
        <v>2539</v>
      </c>
      <c r="CV198">
        <v>9</v>
      </c>
      <c r="CW198">
        <v>9</v>
      </c>
      <c r="CX198">
        <v>9</v>
      </c>
      <c r="CY198">
        <v>9</v>
      </c>
      <c r="CZ198">
        <v>9</v>
      </c>
      <c r="DA198">
        <v>0.1</v>
      </c>
      <c r="DB198">
        <v>0.1</v>
      </c>
      <c r="DC198">
        <v>0.2</v>
      </c>
      <c r="DD198">
        <v>0.3</v>
      </c>
      <c r="DE198">
        <v>0.3</v>
      </c>
      <c r="DF198">
        <v>0.9</v>
      </c>
      <c r="DG198">
        <v>0.9</v>
      </c>
      <c r="DH198">
        <v>1.8</v>
      </c>
      <c r="DI198">
        <v>2.7</v>
      </c>
      <c r="DJ198">
        <v>2.7</v>
      </c>
      <c r="DK198">
        <v>8.1999999999999993</v>
      </c>
      <c r="DL198">
        <v>0</v>
      </c>
      <c r="DM198">
        <v>8.1999999999999993</v>
      </c>
      <c r="DN198">
        <v>9</v>
      </c>
      <c r="DO198">
        <f>AVERAGE(CV198:CZ198)</f>
        <v>9</v>
      </c>
      <c r="DQ198" t="s">
        <v>27</v>
      </c>
      <c r="DR198" t="s">
        <v>126</v>
      </c>
      <c r="DS198" t="s">
        <v>391</v>
      </c>
      <c r="DT198" t="s">
        <v>392</v>
      </c>
      <c r="DU198" t="s">
        <v>393</v>
      </c>
      <c r="DV198" t="s">
        <v>394</v>
      </c>
      <c r="DW198" t="s">
        <v>3911</v>
      </c>
      <c r="DX198" t="s">
        <v>3912</v>
      </c>
      <c r="DY198" t="s">
        <v>3913</v>
      </c>
      <c r="DZ198" t="s">
        <v>3052</v>
      </c>
      <c r="EA198" t="s">
        <v>4619</v>
      </c>
      <c r="EB198" t="s">
        <v>3840</v>
      </c>
      <c r="EC198" t="s">
        <v>3915</v>
      </c>
      <c r="ED198" t="s">
        <v>2495</v>
      </c>
      <c r="EE198" t="s">
        <v>4057</v>
      </c>
      <c r="EF198" t="s">
        <v>3844</v>
      </c>
      <c r="EG198" t="s">
        <v>3918</v>
      </c>
      <c r="EH198" t="s">
        <v>2498</v>
      </c>
      <c r="EI198" t="s">
        <v>4620</v>
      </c>
      <c r="EJ198" t="s">
        <v>4299</v>
      </c>
      <c r="EK198" t="s">
        <v>3921</v>
      </c>
      <c r="EL198" t="s">
        <v>2501</v>
      </c>
      <c r="EM198" t="s">
        <v>4621</v>
      </c>
      <c r="EN198" t="s">
        <v>3852</v>
      </c>
      <c r="EO198" t="s">
        <v>3924</v>
      </c>
      <c r="EP198" t="s">
        <v>2632</v>
      </c>
      <c r="EQ198">
        <v>8</v>
      </c>
      <c r="ER198">
        <v>8</v>
      </c>
      <c r="ES198">
        <v>8</v>
      </c>
      <c r="ET198">
        <v>8</v>
      </c>
      <c r="EU198">
        <v>8</v>
      </c>
      <c r="EV198">
        <v>0.1</v>
      </c>
      <c r="EW198">
        <v>0.1</v>
      </c>
      <c r="EX198">
        <v>0.2</v>
      </c>
      <c r="EY198">
        <v>0.3</v>
      </c>
      <c r="EZ198">
        <v>0.3</v>
      </c>
      <c r="FA198">
        <f>EV198*EQ198</f>
        <v>0.8</v>
      </c>
      <c r="FB198">
        <f>EW198*ER198</f>
        <v>0.8</v>
      </c>
      <c r="FC198">
        <f>EX198*ES198</f>
        <v>1.6</v>
      </c>
      <c r="FD198">
        <f>EY198*ET198</f>
        <v>2.4</v>
      </c>
      <c r="FE198">
        <f>EZ198*EU198</f>
        <v>2.4</v>
      </c>
      <c r="FF198">
        <v>16</v>
      </c>
      <c r="FG198">
        <v>0</v>
      </c>
      <c r="FH198">
        <v>8</v>
      </c>
      <c r="FI198">
        <f>FA198+FB198+FC198+FD198+FE198</f>
        <v>8</v>
      </c>
      <c r="FJ198">
        <f>MEDIAN(EQ198:EU198)</f>
        <v>8</v>
      </c>
      <c r="FL198">
        <v>76.61</v>
      </c>
      <c r="FM198">
        <v>8.4</v>
      </c>
      <c r="FN198" t="s">
        <v>1534</v>
      </c>
      <c r="FO198" t="s">
        <v>1535</v>
      </c>
      <c r="FP198" t="s">
        <v>1536</v>
      </c>
      <c r="FQ198" t="s">
        <v>1537</v>
      </c>
      <c r="FR198" t="s">
        <v>1538</v>
      </c>
      <c r="FS198">
        <v>10</v>
      </c>
      <c r="FT198">
        <v>10</v>
      </c>
      <c r="FU198">
        <v>8.5</v>
      </c>
      <c r="FV198">
        <v>7.5</v>
      </c>
      <c r="FW198">
        <v>6.5</v>
      </c>
      <c r="FX198">
        <v>0.1</v>
      </c>
      <c r="FY198">
        <v>0.1</v>
      </c>
      <c r="FZ198">
        <v>0.2</v>
      </c>
      <c r="GA198">
        <v>0.3</v>
      </c>
      <c r="GB198">
        <v>0.3</v>
      </c>
      <c r="GC198">
        <f>FS198*FX198</f>
        <v>1</v>
      </c>
      <c r="GD198">
        <f>FT198*FY198</f>
        <v>1</v>
      </c>
      <c r="GE198">
        <f>FU198*FZ198</f>
        <v>1.7000000000000002</v>
      </c>
      <c r="GF198">
        <f>FV198*GA198</f>
        <v>2.25</v>
      </c>
      <c r="GG198">
        <f>FW198*GB198</f>
        <v>1.95</v>
      </c>
      <c r="GH198">
        <v>8.4</v>
      </c>
      <c r="GI198">
        <v>0</v>
      </c>
      <c r="GJ198">
        <v>8.4</v>
      </c>
      <c r="GK198">
        <f>GC198+GD198+GE198+GF198+GG198</f>
        <v>7.9</v>
      </c>
      <c r="GL198">
        <f>MEDIAN(FS198:FW198)</f>
        <v>8.5</v>
      </c>
    </row>
    <row r="199" spans="1:194" hidden="1" x14ac:dyDescent="0.25">
      <c r="A199">
        <v>198</v>
      </c>
      <c r="B199" t="s">
        <v>2</v>
      </c>
      <c r="C199" s="4">
        <v>76.8</v>
      </c>
      <c r="D199">
        <v>3.2</v>
      </c>
      <c r="E199" s="1">
        <f>C199/3/D199</f>
        <v>7.9999999999999991</v>
      </c>
      <c r="G199">
        <v>37.93</v>
      </c>
      <c r="H199">
        <v>8.1999999999999993</v>
      </c>
      <c r="I199">
        <f>H199*D199*3</f>
        <v>78.72</v>
      </c>
      <c r="J199">
        <v>16.89</v>
      </c>
      <c r="K199">
        <v>9</v>
      </c>
      <c r="L199" s="3">
        <f>K199*3*D199</f>
        <v>86.4</v>
      </c>
      <c r="M199">
        <v>5.15</v>
      </c>
      <c r="N199">
        <v>3</v>
      </c>
      <c r="O199">
        <f>N199*D199*3</f>
        <v>28.800000000000004</v>
      </c>
      <c r="P199" s="5">
        <v>7</v>
      </c>
      <c r="Q199" s="5">
        <f>P199*D199*3</f>
        <v>67.2</v>
      </c>
      <c r="S199" t="s">
        <v>6330</v>
      </c>
      <c r="T199">
        <v>5</v>
      </c>
      <c r="U199" s="8">
        <f>T199*D199*3</f>
        <v>48</v>
      </c>
      <c r="V199">
        <v>31.42</v>
      </c>
      <c r="W199">
        <v>8.4</v>
      </c>
      <c r="X199" s="5">
        <f>W199*D199*3</f>
        <v>80.640000000000015</v>
      </c>
      <c r="Y199">
        <v>13.34</v>
      </c>
      <c r="Z199">
        <v>7.7</v>
      </c>
      <c r="AA199">
        <f>Z199*D199*3</f>
        <v>73.92</v>
      </c>
      <c r="AC199">
        <v>47.19</v>
      </c>
      <c r="AD199">
        <v>8</v>
      </c>
      <c r="AE199" s="1">
        <f>AD199*3*D199</f>
        <v>76.800000000000011</v>
      </c>
      <c r="AF199">
        <v>11.99</v>
      </c>
      <c r="AG199" s="5">
        <v>7</v>
      </c>
      <c r="AH199" s="5">
        <f>AG199*D199*3</f>
        <v>67.2</v>
      </c>
      <c r="AI199" s="13"/>
      <c r="AJ199">
        <v>21.5</v>
      </c>
      <c r="AK199" s="8">
        <f>AJ199*D199*3</f>
        <v>206.39999999999998</v>
      </c>
      <c r="AL199" s="13"/>
      <c r="AM199">
        <v>30.91</v>
      </c>
      <c r="AN199">
        <v>7.6</v>
      </c>
      <c r="AO199" s="8">
        <f>AN199*D199*3</f>
        <v>72.960000000000008</v>
      </c>
      <c r="AP199">
        <v>13.11</v>
      </c>
      <c r="AQ199">
        <v>10</v>
      </c>
      <c r="AR199">
        <f>AQ199*D199*3</f>
        <v>96</v>
      </c>
      <c r="AT199">
        <v>9</v>
      </c>
      <c r="AU199">
        <f>AT199*D199*3</f>
        <v>86.4</v>
      </c>
      <c r="AW199">
        <v>22.77</v>
      </c>
      <c r="AX199">
        <v>8.3000000000000007</v>
      </c>
      <c r="AY199">
        <f>AX199*D199*3</f>
        <v>79.680000000000007</v>
      </c>
      <c r="AZ199">
        <v>22.77</v>
      </c>
      <c r="BA199">
        <v>9</v>
      </c>
      <c r="BB199">
        <f>BA199*D199*3</f>
        <v>86.4</v>
      </c>
      <c r="BD199">
        <v>7.7</v>
      </c>
      <c r="BE199">
        <f>BD199*D199*3</f>
        <v>73.92</v>
      </c>
      <c r="BG199" s="10"/>
      <c r="BH199" s="1">
        <f>CHOOSE(MATCH(MIN(ABS(BP199-C199),ABS(BQ199-C199),ABS(BR199-C199)),CHOOSE({1;2;3},ABS(BP199-C199),ABS(BQ199-C199),ABS(BR199-C199)),0),BP199,BQ199,BR199)</f>
        <v>76.800000000000011</v>
      </c>
      <c r="BJ199" s="1" cm="1">
        <f t="array" ref="BJ199">(INDEX(_xlfn._xlws.SORT(CHOOSE({1;2;3;4;5;6},BQ199,BR199,L199,AE199,BO199,BP199)),3) + INDEX(_xlfn._xlws.SORT(CHOOSE({1;2;3;4;5;6},BQ199,BR199,L199,AE199,BO199,BP199)),4))/2</f>
        <v>76.800000000000011</v>
      </c>
      <c r="BK199">
        <v>8.0155500458779301</v>
      </c>
      <c r="BL199" t="s">
        <v>6117</v>
      </c>
      <c r="BM199" s="1">
        <f>BK199*3*D199</f>
        <v>76.94928044042814</v>
      </c>
      <c r="BN199" s="1">
        <f>BM199-C199</f>
        <v>0.14928044042814292</v>
      </c>
      <c r="BO199" s="1">
        <f>GK199*3*D199</f>
        <v>51.840000000000011</v>
      </c>
      <c r="BP199" s="1">
        <f>DO199*3*D199</f>
        <v>80.640000000000015</v>
      </c>
      <c r="BQ199" s="1">
        <f>FJ199*3*D199</f>
        <v>76.800000000000011</v>
      </c>
      <c r="BR199" s="1">
        <f>GL199*3*D199</f>
        <v>48</v>
      </c>
      <c r="BT199">
        <v>37.93</v>
      </c>
      <c r="BU199">
        <v>8.1999999999999993</v>
      </c>
      <c r="BV199" t="s">
        <v>5032</v>
      </c>
      <c r="BW199" t="s">
        <v>5644</v>
      </c>
      <c r="BX199" t="s">
        <v>5645</v>
      </c>
      <c r="BY199" t="s">
        <v>5646</v>
      </c>
      <c r="BZ199" t="s">
        <v>5647</v>
      </c>
      <c r="CA199" t="s">
        <v>3192</v>
      </c>
      <c r="CC199" t="s">
        <v>2438</v>
      </c>
      <c r="CD199" t="s">
        <v>2453</v>
      </c>
      <c r="CE199" t="s">
        <v>2586</v>
      </c>
      <c r="CG199" t="s">
        <v>2881</v>
      </c>
      <c r="CH199" t="s">
        <v>2593</v>
      </c>
      <c r="CI199" t="s">
        <v>3295</v>
      </c>
      <c r="CJ199" t="s">
        <v>2458</v>
      </c>
      <c r="CK199" t="s">
        <v>3296</v>
      </c>
      <c r="CL199" t="s">
        <v>3297</v>
      </c>
      <c r="CM199" t="s">
        <v>3298</v>
      </c>
      <c r="CO199" t="s">
        <v>3299</v>
      </c>
      <c r="CP199" t="s">
        <v>2828</v>
      </c>
      <c r="CQ199" t="s">
        <v>3300</v>
      </c>
      <c r="CR199" t="s">
        <v>3301</v>
      </c>
      <c r="CS199" t="s">
        <v>3302</v>
      </c>
      <c r="CT199" t="s">
        <v>3303</v>
      </c>
      <c r="CV199">
        <v>9</v>
      </c>
      <c r="CW199">
        <v>9</v>
      </c>
      <c r="CX199">
        <v>8</v>
      </c>
      <c r="CY199">
        <v>9</v>
      </c>
      <c r="CZ199">
        <v>7</v>
      </c>
      <c r="DA199">
        <v>0.1</v>
      </c>
      <c r="DB199">
        <v>0.1</v>
      </c>
      <c r="DC199">
        <v>0.2</v>
      </c>
      <c r="DD199">
        <v>0.3</v>
      </c>
      <c r="DE199">
        <v>0.3</v>
      </c>
      <c r="DF199">
        <v>0.9</v>
      </c>
      <c r="DG199">
        <v>0.9</v>
      </c>
      <c r="DH199">
        <v>1.6</v>
      </c>
      <c r="DI199">
        <v>2.7</v>
      </c>
      <c r="DJ199">
        <v>2.1</v>
      </c>
      <c r="DK199">
        <v>8.1999999999999993</v>
      </c>
      <c r="DL199">
        <v>0</v>
      </c>
      <c r="DM199">
        <v>8.1999999999999993</v>
      </c>
      <c r="DN199">
        <v>9</v>
      </c>
      <c r="DO199">
        <f>AVERAGE(CV199:CZ199)</f>
        <v>8.4</v>
      </c>
      <c r="DQ199">
        <v>8</v>
      </c>
      <c r="DR199" t="s">
        <v>47</v>
      </c>
      <c r="DS199" t="s">
        <v>48</v>
      </c>
      <c r="DT199" t="s">
        <v>49</v>
      </c>
      <c r="DU199" t="s">
        <v>179</v>
      </c>
      <c r="DV199" t="s">
        <v>235</v>
      </c>
      <c r="DW199" t="s">
        <v>3769</v>
      </c>
      <c r="DX199" t="s">
        <v>3789</v>
      </c>
      <c r="DY199" t="s">
        <v>3826</v>
      </c>
      <c r="DZ199" t="s">
        <v>3827</v>
      </c>
      <c r="EA199" t="s">
        <v>3828</v>
      </c>
      <c r="EB199" t="s">
        <v>3793</v>
      </c>
      <c r="EC199" t="s">
        <v>3829</v>
      </c>
      <c r="ED199" t="s">
        <v>3827</v>
      </c>
      <c r="EE199" t="s">
        <v>3830</v>
      </c>
      <c r="EF199" t="s">
        <v>3797</v>
      </c>
      <c r="EG199" t="s">
        <v>3831</v>
      </c>
      <c r="EH199" t="s">
        <v>3827</v>
      </c>
      <c r="EI199" t="s">
        <v>3832</v>
      </c>
      <c r="EJ199" t="s">
        <v>3800</v>
      </c>
      <c r="EK199" t="s">
        <v>3833</v>
      </c>
      <c r="EL199" t="s">
        <v>3827</v>
      </c>
      <c r="EM199" t="s">
        <v>4288</v>
      </c>
      <c r="EN199" t="s">
        <v>3803</v>
      </c>
      <c r="EO199" t="s">
        <v>3835</v>
      </c>
      <c r="EP199" t="s">
        <v>3827</v>
      </c>
      <c r="EQ199">
        <v>8</v>
      </c>
      <c r="ER199">
        <v>8</v>
      </c>
      <c r="ES199">
        <v>8</v>
      </c>
      <c r="ET199">
        <v>8</v>
      </c>
      <c r="EU199">
        <v>8</v>
      </c>
      <c r="EV199">
        <v>0.1</v>
      </c>
      <c r="EW199">
        <v>0.1</v>
      </c>
      <c r="EX199">
        <v>0.2</v>
      </c>
      <c r="EY199">
        <v>0.3</v>
      </c>
      <c r="EZ199">
        <v>0.3</v>
      </c>
      <c r="FA199">
        <f>EV199*EQ199</f>
        <v>0.8</v>
      </c>
      <c r="FB199">
        <f>EW199*ER199</f>
        <v>0.8</v>
      </c>
      <c r="FC199">
        <f>EX199*ES199</f>
        <v>1.6</v>
      </c>
      <c r="FD199">
        <f>EY199*ET199</f>
        <v>2.4</v>
      </c>
      <c r="FE199">
        <f>EZ199*EU199</f>
        <v>2.4</v>
      </c>
      <c r="FF199">
        <v>16</v>
      </c>
      <c r="FG199">
        <v>0</v>
      </c>
      <c r="FH199">
        <v>8</v>
      </c>
      <c r="FI199">
        <f>FA199+FB199+FC199+FD199+FE199</f>
        <v>8</v>
      </c>
      <c r="FJ199">
        <f>MEDIAN(EQ199:EU199)</f>
        <v>8</v>
      </c>
      <c r="FL199">
        <v>37.799999999999997</v>
      </c>
      <c r="FM199">
        <v>9</v>
      </c>
      <c r="FN199" t="s">
        <v>1539</v>
      </c>
      <c r="FO199" t="s">
        <v>1540</v>
      </c>
      <c r="FP199" t="s">
        <v>1541</v>
      </c>
      <c r="FQ199" t="s">
        <v>1542</v>
      </c>
      <c r="FR199" t="s">
        <v>1543</v>
      </c>
      <c r="FS199">
        <v>5</v>
      </c>
      <c r="FT199">
        <v>4</v>
      </c>
      <c r="FU199">
        <v>3</v>
      </c>
      <c r="FV199">
        <v>6</v>
      </c>
      <c r="FW199">
        <v>7</v>
      </c>
      <c r="FX199">
        <v>0.1</v>
      </c>
      <c r="FY199">
        <v>0.1</v>
      </c>
      <c r="FZ199">
        <v>0.2</v>
      </c>
      <c r="GA199">
        <v>0.3</v>
      </c>
      <c r="GB199">
        <v>0.3</v>
      </c>
      <c r="GC199">
        <f>FS199*FX199</f>
        <v>0.5</v>
      </c>
      <c r="GD199">
        <f>FT199*FY199</f>
        <v>0.4</v>
      </c>
      <c r="GE199">
        <f>FU199*FZ199</f>
        <v>0.60000000000000009</v>
      </c>
      <c r="GF199">
        <f>FV199*GA199</f>
        <v>1.7999999999999998</v>
      </c>
      <c r="GG199">
        <f>FW199*GB199</f>
        <v>2.1</v>
      </c>
      <c r="GH199">
        <v>9</v>
      </c>
      <c r="GI199">
        <v>0</v>
      </c>
      <c r="GJ199">
        <v>9</v>
      </c>
      <c r="GK199">
        <f>GC199+GD199+GE199+GF199+GG199</f>
        <v>5.4</v>
      </c>
      <c r="GL199">
        <f>MEDIAN(FS199:FW199)</f>
        <v>5</v>
      </c>
    </row>
    <row r="200" spans="1:194" hidden="1" x14ac:dyDescent="0.25">
      <c r="A200">
        <v>199</v>
      </c>
      <c r="B200" t="s">
        <v>2</v>
      </c>
      <c r="C200" s="4">
        <v>59.4</v>
      </c>
      <c r="D200">
        <v>3.6</v>
      </c>
      <c r="E200" s="1">
        <f>C200/3/D200</f>
        <v>5.5</v>
      </c>
      <c r="G200">
        <v>39.54</v>
      </c>
      <c r="H200">
        <v>8.1999999999999993</v>
      </c>
      <c r="I200">
        <f>H200*D200*3</f>
        <v>88.56</v>
      </c>
      <c r="J200">
        <v>17.489999999999998</v>
      </c>
      <c r="K200">
        <v>9</v>
      </c>
      <c r="L200" s="3">
        <f>K200*3*D200</f>
        <v>97.2</v>
      </c>
      <c r="M200">
        <v>4.87</v>
      </c>
      <c r="N200">
        <v>5.5</v>
      </c>
      <c r="O200">
        <f>N200*D200*3</f>
        <v>59.400000000000006</v>
      </c>
      <c r="P200" s="5">
        <v>8.5</v>
      </c>
      <c r="Q200" s="5">
        <f>P200*D200*3</f>
        <v>91.800000000000011</v>
      </c>
      <c r="S200" t="s">
        <v>6331</v>
      </c>
      <c r="T200">
        <v>4.9000000000000004</v>
      </c>
      <c r="U200" s="8">
        <f>T200*D200*3</f>
        <v>52.92</v>
      </c>
      <c r="V200">
        <v>32.49</v>
      </c>
      <c r="W200">
        <v>8.4</v>
      </c>
      <c r="X200" s="5">
        <f>W200*D200*3</f>
        <v>90.72</v>
      </c>
      <c r="Y200">
        <v>11.76</v>
      </c>
      <c r="Z200">
        <v>7</v>
      </c>
      <c r="AA200">
        <f>Z200*D200*3</f>
        <v>75.599999999999994</v>
      </c>
      <c r="AC200">
        <v>46.92</v>
      </c>
      <c r="AD200">
        <v>7.9</v>
      </c>
      <c r="AE200" s="1">
        <f>AD200*3*D200</f>
        <v>85.320000000000007</v>
      </c>
      <c r="AF200">
        <v>13.42</v>
      </c>
      <c r="AH200" s="5">
        <f>AG200*D200*3</f>
        <v>0</v>
      </c>
      <c r="AI200" s="13"/>
      <c r="AJ200">
        <v>42</v>
      </c>
      <c r="AK200" s="8">
        <f>AJ200*D200*3</f>
        <v>453.6</v>
      </c>
      <c r="AL200" s="13"/>
      <c r="AM200">
        <v>32.56</v>
      </c>
      <c r="AN200">
        <v>7.7</v>
      </c>
      <c r="AO200" s="8">
        <f>AN200*D200*3</f>
        <v>83.160000000000011</v>
      </c>
      <c r="AP200">
        <v>13.14</v>
      </c>
      <c r="AQ200">
        <v>10</v>
      </c>
      <c r="AR200">
        <f>AQ200*D200*3</f>
        <v>108</v>
      </c>
      <c r="AT200">
        <v>8.4</v>
      </c>
      <c r="AU200">
        <f>AT200*D200*3</f>
        <v>90.72</v>
      </c>
      <c r="AW200">
        <v>23.87</v>
      </c>
      <c r="AX200">
        <v>9.1999999999999993</v>
      </c>
      <c r="AY200">
        <f>AX200*D200*3</f>
        <v>99.359999999999985</v>
      </c>
      <c r="AZ200">
        <v>23.87</v>
      </c>
      <c r="BA200">
        <v>9</v>
      </c>
      <c r="BB200">
        <f>BA200*D200*3</f>
        <v>97.199999999999989</v>
      </c>
      <c r="BD200">
        <v>8.6</v>
      </c>
      <c r="BE200">
        <f>BD200*D200*3</f>
        <v>92.88</v>
      </c>
      <c r="BG200" s="10"/>
      <c r="BH200" s="1">
        <f>CHOOSE(MATCH(MIN(ABS(BP200-C200),ABS(BQ200-C200),ABS(BR200-C200)),CHOOSE({1;2;3},ABS(BP200-C200),ABS(BQ200-C200),ABS(BR200-C200)),0),BP200,BQ200,BR200)</f>
        <v>64.8</v>
      </c>
      <c r="BJ200" s="1" cm="1">
        <f t="array" ref="BJ200">(INDEX(_xlfn._xlws.SORT(CHOOSE({1;2;3;4;5;6},BQ200,BR200,L200,AE200,BO200,BP200)),3) + INDEX(_xlfn._xlws.SORT(CHOOSE({1;2;3;4;5;6},BQ200,BR200,L200,AE200,BO200,BP200)),4))/2</f>
        <v>85.860000000000014</v>
      </c>
      <c r="BK200">
        <v>5.5383880671488797</v>
      </c>
      <c r="BL200" t="s">
        <v>6117</v>
      </c>
      <c r="BM200" s="1">
        <f>BK200*3*D200</f>
        <v>59.814591125207905</v>
      </c>
      <c r="BN200" s="1">
        <f>BM200-C200</f>
        <v>0.41459112520790598</v>
      </c>
      <c r="BO200" s="1">
        <f>GK200*3*D200</f>
        <v>62.639999999999993</v>
      </c>
      <c r="BP200" s="1">
        <f>DO200*3*D200</f>
        <v>97.2</v>
      </c>
      <c r="BQ200" s="1">
        <f>FJ200*3*D200</f>
        <v>86.4</v>
      </c>
      <c r="BR200" s="1">
        <f>GL200*3*D200</f>
        <v>64.8</v>
      </c>
      <c r="BT200">
        <v>39.54</v>
      </c>
      <c r="BU200">
        <v>8.1999999999999993</v>
      </c>
      <c r="BV200" t="s">
        <v>5028</v>
      </c>
      <c r="BW200" t="s">
        <v>5125</v>
      </c>
      <c r="BX200" t="s">
        <v>5126</v>
      </c>
      <c r="BY200" t="s">
        <v>5648</v>
      </c>
      <c r="BZ200" t="s">
        <v>5649</v>
      </c>
      <c r="CA200" t="s">
        <v>2437</v>
      </c>
      <c r="CC200" t="s">
        <v>2438</v>
      </c>
      <c r="CD200" t="s">
        <v>2439</v>
      </c>
      <c r="CE200" t="s">
        <v>2440</v>
      </c>
      <c r="CG200" t="s">
        <v>2647</v>
      </c>
      <c r="CH200" t="s">
        <v>2648</v>
      </c>
      <c r="CI200" t="s">
        <v>2535</v>
      </c>
      <c r="CK200" t="s">
        <v>2649</v>
      </c>
      <c r="CL200" t="s">
        <v>2650</v>
      </c>
      <c r="CM200" t="s">
        <v>2446</v>
      </c>
      <c r="CO200" t="s">
        <v>2651</v>
      </c>
      <c r="CP200" t="s">
        <v>2652</v>
      </c>
      <c r="CQ200" t="s">
        <v>2666</v>
      </c>
      <c r="CS200" t="s">
        <v>3142</v>
      </c>
      <c r="CT200" t="s">
        <v>3143</v>
      </c>
      <c r="CV200">
        <v>9</v>
      </c>
      <c r="CW200">
        <v>9</v>
      </c>
      <c r="CX200">
        <v>9</v>
      </c>
      <c r="CY200">
        <v>9</v>
      </c>
      <c r="CZ200">
        <v>9</v>
      </c>
      <c r="DA200">
        <v>0.1</v>
      </c>
      <c r="DB200">
        <v>0.1</v>
      </c>
      <c r="DC200">
        <v>0.2</v>
      </c>
      <c r="DD200">
        <v>0.3</v>
      </c>
      <c r="DE200">
        <v>0.3</v>
      </c>
      <c r="DF200">
        <v>0.9</v>
      </c>
      <c r="DG200">
        <v>0.9</v>
      </c>
      <c r="DH200">
        <v>1.8</v>
      </c>
      <c r="DI200">
        <v>2.7</v>
      </c>
      <c r="DJ200">
        <v>2.7</v>
      </c>
      <c r="DK200">
        <v>8.1999999999999993</v>
      </c>
      <c r="DL200">
        <v>0</v>
      </c>
      <c r="DM200">
        <v>8.1999999999999993</v>
      </c>
      <c r="DN200">
        <v>9</v>
      </c>
      <c r="DO200">
        <f>AVERAGE(CV200:CZ200)</f>
        <v>9</v>
      </c>
      <c r="DQ200">
        <v>8</v>
      </c>
      <c r="DR200" t="s">
        <v>38</v>
      </c>
      <c r="DS200" t="s">
        <v>29</v>
      </c>
      <c r="DT200" t="s">
        <v>214</v>
      </c>
      <c r="DU200" t="s">
        <v>215</v>
      </c>
      <c r="DV200" t="s">
        <v>216</v>
      </c>
      <c r="DW200" t="s">
        <v>3836</v>
      </c>
      <c r="DX200" t="s">
        <v>3770</v>
      </c>
      <c r="DY200" t="s">
        <v>3771</v>
      </c>
      <c r="DZ200" t="s">
        <v>3772</v>
      </c>
      <c r="EA200" t="s">
        <v>3860</v>
      </c>
      <c r="EB200" t="s">
        <v>3807</v>
      </c>
      <c r="EC200" t="s">
        <v>3775</v>
      </c>
      <c r="ED200" t="s">
        <v>3776</v>
      </c>
      <c r="EE200" t="s">
        <v>3946</v>
      </c>
      <c r="EF200" t="s">
        <v>3809</v>
      </c>
      <c r="EG200" t="s">
        <v>3810</v>
      </c>
      <c r="EH200" t="s">
        <v>3811</v>
      </c>
      <c r="EI200" t="s">
        <v>3947</v>
      </c>
      <c r="EJ200" t="s">
        <v>3813</v>
      </c>
      <c r="EK200" t="s">
        <v>3948</v>
      </c>
      <c r="EL200" t="s">
        <v>3815</v>
      </c>
      <c r="EM200" t="s">
        <v>3949</v>
      </c>
      <c r="EN200" t="s">
        <v>3809</v>
      </c>
      <c r="EO200" t="s">
        <v>4252</v>
      </c>
      <c r="EP200" t="s">
        <v>3811</v>
      </c>
      <c r="EQ200">
        <v>7</v>
      </c>
      <c r="ER200">
        <v>8</v>
      </c>
      <c r="ES200">
        <v>8</v>
      </c>
      <c r="ET200">
        <v>8</v>
      </c>
      <c r="EU200">
        <v>8</v>
      </c>
      <c r="EV200">
        <v>0.1</v>
      </c>
      <c r="EW200">
        <v>0.1</v>
      </c>
      <c r="EX200">
        <v>0.2</v>
      </c>
      <c r="EY200">
        <v>0.3</v>
      </c>
      <c r="EZ200">
        <v>0.3</v>
      </c>
      <c r="FA200">
        <f>EV200*EQ200</f>
        <v>0.70000000000000007</v>
      </c>
      <c r="FB200">
        <f>EW200*ER200</f>
        <v>0.8</v>
      </c>
      <c r="FC200">
        <f>EX200*ES200</f>
        <v>1.6</v>
      </c>
      <c r="FD200">
        <f>EY200*ET200</f>
        <v>2.4</v>
      </c>
      <c r="FE200">
        <f>EZ200*EU200</f>
        <v>2.4</v>
      </c>
      <c r="FF200">
        <v>15</v>
      </c>
      <c r="FG200">
        <v>0</v>
      </c>
      <c r="FH200">
        <v>8</v>
      </c>
      <c r="FI200">
        <f>FA200+FB200+FC200+FD200+FE200</f>
        <v>7.9</v>
      </c>
      <c r="FJ200">
        <f>MEDIAN(EQ200:EU200)</f>
        <v>8</v>
      </c>
      <c r="FL200">
        <v>43.34</v>
      </c>
      <c r="FM200">
        <v>6</v>
      </c>
      <c r="FN200" t="s">
        <v>1544</v>
      </c>
      <c r="FO200" t="s">
        <v>1545</v>
      </c>
      <c r="FP200" t="s">
        <v>1546</v>
      </c>
      <c r="FQ200" t="s">
        <v>1547</v>
      </c>
      <c r="FR200" t="s">
        <v>1548</v>
      </c>
      <c r="FS200">
        <v>6</v>
      </c>
      <c r="FT200">
        <v>8</v>
      </c>
      <c r="FU200">
        <v>7</v>
      </c>
      <c r="FV200">
        <v>6</v>
      </c>
      <c r="FW200">
        <v>4</v>
      </c>
      <c r="FX200">
        <v>0.1</v>
      </c>
      <c r="FY200">
        <v>0.1</v>
      </c>
      <c r="FZ200">
        <v>0.2</v>
      </c>
      <c r="GA200">
        <v>0.3</v>
      </c>
      <c r="GB200">
        <v>0.3</v>
      </c>
      <c r="GC200">
        <f>FS200*FX200</f>
        <v>0.60000000000000009</v>
      </c>
      <c r="GD200">
        <f>FT200*FY200</f>
        <v>0.8</v>
      </c>
      <c r="GE200">
        <f>FU200*FZ200</f>
        <v>1.4000000000000001</v>
      </c>
      <c r="GF200">
        <f>FV200*GA200</f>
        <v>1.7999999999999998</v>
      </c>
      <c r="GG200">
        <f>FW200*GB200</f>
        <v>1.2</v>
      </c>
      <c r="GH200">
        <v>6</v>
      </c>
      <c r="GI200">
        <v>0</v>
      </c>
      <c r="GJ200">
        <v>6</v>
      </c>
      <c r="GK200">
        <f>GC200+GD200+GE200+GF200+GG200</f>
        <v>5.8</v>
      </c>
      <c r="GL200">
        <f>MEDIAN(FS200:FW200)</f>
        <v>6</v>
      </c>
    </row>
    <row r="201" spans="1:194" hidden="1" x14ac:dyDescent="0.25">
      <c r="A201">
        <v>200</v>
      </c>
      <c r="B201" t="s">
        <v>2</v>
      </c>
      <c r="C201" s="4">
        <v>81.599999999999994</v>
      </c>
      <c r="D201">
        <v>3.2</v>
      </c>
      <c r="E201" s="1">
        <f>C201/3/D201</f>
        <v>8.5</v>
      </c>
      <c r="G201">
        <v>36.549999999999997</v>
      </c>
      <c r="H201">
        <v>8</v>
      </c>
      <c r="I201">
        <f>H201*D201*3</f>
        <v>76.800000000000011</v>
      </c>
      <c r="J201">
        <v>16.440000000000001</v>
      </c>
      <c r="K201">
        <v>9</v>
      </c>
      <c r="L201" s="3">
        <f>K201*3*D201</f>
        <v>86.4</v>
      </c>
      <c r="M201">
        <v>6.01</v>
      </c>
      <c r="N201">
        <v>5</v>
      </c>
      <c r="O201">
        <f>N201*D201*3</f>
        <v>48</v>
      </c>
      <c r="P201" s="5">
        <v>9</v>
      </c>
      <c r="Q201" s="5">
        <f>P201*D201*3</f>
        <v>86.4</v>
      </c>
      <c r="S201" t="s">
        <v>6332</v>
      </c>
      <c r="T201">
        <v>4.7</v>
      </c>
      <c r="U201" s="8">
        <f>T201*D201*3</f>
        <v>45.120000000000005</v>
      </c>
      <c r="V201">
        <v>33.090000000000003</v>
      </c>
      <c r="W201">
        <v>8.4</v>
      </c>
      <c r="X201" s="5">
        <f>W201*D201*3</f>
        <v>80.640000000000015</v>
      </c>
      <c r="Y201">
        <v>12.21</v>
      </c>
      <c r="Z201">
        <v>7.5</v>
      </c>
      <c r="AA201">
        <f>Z201*D201*3</f>
        <v>72</v>
      </c>
      <c r="AC201">
        <v>47.55</v>
      </c>
      <c r="AD201">
        <v>7.1</v>
      </c>
      <c r="AE201" s="1">
        <f>AD201*3*D201</f>
        <v>68.16</v>
      </c>
      <c r="AF201">
        <v>12.25</v>
      </c>
      <c r="AG201" s="5">
        <v>7</v>
      </c>
      <c r="AH201" s="5">
        <f>AG201*D201*3</f>
        <v>67.2</v>
      </c>
      <c r="AI201" s="13"/>
      <c r="AJ201">
        <v>4.2</v>
      </c>
      <c r="AK201" s="8">
        <f>AJ201*D201*3</f>
        <v>40.320000000000007</v>
      </c>
      <c r="AL201" s="13"/>
      <c r="AM201">
        <v>31.02</v>
      </c>
      <c r="AN201">
        <v>7.1</v>
      </c>
      <c r="AO201" s="8">
        <f>AN201*D201*3</f>
        <v>68.16</v>
      </c>
      <c r="AP201">
        <v>12.06</v>
      </c>
      <c r="AQ201">
        <v>9</v>
      </c>
      <c r="AR201">
        <f>AQ201*D201*3</f>
        <v>86.4</v>
      </c>
      <c r="AT201">
        <v>7.5</v>
      </c>
      <c r="AU201">
        <f>AT201*D201*3</f>
        <v>72</v>
      </c>
      <c r="AW201">
        <v>24.43</v>
      </c>
      <c r="AX201">
        <v>9.4</v>
      </c>
      <c r="AY201">
        <f>AX201*D201*3</f>
        <v>90.240000000000009</v>
      </c>
      <c r="AZ201">
        <v>24.43</v>
      </c>
      <c r="BA201">
        <v>8.4</v>
      </c>
      <c r="BB201">
        <f>BA201*D201*3</f>
        <v>80.640000000000015</v>
      </c>
      <c r="BD201">
        <v>9</v>
      </c>
      <c r="BE201">
        <f>BD201*D201*3</f>
        <v>86.4</v>
      </c>
      <c r="BG201" s="10"/>
      <c r="BH201" s="1">
        <f>CHOOSE(MATCH(MIN(ABS(BP201-C201),ABS(BQ201-C201),ABS(BR201-C201)),CHOOSE({1;2;3},ABS(BP201-C201),ABS(BQ201-C201),ABS(BR201-C201)),0),BP201,BQ201,BR201)</f>
        <v>86.4</v>
      </c>
      <c r="BJ201" s="1" cm="1">
        <f t="array" ref="BJ201">(INDEX(_xlfn._xlws.SORT(CHOOSE({1;2;3;4;5;6},BQ201,BR201,L201,AE201,BO201,BP201)),3) + INDEX(_xlfn._xlws.SORT(CHOOSE({1;2;3;4;5;6},BQ201,BR201,L201,AE201,BO201,BP201)),4))/2</f>
        <v>67.680000000000007</v>
      </c>
      <c r="BK201">
        <v>8.4891440508379699</v>
      </c>
      <c r="BL201" t="s">
        <v>6117</v>
      </c>
      <c r="BM201" s="1">
        <f>BK201*3*D201</f>
        <v>81.495782888044516</v>
      </c>
      <c r="BN201" s="1">
        <f>BM201-C201</f>
        <v>-0.104217111955478</v>
      </c>
      <c r="BO201" s="1">
        <f>GK201*3*D201</f>
        <v>55.68</v>
      </c>
      <c r="BP201" s="1">
        <f>DO201*3*D201</f>
        <v>86.4</v>
      </c>
      <c r="BQ201" s="1">
        <f>FJ201*3*D201</f>
        <v>67.2</v>
      </c>
      <c r="BR201" s="1">
        <f>GL201*3*D201</f>
        <v>57.6</v>
      </c>
      <c r="BT201">
        <v>36.549999999999997</v>
      </c>
      <c r="BU201">
        <v>8</v>
      </c>
      <c r="BV201" t="s">
        <v>5650</v>
      </c>
      <c r="BW201" t="s">
        <v>5651</v>
      </c>
      <c r="BX201" t="s">
        <v>5652</v>
      </c>
      <c r="BY201" t="s">
        <v>5653</v>
      </c>
      <c r="BZ201" t="s">
        <v>5654</v>
      </c>
      <c r="CA201" t="s">
        <v>2437</v>
      </c>
      <c r="CC201" t="s">
        <v>2438</v>
      </c>
      <c r="CD201" t="s">
        <v>2439</v>
      </c>
      <c r="CE201" t="s">
        <v>2440</v>
      </c>
      <c r="CG201" t="s">
        <v>2441</v>
      </c>
      <c r="CH201" t="s">
        <v>2442</v>
      </c>
      <c r="CI201" t="s">
        <v>2535</v>
      </c>
      <c r="CK201" t="s">
        <v>2444</v>
      </c>
      <c r="CL201" t="s">
        <v>2445</v>
      </c>
      <c r="CM201" t="s">
        <v>2446</v>
      </c>
      <c r="CO201" t="s">
        <v>2447</v>
      </c>
      <c r="CP201" t="s">
        <v>2448</v>
      </c>
      <c r="CQ201" t="s">
        <v>2666</v>
      </c>
      <c r="CS201" t="s">
        <v>2450</v>
      </c>
      <c r="CT201" t="s">
        <v>2451</v>
      </c>
      <c r="CV201">
        <v>9</v>
      </c>
      <c r="CW201">
        <v>9</v>
      </c>
      <c r="CX201">
        <v>9</v>
      </c>
      <c r="CY201">
        <v>9</v>
      </c>
      <c r="CZ201">
        <v>9</v>
      </c>
      <c r="DA201">
        <v>0.1</v>
      </c>
      <c r="DB201">
        <v>0.1</v>
      </c>
      <c r="DC201">
        <v>0.2</v>
      </c>
      <c r="DD201">
        <v>0.3</v>
      </c>
      <c r="DE201">
        <v>0.3</v>
      </c>
      <c r="DF201">
        <v>0.9</v>
      </c>
      <c r="DG201">
        <v>0.9</v>
      </c>
      <c r="DH201">
        <v>1.8</v>
      </c>
      <c r="DI201">
        <v>2.7</v>
      </c>
      <c r="DJ201">
        <v>2.7</v>
      </c>
      <c r="DK201">
        <v>8</v>
      </c>
      <c r="DL201">
        <v>0</v>
      </c>
      <c r="DM201">
        <v>8</v>
      </c>
      <c r="DN201">
        <v>9</v>
      </c>
      <c r="DO201">
        <f>AVERAGE(CV201:CZ201)</f>
        <v>9</v>
      </c>
      <c r="DQ201">
        <v>14</v>
      </c>
      <c r="DR201" t="s">
        <v>28</v>
      </c>
      <c r="DS201" t="s">
        <v>108</v>
      </c>
      <c r="DT201" t="s">
        <v>109</v>
      </c>
      <c r="DU201" t="s">
        <v>110</v>
      </c>
      <c r="DV201" t="s">
        <v>395</v>
      </c>
      <c r="DW201" t="s">
        <v>3769</v>
      </c>
      <c r="DX201" t="s">
        <v>3770</v>
      </c>
      <c r="DY201" t="s">
        <v>3771</v>
      </c>
      <c r="DZ201" t="s">
        <v>3772</v>
      </c>
      <c r="EA201" t="s">
        <v>3773</v>
      </c>
      <c r="EB201" t="s">
        <v>3774</v>
      </c>
      <c r="EC201" t="s">
        <v>3775</v>
      </c>
      <c r="ED201" t="s">
        <v>3776</v>
      </c>
      <c r="EE201" t="s">
        <v>3777</v>
      </c>
      <c r="EF201" t="s">
        <v>3778</v>
      </c>
      <c r="EG201" t="s">
        <v>4014</v>
      </c>
      <c r="EH201" t="s">
        <v>4015</v>
      </c>
      <c r="EI201" t="s">
        <v>4016</v>
      </c>
      <c r="EJ201" t="s">
        <v>3782</v>
      </c>
      <c r="EK201" t="s">
        <v>4017</v>
      </c>
      <c r="EL201" t="s">
        <v>3815</v>
      </c>
      <c r="EM201" t="s">
        <v>4622</v>
      </c>
      <c r="EN201" t="s">
        <v>3786</v>
      </c>
      <c r="EO201" t="s">
        <v>4501</v>
      </c>
      <c r="EP201" t="s">
        <v>3818</v>
      </c>
      <c r="EQ201">
        <v>7</v>
      </c>
      <c r="ER201">
        <v>8</v>
      </c>
      <c r="ES201">
        <v>7</v>
      </c>
      <c r="ET201">
        <v>7</v>
      </c>
      <c r="EU201">
        <v>7</v>
      </c>
      <c r="EV201">
        <v>0.1</v>
      </c>
      <c r="EW201">
        <v>0.1</v>
      </c>
      <c r="EX201">
        <v>0.2</v>
      </c>
      <c r="EY201">
        <v>0.3</v>
      </c>
      <c r="EZ201">
        <v>0.3</v>
      </c>
      <c r="FA201">
        <f>EV201*EQ201</f>
        <v>0.70000000000000007</v>
      </c>
      <c r="FB201">
        <f>EW201*ER201</f>
        <v>0.8</v>
      </c>
      <c r="FC201">
        <f>EX201*ES201</f>
        <v>1.4000000000000001</v>
      </c>
      <c r="FD201">
        <f>EY201*ET201</f>
        <v>2.1</v>
      </c>
      <c r="FE201">
        <f>EZ201*EU201</f>
        <v>2.1</v>
      </c>
      <c r="FF201">
        <v>14</v>
      </c>
      <c r="FG201">
        <v>0</v>
      </c>
      <c r="FH201">
        <v>14</v>
      </c>
      <c r="FI201">
        <f>FA201+FB201+FC201+FD201+FE201</f>
        <v>7.1</v>
      </c>
      <c r="FJ201">
        <f>MEDIAN(EQ201:EU201)</f>
        <v>7</v>
      </c>
      <c r="FL201">
        <v>35.729999999999997</v>
      </c>
      <c r="FM201">
        <v>9</v>
      </c>
      <c r="FN201" t="s">
        <v>1549</v>
      </c>
      <c r="FO201" t="s">
        <v>1550</v>
      </c>
      <c r="FP201" t="s">
        <v>1551</v>
      </c>
      <c r="FQ201" t="s">
        <v>1552</v>
      </c>
      <c r="FR201" t="s">
        <v>1553</v>
      </c>
      <c r="FS201">
        <v>5</v>
      </c>
      <c r="FT201">
        <v>8</v>
      </c>
      <c r="FU201">
        <v>6</v>
      </c>
      <c r="FV201">
        <v>7</v>
      </c>
      <c r="FW201">
        <v>4</v>
      </c>
      <c r="FX201">
        <v>0.1</v>
      </c>
      <c r="FY201">
        <v>0.1</v>
      </c>
      <c r="FZ201">
        <v>0.2</v>
      </c>
      <c r="GA201">
        <v>0.3</v>
      </c>
      <c r="GB201">
        <v>0.3</v>
      </c>
      <c r="GC201">
        <f>FS201*FX201</f>
        <v>0.5</v>
      </c>
      <c r="GD201">
        <f>FT201*FY201</f>
        <v>0.8</v>
      </c>
      <c r="GE201">
        <f>FU201*FZ201</f>
        <v>1.2000000000000002</v>
      </c>
      <c r="GF201">
        <f>FV201*GA201</f>
        <v>2.1</v>
      </c>
      <c r="GG201">
        <f>FW201*GB201</f>
        <v>1.2</v>
      </c>
      <c r="GH201">
        <v>9</v>
      </c>
      <c r="GI201">
        <v>0</v>
      </c>
      <c r="GJ201">
        <v>9</v>
      </c>
      <c r="GK201">
        <f>GC201+GD201+GE201+GF201+GG201</f>
        <v>5.8</v>
      </c>
      <c r="GL201">
        <f>MEDIAN(FS201:FW201)</f>
        <v>6</v>
      </c>
    </row>
    <row r="202" spans="1:194" hidden="1" x14ac:dyDescent="0.25">
      <c r="A202">
        <v>201</v>
      </c>
      <c r="B202" t="s">
        <v>2</v>
      </c>
      <c r="C202" s="4">
        <v>81.400000000000006</v>
      </c>
      <c r="D202">
        <v>3.7</v>
      </c>
      <c r="E202" s="1">
        <f>C202/3/D202</f>
        <v>7.3333333333333339</v>
      </c>
      <c r="G202">
        <v>115.7</v>
      </c>
      <c r="H202">
        <v>8</v>
      </c>
      <c r="I202">
        <f>H202*D202*3</f>
        <v>88.800000000000011</v>
      </c>
      <c r="J202">
        <v>18.04</v>
      </c>
      <c r="K202">
        <v>8.4</v>
      </c>
      <c r="L202" s="3">
        <f>K202*3*D202</f>
        <v>93.240000000000009</v>
      </c>
      <c r="M202">
        <v>4.74</v>
      </c>
      <c r="N202">
        <v>5</v>
      </c>
      <c r="O202">
        <f>N202*D202*3</f>
        <v>55.5</v>
      </c>
      <c r="P202" s="5">
        <v>7.5</v>
      </c>
      <c r="Q202" s="5">
        <f>P202*D202*3</f>
        <v>83.25</v>
      </c>
      <c r="S202" t="s">
        <v>6333</v>
      </c>
      <c r="T202">
        <v>6.6</v>
      </c>
      <c r="U202" s="8">
        <f>T202*D202*3</f>
        <v>73.259999999999991</v>
      </c>
      <c r="V202">
        <v>29.27</v>
      </c>
      <c r="W202">
        <v>8</v>
      </c>
      <c r="X202" s="5">
        <f>W202*D202*3</f>
        <v>88.800000000000011</v>
      </c>
      <c r="Y202">
        <v>9.9700000000000006</v>
      </c>
      <c r="Z202">
        <v>6.7</v>
      </c>
      <c r="AA202">
        <f>Z202*D202*3</f>
        <v>74.37</v>
      </c>
      <c r="AC202">
        <v>49.23</v>
      </c>
      <c r="AD202">
        <v>7.9</v>
      </c>
      <c r="AE202" s="1">
        <f>AD202*3*D202</f>
        <v>87.690000000000012</v>
      </c>
      <c r="AF202">
        <v>12.14</v>
      </c>
      <c r="AG202" s="5">
        <v>7</v>
      </c>
      <c r="AH202" s="5">
        <f>AG202*D202*3</f>
        <v>77.7</v>
      </c>
      <c r="AI202" s="13"/>
      <c r="AJ202">
        <v>8</v>
      </c>
      <c r="AK202" s="8">
        <f>AJ202*D202*3</f>
        <v>88.800000000000011</v>
      </c>
      <c r="AL202" s="13"/>
      <c r="AM202">
        <v>31.32</v>
      </c>
      <c r="AN202">
        <v>7.6</v>
      </c>
      <c r="AO202" s="8">
        <f>AN202*D202*3</f>
        <v>84.36</v>
      </c>
      <c r="AP202">
        <v>12.88</v>
      </c>
      <c r="AQ202">
        <v>9.5</v>
      </c>
      <c r="AR202">
        <f>AQ202*D202*3</f>
        <v>105.44999999999999</v>
      </c>
      <c r="AT202">
        <v>9</v>
      </c>
      <c r="AU202">
        <f>AT202*D202*3</f>
        <v>99.9</v>
      </c>
      <c r="AW202">
        <v>25.51</v>
      </c>
      <c r="AX202">
        <v>9.9</v>
      </c>
      <c r="AY202">
        <f>AX202*D202*3</f>
        <v>109.89000000000001</v>
      </c>
      <c r="AZ202">
        <v>25.51</v>
      </c>
      <c r="BA202">
        <v>9.1999999999999993</v>
      </c>
      <c r="BB202">
        <f>BA202*D202*3</f>
        <v>102.12</v>
      </c>
      <c r="BD202">
        <v>8.6999999999999993</v>
      </c>
      <c r="BE202">
        <f>BD202*D202*3</f>
        <v>96.57</v>
      </c>
      <c r="BG202" s="10"/>
      <c r="BH202" s="1">
        <f>CHOOSE(MATCH(MIN(ABS(BP202-C202),ABS(BQ202-C202),ABS(BR202-C202)),CHOOSE({1;2;3},ABS(BP202-C202),ABS(BQ202-C202),ABS(BR202-C202)),0),BP202,BQ202,BR202)</f>
        <v>88.800000000000011</v>
      </c>
      <c r="BJ202" s="1" cm="1">
        <f t="array" ref="BJ202">(INDEX(_xlfn._xlws.SORT(CHOOSE({1;2;3;4;5;6},BQ202,BR202,L202,AE202,BO202,BP202)),3) + INDEX(_xlfn._xlws.SORT(CHOOSE({1;2;3;4;5;6},BQ202,BR202,L202,AE202,BO202,BP202)),4))/2</f>
        <v>96.570000000000007</v>
      </c>
      <c r="BK202">
        <v>7.2901288311900903</v>
      </c>
      <c r="BL202" t="s">
        <v>6117</v>
      </c>
      <c r="BM202" s="1">
        <f>BK202*3*D202</f>
        <v>80.920430026210013</v>
      </c>
      <c r="BN202" s="1">
        <f>BM202-C202</f>
        <v>-0.47956997378999233</v>
      </c>
      <c r="BO202" s="1">
        <f>GK202*3*D202</f>
        <v>102.67500000000001</v>
      </c>
      <c r="BP202" s="1">
        <f>DO202*3*D202</f>
        <v>99.9</v>
      </c>
      <c r="BQ202" s="1">
        <f>FJ202*3*D202</f>
        <v>88.800000000000011</v>
      </c>
      <c r="BR202" s="1">
        <f>GL202*3*D202</f>
        <v>111</v>
      </c>
      <c r="BT202">
        <v>115.7</v>
      </c>
      <c r="BU202">
        <v>8</v>
      </c>
      <c r="BV202" t="s">
        <v>5655</v>
      </c>
      <c r="BW202" t="s">
        <v>5656</v>
      </c>
      <c r="BX202" t="s">
        <v>5657</v>
      </c>
      <c r="BY202" t="s">
        <v>5658</v>
      </c>
      <c r="BZ202" t="s">
        <v>5659</v>
      </c>
      <c r="CA202" t="s">
        <v>3304</v>
      </c>
      <c r="CC202" t="s">
        <v>2842</v>
      </c>
      <c r="CD202" t="s">
        <v>2533</v>
      </c>
      <c r="CE202" t="s">
        <v>3305</v>
      </c>
      <c r="CG202" t="s">
        <v>2441</v>
      </c>
      <c r="CH202" t="s">
        <v>2534</v>
      </c>
      <c r="CI202" t="s">
        <v>2443</v>
      </c>
      <c r="CK202" t="s">
        <v>2444</v>
      </c>
      <c r="CL202" t="s">
        <v>2536</v>
      </c>
      <c r="CM202" t="s">
        <v>2446</v>
      </c>
      <c r="CO202" t="s">
        <v>2447</v>
      </c>
      <c r="CP202" t="s">
        <v>2537</v>
      </c>
      <c r="CQ202" t="s">
        <v>2449</v>
      </c>
      <c r="CS202" t="s">
        <v>3306</v>
      </c>
      <c r="CT202" t="s">
        <v>2539</v>
      </c>
      <c r="CV202">
        <v>9</v>
      </c>
      <c r="CW202">
        <v>9</v>
      </c>
      <c r="CX202">
        <v>9</v>
      </c>
      <c r="CY202">
        <v>9</v>
      </c>
      <c r="CZ202">
        <v>9</v>
      </c>
      <c r="DA202">
        <v>0.1</v>
      </c>
      <c r="DB202">
        <v>0.1</v>
      </c>
      <c r="DC202">
        <v>0.2</v>
      </c>
      <c r="DD202">
        <v>0.3</v>
      </c>
      <c r="DE202">
        <v>0.3</v>
      </c>
      <c r="DF202">
        <v>0.9</v>
      </c>
      <c r="DG202">
        <v>0.9</v>
      </c>
      <c r="DH202">
        <v>1.8</v>
      </c>
      <c r="DI202">
        <v>2.7</v>
      </c>
      <c r="DJ202">
        <v>2.7</v>
      </c>
      <c r="DK202">
        <v>8</v>
      </c>
      <c r="DL202">
        <v>0</v>
      </c>
      <c r="DM202">
        <v>8</v>
      </c>
      <c r="DN202">
        <v>8.4</v>
      </c>
      <c r="DO202">
        <f>AVERAGE(CV202:CZ202)</f>
        <v>9</v>
      </c>
      <c r="DQ202">
        <v>15</v>
      </c>
      <c r="DR202" t="s">
        <v>28</v>
      </c>
      <c r="DS202" t="s">
        <v>29</v>
      </c>
      <c r="DT202" t="s">
        <v>227</v>
      </c>
      <c r="DU202" t="s">
        <v>215</v>
      </c>
      <c r="DV202" t="s">
        <v>229</v>
      </c>
      <c r="DW202" t="s">
        <v>3805</v>
      </c>
      <c r="DX202" t="s">
        <v>3770</v>
      </c>
      <c r="DY202" t="s">
        <v>3771</v>
      </c>
      <c r="DZ202" t="s">
        <v>3772</v>
      </c>
      <c r="EA202" t="s">
        <v>3806</v>
      </c>
      <c r="EB202" t="s">
        <v>3807</v>
      </c>
      <c r="EC202" t="s">
        <v>3775</v>
      </c>
      <c r="ED202" t="s">
        <v>3776</v>
      </c>
      <c r="EE202" t="s">
        <v>4240</v>
      </c>
      <c r="EF202" t="s">
        <v>3809</v>
      </c>
      <c r="EG202" t="s">
        <v>4588</v>
      </c>
      <c r="EH202" t="s">
        <v>3811</v>
      </c>
      <c r="EI202" t="s">
        <v>4468</v>
      </c>
      <c r="EJ202" t="s">
        <v>3813</v>
      </c>
      <c r="EK202" t="s">
        <v>4469</v>
      </c>
      <c r="EL202" t="s">
        <v>3815</v>
      </c>
      <c r="EM202" t="s">
        <v>4470</v>
      </c>
      <c r="EN202" t="s">
        <v>3809</v>
      </c>
      <c r="EO202" t="s">
        <v>4589</v>
      </c>
      <c r="EP202" t="s">
        <v>3818</v>
      </c>
      <c r="EQ202">
        <v>7</v>
      </c>
      <c r="ER202">
        <v>8</v>
      </c>
      <c r="ES202">
        <v>8</v>
      </c>
      <c r="ET202">
        <v>8</v>
      </c>
      <c r="EU202">
        <v>8</v>
      </c>
      <c r="EV202">
        <v>0.1</v>
      </c>
      <c r="EW202">
        <v>0.1</v>
      </c>
      <c r="EX202">
        <v>0.2</v>
      </c>
      <c r="EY202">
        <v>0.3</v>
      </c>
      <c r="EZ202">
        <v>0.3</v>
      </c>
      <c r="FA202">
        <f>EV202*EQ202</f>
        <v>0.70000000000000007</v>
      </c>
      <c r="FB202">
        <f>EW202*ER202</f>
        <v>0.8</v>
      </c>
      <c r="FC202">
        <f>EX202*ES202</f>
        <v>1.6</v>
      </c>
      <c r="FD202">
        <f>EY202*ET202</f>
        <v>2.4</v>
      </c>
      <c r="FE202">
        <f>EZ202*EU202</f>
        <v>2.4</v>
      </c>
      <c r="FF202">
        <v>15</v>
      </c>
      <c r="FG202">
        <v>0</v>
      </c>
      <c r="FH202">
        <v>15</v>
      </c>
      <c r="FI202">
        <f>FA202+FB202+FC202+FD202+FE202</f>
        <v>7.9</v>
      </c>
      <c r="FJ202">
        <f>MEDIAN(EQ202:EU202)</f>
        <v>8</v>
      </c>
      <c r="FL202">
        <v>89.12</v>
      </c>
      <c r="FM202">
        <v>10.25</v>
      </c>
      <c r="FN202" t="s">
        <v>1070</v>
      </c>
      <c r="FO202" t="s">
        <v>1554</v>
      </c>
      <c r="FP202" t="s">
        <v>1555</v>
      </c>
      <c r="FQ202" t="s">
        <v>1556</v>
      </c>
      <c r="FR202" t="s">
        <v>1557</v>
      </c>
      <c r="FS202">
        <v>10</v>
      </c>
      <c r="FT202">
        <v>10</v>
      </c>
      <c r="FU202">
        <v>10</v>
      </c>
      <c r="FV202">
        <v>8.5</v>
      </c>
      <c r="FW202">
        <v>9</v>
      </c>
      <c r="FX202">
        <v>0.1</v>
      </c>
      <c r="FY202">
        <v>0.1</v>
      </c>
      <c r="FZ202">
        <v>0.2</v>
      </c>
      <c r="GA202">
        <v>0.3</v>
      </c>
      <c r="GB202">
        <v>0.3</v>
      </c>
      <c r="GC202">
        <f>FS202*FX202</f>
        <v>1</v>
      </c>
      <c r="GD202">
        <f>FT202*FY202</f>
        <v>1</v>
      </c>
      <c r="GE202">
        <f>FU202*FZ202</f>
        <v>2</v>
      </c>
      <c r="GF202">
        <f>FV202*GA202</f>
        <v>2.5499999999999998</v>
      </c>
      <c r="GG202">
        <f>FW202*GB202</f>
        <v>2.6999999999999997</v>
      </c>
      <c r="GH202">
        <v>10.25</v>
      </c>
      <c r="GI202">
        <v>0</v>
      </c>
      <c r="GJ202">
        <v>10.25</v>
      </c>
      <c r="GK202">
        <f>GC202+GD202+GE202+GF202+GG202</f>
        <v>9.25</v>
      </c>
      <c r="GL202">
        <f>MEDIAN(FS202:FW202)</f>
        <v>10</v>
      </c>
    </row>
    <row r="203" spans="1:194" hidden="1" x14ac:dyDescent="0.25">
      <c r="A203">
        <v>202</v>
      </c>
      <c r="B203" t="s">
        <v>2</v>
      </c>
      <c r="C203" s="4">
        <v>76.8</v>
      </c>
      <c r="D203">
        <v>3.2</v>
      </c>
      <c r="E203" s="1">
        <f>C203/3/D203</f>
        <v>7.9999999999999991</v>
      </c>
      <c r="G203">
        <v>34.79</v>
      </c>
      <c r="H203">
        <v>8.1999999999999993</v>
      </c>
      <c r="I203">
        <f>H203*D203*3</f>
        <v>78.72</v>
      </c>
      <c r="J203">
        <v>16.03</v>
      </c>
      <c r="K203">
        <v>9</v>
      </c>
      <c r="L203" s="3">
        <f>K203*3*D203</f>
        <v>86.4</v>
      </c>
      <c r="M203">
        <v>5.18</v>
      </c>
      <c r="N203">
        <v>5</v>
      </c>
      <c r="O203">
        <f>N203*D203*3</f>
        <v>48</v>
      </c>
      <c r="P203" s="5">
        <v>8.9</v>
      </c>
      <c r="Q203" s="5">
        <f>P203*D203*3</f>
        <v>85.440000000000012</v>
      </c>
      <c r="S203" t="s">
        <v>6334</v>
      </c>
      <c r="T203">
        <v>8.1999999999999993</v>
      </c>
      <c r="U203" s="8">
        <f>T203*D203*3</f>
        <v>78.72</v>
      </c>
      <c r="V203">
        <v>31.88</v>
      </c>
      <c r="W203">
        <v>8.4</v>
      </c>
      <c r="X203" s="5">
        <f>W203*D203*3</f>
        <v>80.640000000000015</v>
      </c>
      <c r="Y203">
        <v>11.28</v>
      </c>
      <c r="Z203">
        <v>7.8</v>
      </c>
      <c r="AA203">
        <f>Z203*D203*3</f>
        <v>74.88</v>
      </c>
      <c r="AC203">
        <v>45.63</v>
      </c>
      <c r="AD203">
        <v>8</v>
      </c>
      <c r="AE203" s="1">
        <f>AD203*3*D203</f>
        <v>76.800000000000011</v>
      </c>
      <c r="AF203">
        <v>11.88</v>
      </c>
      <c r="AG203" s="5">
        <v>7</v>
      </c>
      <c r="AH203" s="5">
        <f>AG203*D203*3</f>
        <v>67.2</v>
      </c>
      <c r="AI203" s="13"/>
      <c r="AK203" s="8">
        <f>AJ203*D203*3</f>
        <v>0</v>
      </c>
      <c r="AL203" s="13"/>
      <c r="AM203">
        <v>31.88</v>
      </c>
      <c r="AN203">
        <v>7.7</v>
      </c>
      <c r="AO203" s="8">
        <f>AN203*D203*3</f>
        <v>73.92</v>
      </c>
      <c r="AP203">
        <v>14.93</v>
      </c>
      <c r="AQ203">
        <v>9.5</v>
      </c>
      <c r="AR203">
        <f>AQ203*D203*3</f>
        <v>91.2</v>
      </c>
      <c r="AT203">
        <v>8.9</v>
      </c>
      <c r="AU203">
        <f>AT203*D203*3</f>
        <v>85.440000000000012</v>
      </c>
      <c r="AW203">
        <v>24.02</v>
      </c>
      <c r="AX203">
        <v>9.6</v>
      </c>
      <c r="AY203">
        <f>AX203*D203*3</f>
        <v>92.16</v>
      </c>
      <c r="AZ203">
        <v>24.02</v>
      </c>
      <c r="BA203">
        <v>9</v>
      </c>
      <c r="BB203">
        <f>BA203*D203*3</f>
        <v>86.4</v>
      </c>
      <c r="BD203">
        <v>9</v>
      </c>
      <c r="BE203">
        <f>BD203*D203*3</f>
        <v>86.4</v>
      </c>
      <c r="BG203" s="10"/>
      <c r="BH203" s="1">
        <f>CHOOSE(MATCH(MIN(ABS(BP203-C203),ABS(BQ203-C203),ABS(BR203-C203)),CHOOSE({1;2;3},ABS(BP203-C203),ABS(BQ203-C203),ABS(BR203-C203)),0),BP203,BQ203,BR203)</f>
        <v>76.800000000000011</v>
      </c>
      <c r="BJ203" s="1" cm="1">
        <f t="array" ref="BJ203">(INDEX(_xlfn._xlws.SORT(CHOOSE({1;2;3;4;5;6},BQ203,BR203,L203,AE203,BO203,BP203)),3) + INDEX(_xlfn._xlws.SORT(CHOOSE({1;2;3;4;5;6},BQ203,BR203,L203,AE203,BO203,BP203)),4))/2</f>
        <v>76.800000000000011</v>
      </c>
      <c r="BK203">
        <v>8.0386696443232406</v>
      </c>
      <c r="BL203" t="s">
        <v>6117</v>
      </c>
      <c r="BM203" s="1">
        <f>BK203*3*D203</f>
        <v>77.171228585503115</v>
      </c>
      <c r="BN203" s="1">
        <f>BM203-C203</f>
        <v>0.37122858550311832</v>
      </c>
      <c r="BO203" s="1">
        <f>GK203*3*D203</f>
        <v>49.920000000000009</v>
      </c>
      <c r="BP203" s="1">
        <f>DO203*3*D203</f>
        <v>86.4</v>
      </c>
      <c r="BQ203" s="1">
        <f>FJ203*3*D203</f>
        <v>76.800000000000011</v>
      </c>
      <c r="BR203" s="1">
        <f>GL203*3*D203</f>
        <v>48</v>
      </c>
      <c r="BT203">
        <v>34.79</v>
      </c>
      <c r="BU203">
        <v>8.1999999999999993</v>
      </c>
      <c r="BV203" t="s">
        <v>4991</v>
      </c>
      <c r="BW203" t="s">
        <v>4999</v>
      </c>
      <c r="BX203" t="s">
        <v>5060</v>
      </c>
      <c r="BY203" t="s">
        <v>5144</v>
      </c>
      <c r="BZ203" t="s">
        <v>5062</v>
      </c>
      <c r="CA203" t="s">
        <v>2723</v>
      </c>
      <c r="CC203" t="s">
        <v>2758</v>
      </c>
      <c r="CD203" t="s">
        <v>2508</v>
      </c>
      <c r="CE203" t="s">
        <v>2440</v>
      </c>
      <c r="CG203" t="s">
        <v>2761</v>
      </c>
      <c r="CH203" t="s">
        <v>2510</v>
      </c>
      <c r="CI203" t="s">
        <v>2443</v>
      </c>
      <c r="CK203" t="s">
        <v>2795</v>
      </c>
      <c r="CL203" t="s">
        <v>2512</v>
      </c>
      <c r="CM203" t="s">
        <v>2446</v>
      </c>
      <c r="CO203" t="s">
        <v>2796</v>
      </c>
      <c r="CP203" t="s">
        <v>2514</v>
      </c>
      <c r="CQ203" t="s">
        <v>2449</v>
      </c>
      <c r="CS203" t="s">
        <v>2679</v>
      </c>
      <c r="CT203" t="s">
        <v>2524</v>
      </c>
      <c r="CV203">
        <v>9</v>
      </c>
      <c r="CW203">
        <v>9</v>
      </c>
      <c r="CX203">
        <v>9</v>
      </c>
      <c r="CY203">
        <v>9</v>
      </c>
      <c r="CZ203">
        <v>9</v>
      </c>
      <c r="DA203">
        <v>0.1</v>
      </c>
      <c r="DB203">
        <v>0.1</v>
      </c>
      <c r="DC203">
        <v>0.2</v>
      </c>
      <c r="DD203">
        <v>0.3</v>
      </c>
      <c r="DE203">
        <v>0.3</v>
      </c>
      <c r="DF203">
        <v>0.9</v>
      </c>
      <c r="DG203">
        <v>0.9</v>
      </c>
      <c r="DH203">
        <v>1.8</v>
      </c>
      <c r="DI203">
        <v>2.7</v>
      </c>
      <c r="DJ203">
        <v>2.7</v>
      </c>
      <c r="DK203">
        <v>8.1999999999999993</v>
      </c>
      <c r="DL203">
        <v>0</v>
      </c>
      <c r="DM203">
        <v>8.1999999999999993</v>
      </c>
      <c r="DN203">
        <v>9</v>
      </c>
      <c r="DO203">
        <f>AVERAGE(CV203:CZ203)</f>
        <v>9</v>
      </c>
      <c r="DQ203">
        <v>8</v>
      </c>
      <c r="DR203" t="s">
        <v>73</v>
      </c>
      <c r="DS203" t="s">
        <v>48</v>
      </c>
      <c r="DT203" t="s">
        <v>49</v>
      </c>
      <c r="DU203" t="s">
        <v>179</v>
      </c>
      <c r="DV203" t="s">
        <v>319</v>
      </c>
      <c r="DW203" t="s">
        <v>3769</v>
      </c>
      <c r="DX203" t="s">
        <v>3789</v>
      </c>
      <c r="DY203" t="s">
        <v>3826</v>
      </c>
      <c r="DZ203" t="s">
        <v>3827</v>
      </c>
      <c r="EA203" t="s">
        <v>3828</v>
      </c>
      <c r="EB203" t="s">
        <v>3793</v>
      </c>
      <c r="EC203" t="s">
        <v>3829</v>
      </c>
      <c r="ED203" t="s">
        <v>3827</v>
      </c>
      <c r="EE203" t="s">
        <v>3830</v>
      </c>
      <c r="EF203" t="s">
        <v>3797</v>
      </c>
      <c r="EG203" t="s">
        <v>3831</v>
      </c>
      <c r="EH203" t="s">
        <v>3827</v>
      </c>
      <c r="EI203" t="s">
        <v>3832</v>
      </c>
      <c r="EJ203" t="s">
        <v>3800</v>
      </c>
      <c r="EK203" t="s">
        <v>3833</v>
      </c>
      <c r="EL203" t="s">
        <v>3827</v>
      </c>
      <c r="EM203" t="s">
        <v>4288</v>
      </c>
      <c r="EN203" t="s">
        <v>3803</v>
      </c>
      <c r="EO203" t="s">
        <v>3835</v>
      </c>
      <c r="EP203" t="s">
        <v>3827</v>
      </c>
      <c r="EQ203">
        <v>8</v>
      </c>
      <c r="ER203">
        <v>8</v>
      </c>
      <c r="ES203">
        <v>8</v>
      </c>
      <c r="ET203">
        <v>8</v>
      </c>
      <c r="EU203">
        <v>8</v>
      </c>
      <c r="EV203">
        <v>0.1</v>
      </c>
      <c r="EW203">
        <v>0.1</v>
      </c>
      <c r="EX203">
        <v>0.2</v>
      </c>
      <c r="EY203">
        <v>0.3</v>
      </c>
      <c r="EZ203">
        <v>0.3</v>
      </c>
      <c r="FA203">
        <f>EV203*EQ203</f>
        <v>0.8</v>
      </c>
      <c r="FB203">
        <f>EW203*ER203</f>
        <v>0.8</v>
      </c>
      <c r="FC203">
        <f>EX203*ES203</f>
        <v>1.6</v>
      </c>
      <c r="FD203">
        <f>EY203*ET203</f>
        <v>2.4</v>
      </c>
      <c r="FE203">
        <f>EZ203*EU203</f>
        <v>2.4</v>
      </c>
      <c r="FF203">
        <v>16</v>
      </c>
      <c r="FG203">
        <v>0</v>
      </c>
      <c r="FH203">
        <v>8</v>
      </c>
      <c r="FI203">
        <f>FA203+FB203+FC203+FD203+FE203</f>
        <v>8</v>
      </c>
      <c r="FJ203">
        <f>MEDIAN(EQ203:EU203)</f>
        <v>8</v>
      </c>
      <c r="FL203">
        <v>36.01</v>
      </c>
      <c r="FM203">
        <v>8.6</v>
      </c>
      <c r="FN203" t="s">
        <v>1558</v>
      </c>
      <c r="FO203" t="s">
        <v>1559</v>
      </c>
      <c r="FP203" t="s">
        <v>1560</v>
      </c>
      <c r="FQ203" t="s">
        <v>1561</v>
      </c>
      <c r="FR203" t="s">
        <v>606</v>
      </c>
      <c r="FS203">
        <v>6</v>
      </c>
      <c r="FT203">
        <v>4</v>
      </c>
      <c r="FU203">
        <v>3</v>
      </c>
      <c r="FV203">
        <v>5</v>
      </c>
      <c r="FW203">
        <v>7</v>
      </c>
      <c r="FX203">
        <v>0.1</v>
      </c>
      <c r="FY203">
        <v>0.1</v>
      </c>
      <c r="FZ203">
        <v>0.2</v>
      </c>
      <c r="GA203">
        <v>0.3</v>
      </c>
      <c r="GB203">
        <v>0.3</v>
      </c>
      <c r="GC203">
        <f>FS203*FX203</f>
        <v>0.60000000000000009</v>
      </c>
      <c r="GD203">
        <f>FT203*FY203</f>
        <v>0.4</v>
      </c>
      <c r="GE203">
        <f>FU203*FZ203</f>
        <v>0.60000000000000009</v>
      </c>
      <c r="GF203">
        <f>FV203*GA203</f>
        <v>1.5</v>
      </c>
      <c r="GG203">
        <f>FW203*GB203</f>
        <v>2.1</v>
      </c>
      <c r="GH203">
        <v>8.6</v>
      </c>
      <c r="GI203">
        <v>0</v>
      </c>
      <c r="GJ203">
        <v>8.6</v>
      </c>
      <c r="GK203">
        <f>GC203+GD203+GE203+GF203+GG203</f>
        <v>5.2</v>
      </c>
      <c r="GL203">
        <f>MEDIAN(FS203:FW203)</f>
        <v>5</v>
      </c>
    </row>
    <row r="204" spans="1:194" hidden="1" x14ac:dyDescent="0.25">
      <c r="A204">
        <v>203</v>
      </c>
      <c r="B204" t="s">
        <v>2</v>
      </c>
      <c r="C204" s="4">
        <v>58.5</v>
      </c>
      <c r="D204">
        <v>3</v>
      </c>
      <c r="E204" s="1">
        <f>C204/3/D204</f>
        <v>6.5</v>
      </c>
      <c r="G204">
        <v>37.85</v>
      </c>
      <c r="H204">
        <v>8</v>
      </c>
      <c r="I204">
        <f>H204*D204*3</f>
        <v>72</v>
      </c>
      <c r="J204">
        <v>16.68</v>
      </c>
      <c r="K204">
        <v>9</v>
      </c>
      <c r="L204" s="3">
        <f>K204*3*D204</f>
        <v>81</v>
      </c>
      <c r="M204">
        <v>5.45</v>
      </c>
      <c r="N204">
        <v>5</v>
      </c>
      <c r="O204">
        <f>N204*D204*3</f>
        <v>45</v>
      </c>
      <c r="P204" s="5">
        <v>9</v>
      </c>
      <c r="Q204" s="5">
        <f>P204*D204*3</f>
        <v>81</v>
      </c>
      <c r="S204" t="s">
        <v>6335</v>
      </c>
      <c r="T204">
        <v>5.3</v>
      </c>
      <c r="U204" s="8">
        <f>T204*D204*3</f>
        <v>47.699999999999996</v>
      </c>
      <c r="V204">
        <v>29.77</v>
      </c>
      <c r="W204">
        <v>8</v>
      </c>
      <c r="X204" s="5">
        <f>W204*D204*3</f>
        <v>72</v>
      </c>
      <c r="Y204">
        <v>12.32</v>
      </c>
      <c r="Z204">
        <v>7.6</v>
      </c>
      <c r="AA204">
        <f>Z204*D204*3</f>
        <v>68.399999999999991</v>
      </c>
      <c r="AC204">
        <v>47.89</v>
      </c>
      <c r="AD204">
        <v>7.1</v>
      </c>
      <c r="AE204" s="1">
        <f>AD204*3*D204</f>
        <v>63.899999999999991</v>
      </c>
      <c r="AF204">
        <v>11.83</v>
      </c>
      <c r="AG204" s="5">
        <v>7</v>
      </c>
      <c r="AH204" s="5">
        <f>AG204*D204*3</f>
        <v>63</v>
      </c>
      <c r="AI204" s="13"/>
      <c r="AJ204">
        <v>7.4</v>
      </c>
      <c r="AK204" s="8">
        <f>AJ204*D204*3</f>
        <v>66.600000000000009</v>
      </c>
      <c r="AL204" s="13"/>
      <c r="AM204">
        <v>30.34</v>
      </c>
      <c r="AN204">
        <v>7.3</v>
      </c>
      <c r="AO204" s="8">
        <f>AN204*D204*3</f>
        <v>65.699999999999989</v>
      </c>
      <c r="AP204">
        <v>14.48</v>
      </c>
      <c r="AQ204">
        <v>10</v>
      </c>
      <c r="AR204">
        <f>AQ204*D204*3</f>
        <v>90</v>
      </c>
      <c r="AT204">
        <v>8.6</v>
      </c>
      <c r="AU204">
        <f>AT204*D204*3</f>
        <v>77.399999999999991</v>
      </c>
      <c r="AW204">
        <v>22.86</v>
      </c>
      <c r="AX204">
        <v>9.3000000000000007</v>
      </c>
      <c r="AY204">
        <f>AX204*D204*3</f>
        <v>83.7</v>
      </c>
      <c r="AZ204">
        <v>22.86</v>
      </c>
      <c r="BA204">
        <v>9.1</v>
      </c>
      <c r="BB204">
        <f>BA204*D204*3</f>
        <v>81.899999999999991</v>
      </c>
      <c r="BD204">
        <v>8.9</v>
      </c>
      <c r="BE204">
        <f>BD204*D204*3</f>
        <v>80.100000000000009</v>
      </c>
      <c r="BG204" s="10"/>
      <c r="BH204" s="1">
        <f>CHOOSE(MATCH(MIN(ABS(BP204-C204),ABS(BQ204-C204),ABS(BR204-C204)),CHOOSE({1;2;3},ABS(BP204-C204),ABS(BQ204-C204),ABS(BR204-C204)),0),BP204,BQ204,BR204)</f>
        <v>63</v>
      </c>
      <c r="BJ204" s="1" cm="1">
        <f t="array" ref="BJ204">(INDEX(_xlfn._xlws.SORT(CHOOSE({1;2;3;4;5;6},BQ204,BR204,L204,AE204,BO204,BP204)),3) + INDEX(_xlfn._xlws.SORT(CHOOSE({1;2;3;4;5;6},BQ204,BR204,L204,AE204,BO204,BP204)),4))/2</f>
        <v>63.449999999999996</v>
      </c>
      <c r="BK204">
        <v>6.5956960090094299</v>
      </c>
      <c r="BL204" t="s">
        <v>6117</v>
      </c>
      <c r="BM204" s="1">
        <f>BK204*3*D204</f>
        <v>59.361264081084869</v>
      </c>
      <c r="BN204" s="1">
        <f>BM204-C204</f>
        <v>0.86126408108486885</v>
      </c>
      <c r="BO204" s="1">
        <f>GK204*3*D204</f>
        <v>49.050000000000004</v>
      </c>
      <c r="BP204" s="1">
        <f>DO204*3*D204</f>
        <v>81</v>
      </c>
      <c r="BQ204" s="1">
        <f>FJ204*3*D204</f>
        <v>63</v>
      </c>
      <c r="BR204" s="1">
        <f>GL204*3*D204</f>
        <v>54</v>
      </c>
      <c r="BT204">
        <v>37.85</v>
      </c>
      <c r="BU204">
        <v>8</v>
      </c>
      <c r="BV204" t="s">
        <v>5660</v>
      </c>
      <c r="BW204" t="s">
        <v>5661</v>
      </c>
      <c r="BX204" t="s">
        <v>5662</v>
      </c>
      <c r="BY204" t="s">
        <v>5663</v>
      </c>
      <c r="BZ204" t="s">
        <v>5664</v>
      </c>
      <c r="CA204" t="s">
        <v>2723</v>
      </c>
      <c r="CC204" t="s">
        <v>2438</v>
      </c>
      <c r="CD204" t="s">
        <v>2744</v>
      </c>
      <c r="CE204" t="s">
        <v>2440</v>
      </c>
      <c r="CG204" t="s">
        <v>2791</v>
      </c>
      <c r="CH204" t="s">
        <v>2823</v>
      </c>
      <c r="CI204" t="s">
        <v>2535</v>
      </c>
      <c r="CK204" t="s">
        <v>2792</v>
      </c>
      <c r="CL204" t="s">
        <v>2825</v>
      </c>
      <c r="CM204" t="s">
        <v>3307</v>
      </c>
      <c r="CO204" t="s">
        <v>2793</v>
      </c>
      <c r="CP204" t="s">
        <v>2828</v>
      </c>
      <c r="CQ204" t="s">
        <v>2666</v>
      </c>
      <c r="CS204" t="s">
        <v>2794</v>
      </c>
      <c r="CT204" t="s">
        <v>2831</v>
      </c>
      <c r="CV204">
        <v>9</v>
      </c>
      <c r="CW204">
        <v>9</v>
      </c>
      <c r="CX204">
        <v>9</v>
      </c>
      <c r="CY204">
        <v>9</v>
      </c>
      <c r="CZ204">
        <v>9</v>
      </c>
      <c r="DA204">
        <v>0.1</v>
      </c>
      <c r="DB204">
        <v>0.1</v>
      </c>
      <c r="DC204">
        <v>0.2</v>
      </c>
      <c r="DD204">
        <v>0.3</v>
      </c>
      <c r="DE204">
        <v>0.3</v>
      </c>
      <c r="DF204">
        <v>0.9</v>
      </c>
      <c r="DG204">
        <v>0.9</v>
      </c>
      <c r="DH204">
        <v>1.8</v>
      </c>
      <c r="DI204">
        <v>2.7</v>
      </c>
      <c r="DJ204">
        <v>2.7</v>
      </c>
      <c r="DK204">
        <v>8</v>
      </c>
      <c r="DL204">
        <v>0</v>
      </c>
      <c r="DM204">
        <v>8</v>
      </c>
      <c r="DN204">
        <v>9</v>
      </c>
      <c r="DO204">
        <f>AVERAGE(CV204:CZ204)</f>
        <v>9</v>
      </c>
      <c r="DQ204">
        <v>7</v>
      </c>
      <c r="DR204" t="s">
        <v>28</v>
      </c>
      <c r="DS204" t="s">
        <v>108</v>
      </c>
      <c r="DT204" t="s">
        <v>109</v>
      </c>
      <c r="DU204" t="s">
        <v>110</v>
      </c>
      <c r="DV204" t="s">
        <v>111</v>
      </c>
      <c r="DW204" t="s">
        <v>3769</v>
      </c>
      <c r="DX204" t="s">
        <v>3770</v>
      </c>
      <c r="DY204" t="s">
        <v>3771</v>
      </c>
      <c r="DZ204" t="s">
        <v>3772</v>
      </c>
      <c r="EA204" t="s">
        <v>3773</v>
      </c>
      <c r="EB204" t="s">
        <v>3774</v>
      </c>
      <c r="EC204" t="s">
        <v>3775</v>
      </c>
      <c r="ED204" t="s">
        <v>3776</v>
      </c>
      <c r="EE204" t="s">
        <v>3777</v>
      </c>
      <c r="EF204" t="s">
        <v>3778</v>
      </c>
      <c r="EG204" t="s">
        <v>4014</v>
      </c>
      <c r="EH204" t="s">
        <v>4015</v>
      </c>
      <c r="EI204" t="s">
        <v>4016</v>
      </c>
      <c r="EJ204" t="s">
        <v>3782</v>
      </c>
      <c r="EK204" t="s">
        <v>4017</v>
      </c>
      <c r="EL204" t="s">
        <v>3815</v>
      </c>
      <c r="EM204" t="s">
        <v>3930</v>
      </c>
      <c r="EN204" t="s">
        <v>3823</v>
      </c>
      <c r="EO204" t="s">
        <v>4018</v>
      </c>
      <c r="EP204" t="s">
        <v>4019</v>
      </c>
      <c r="EQ204">
        <v>7</v>
      </c>
      <c r="ER204">
        <v>8</v>
      </c>
      <c r="ES204">
        <v>7</v>
      </c>
      <c r="ET204">
        <v>7</v>
      </c>
      <c r="EU204">
        <v>7</v>
      </c>
      <c r="EV204">
        <v>0.1</v>
      </c>
      <c r="EW204">
        <v>0.1</v>
      </c>
      <c r="EX204">
        <v>0.2</v>
      </c>
      <c r="EY204">
        <v>0.3</v>
      </c>
      <c r="EZ204">
        <v>0.3</v>
      </c>
      <c r="FA204">
        <f>EV204*EQ204</f>
        <v>0.70000000000000007</v>
      </c>
      <c r="FB204">
        <f>EW204*ER204</f>
        <v>0.8</v>
      </c>
      <c r="FC204">
        <f>EX204*ES204</f>
        <v>1.4000000000000001</v>
      </c>
      <c r="FD204">
        <f>EY204*ET204</f>
        <v>2.1</v>
      </c>
      <c r="FE204">
        <f>EZ204*EU204</f>
        <v>2.1</v>
      </c>
      <c r="FF204">
        <v>17</v>
      </c>
      <c r="FG204">
        <v>0</v>
      </c>
      <c r="FH204">
        <v>7</v>
      </c>
      <c r="FI204">
        <f>FA204+FB204+FC204+FD204+FE204</f>
        <v>7.1</v>
      </c>
      <c r="FJ204">
        <f>MEDIAN(EQ204:EU204)</f>
        <v>7</v>
      </c>
      <c r="FL204">
        <v>37.82</v>
      </c>
      <c r="FM204">
        <v>6.8</v>
      </c>
      <c r="FN204" t="s">
        <v>1562</v>
      </c>
      <c r="FO204" t="s">
        <v>1563</v>
      </c>
      <c r="FP204" t="s">
        <v>1564</v>
      </c>
      <c r="FQ204" t="s">
        <v>1565</v>
      </c>
      <c r="FR204" t="s">
        <v>1566</v>
      </c>
      <c r="FS204">
        <v>5</v>
      </c>
      <c r="FT204">
        <v>7.5</v>
      </c>
      <c r="FU204">
        <v>6</v>
      </c>
      <c r="FV204">
        <v>6</v>
      </c>
      <c r="FW204">
        <v>4</v>
      </c>
      <c r="FX204">
        <v>0.1</v>
      </c>
      <c r="FY204">
        <v>0.1</v>
      </c>
      <c r="FZ204">
        <v>0.2</v>
      </c>
      <c r="GA204">
        <v>0.3</v>
      </c>
      <c r="GB204">
        <v>0.3</v>
      </c>
      <c r="GC204">
        <f>FS204*FX204</f>
        <v>0.5</v>
      </c>
      <c r="GD204">
        <f>FT204*FY204</f>
        <v>0.75</v>
      </c>
      <c r="GE204">
        <f>FU204*FZ204</f>
        <v>1.2000000000000002</v>
      </c>
      <c r="GF204">
        <f>FV204*GA204</f>
        <v>1.7999999999999998</v>
      </c>
      <c r="GG204">
        <f>FW204*GB204</f>
        <v>1.2</v>
      </c>
      <c r="GH204">
        <v>6.9</v>
      </c>
      <c r="GI204">
        <v>-0.1</v>
      </c>
      <c r="GJ204">
        <v>6.8</v>
      </c>
      <c r="GK204">
        <f>GC204+GD204+GE204+GF204+GG204</f>
        <v>5.45</v>
      </c>
      <c r="GL204">
        <f>MEDIAN(FS204:FW204)</f>
        <v>6</v>
      </c>
    </row>
    <row r="205" spans="1:194" x14ac:dyDescent="0.25">
      <c r="A205">
        <v>220</v>
      </c>
      <c r="B205" t="s">
        <v>2</v>
      </c>
      <c r="C205" s="4">
        <v>72</v>
      </c>
      <c r="D205">
        <v>3.2</v>
      </c>
      <c r="E205" s="1">
        <f>C205/3/D205</f>
        <v>7.5</v>
      </c>
      <c r="G205">
        <v>36.99</v>
      </c>
      <c r="H205">
        <v>8</v>
      </c>
      <c r="I205">
        <f>H205*D205*3</f>
        <v>76.800000000000011</v>
      </c>
      <c r="J205">
        <v>14.57</v>
      </c>
      <c r="K205">
        <v>9</v>
      </c>
      <c r="L205" s="3">
        <f>K205*3*D205</f>
        <v>86.4</v>
      </c>
      <c r="M205">
        <v>5.65</v>
      </c>
      <c r="N205">
        <v>3</v>
      </c>
      <c r="O205">
        <f>N205*D205*3</f>
        <v>28.800000000000004</v>
      </c>
      <c r="P205" s="5">
        <v>8.3000000000000007</v>
      </c>
      <c r="Q205" s="5">
        <f>P205*D205*3</f>
        <v>79.680000000000007</v>
      </c>
      <c r="S205" t="s">
        <v>6352</v>
      </c>
      <c r="T205">
        <v>6</v>
      </c>
      <c r="U205" s="8">
        <f>T205*D205*3</f>
        <v>57.600000000000009</v>
      </c>
      <c r="V205">
        <v>35.49</v>
      </c>
      <c r="W205">
        <v>7.4</v>
      </c>
      <c r="X205" s="5">
        <f>W205*D205*3</f>
        <v>71.040000000000006</v>
      </c>
      <c r="Y205">
        <v>11.88</v>
      </c>
      <c r="Z205">
        <v>7.5</v>
      </c>
      <c r="AA205">
        <f>Z205*D205*3</f>
        <v>72</v>
      </c>
      <c r="AC205">
        <v>47.48</v>
      </c>
      <c r="AD205">
        <v>8</v>
      </c>
      <c r="AE205" s="1">
        <f>AD205*3*D205</f>
        <v>76.800000000000011</v>
      </c>
      <c r="AF205">
        <v>11.89</v>
      </c>
      <c r="AG205" s="5">
        <v>7</v>
      </c>
      <c r="AH205" s="5">
        <f>AG205*D205*3</f>
        <v>67.2</v>
      </c>
      <c r="AI205" s="13"/>
      <c r="AJ205">
        <v>32</v>
      </c>
      <c r="AK205" s="8">
        <f>AJ205*D205*3</f>
        <v>307.20000000000005</v>
      </c>
      <c r="AL205" s="13"/>
      <c r="AM205">
        <v>30.72</v>
      </c>
      <c r="AN205">
        <v>7.9</v>
      </c>
      <c r="AO205" s="8">
        <f>AN205*D205*3</f>
        <v>75.84</v>
      </c>
      <c r="AP205">
        <v>15.13</v>
      </c>
      <c r="AQ205">
        <v>10</v>
      </c>
      <c r="AR205">
        <f>AQ205*D205*3</f>
        <v>96</v>
      </c>
      <c r="AT205">
        <v>9.4</v>
      </c>
      <c r="AU205">
        <f>AT205*D205*3</f>
        <v>90.240000000000009</v>
      </c>
      <c r="AW205">
        <v>23.37</v>
      </c>
      <c r="AX205">
        <v>9.4</v>
      </c>
      <c r="AY205">
        <f>AX205*D205*3</f>
        <v>90.240000000000009</v>
      </c>
      <c r="AZ205">
        <v>23.37</v>
      </c>
      <c r="BA205">
        <v>9</v>
      </c>
      <c r="BB205">
        <f>BA205*D205*3</f>
        <v>86.4</v>
      </c>
      <c r="BD205">
        <v>8.9</v>
      </c>
      <c r="BE205">
        <f>BD205*D205*3</f>
        <v>85.440000000000012</v>
      </c>
      <c r="BG205" s="10"/>
      <c r="BH205" s="1">
        <f>CHOOSE(MATCH(MIN(ABS(BP205-C205),ABS(BQ205-C205),ABS(BR205-C205)),CHOOSE({1;2;3},ABS(BP205-C205),ABS(BQ205-C205),ABS(BR205-C205)),0),BP205,BQ205,BR205)</f>
        <v>76.800000000000011</v>
      </c>
      <c r="BJ205" s="1" cm="1">
        <f t="array" ref="BJ205">(INDEX(_xlfn._xlws.SORT(CHOOSE({1;2;3;4;5;6},BQ205,BR205,L205,AE205,BO205,BP205)),3) + INDEX(_xlfn._xlws.SORT(CHOOSE({1;2;3;4;5;6},BQ205,BR205,L205,AE205,BO205,BP205)),4))/2</f>
        <v>76.800000000000011</v>
      </c>
      <c r="BK205">
        <v>7.6952525058765602</v>
      </c>
      <c r="BL205" s="11" t="s">
        <v>6116</v>
      </c>
      <c r="BM205" s="1">
        <f>BK205*3*D205</f>
        <v>73.874424056414981</v>
      </c>
      <c r="BN205" s="1">
        <f>BM205-C205</f>
        <v>1.8744240564149806</v>
      </c>
      <c r="BO205" s="1">
        <f>GK205*3*D205</f>
        <v>50.879999999999995</v>
      </c>
      <c r="BP205" s="1">
        <f>DO205*3*D205</f>
        <v>86.4</v>
      </c>
      <c r="BQ205" s="1">
        <f>FJ205*3*D205</f>
        <v>76.800000000000011</v>
      </c>
      <c r="BR205" s="1">
        <f>GL205*3*D205</f>
        <v>57.6</v>
      </c>
      <c r="BT205">
        <v>36.99</v>
      </c>
      <c r="BU205">
        <v>8</v>
      </c>
      <c r="BV205" t="s">
        <v>5713</v>
      </c>
      <c r="BW205" t="s">
        <v>5608</v>
      </c>
      <c r="BX205" t="s">
        <v>5714</v>
      </c>
      <c r="BY205" t="s">
        <v>5715</v>
      </c>
      <c r="BZ205" t="s">
        <v>5716</v>
      </c>
      <c r="CA205" t="s">
        <v>2437</v>
      </c>
      <c r="CC205" t="s">
        <v>2438</v>
      </c>
      <c r="CD205" t="s">
        <v>2439</v>
      </c>
      <c r="CE205" t="s">
        <v>2440</v>
      </c>
      <c r="CG205" t="s">
        <v>2441</v>
      </c>
      <c r="CH205" t="s">
        <v>2442</v>
      </c>
      <c r="CI205" t="s">
        <v>2535</v>
      </c>
      <c r="CK205" t="s">
        <v>2444</v>
      </c>
      <c r="CL205" t="s">
        <v>2445</v>
      </c>
      <c r="CM205" t="s">
        <v>2446</v>
      </c>
      <c r="CO205" t="s">
        <v>2447</v>
      </c>
      <c r="CP205" t="s">
        <v>2448</v>
      </c>
      <c r="CQ205" t="s">
        <v>2666</v>
      </c>
      <c r="CS205" t="s">
        <v>2450</v>
      </c>
      <c r="CT205" t="s">
        <v>2451</v>
      </c>
      <c r="CV205">
        <v>9</v>
      </c>
      <c r="CW205">
        <v>9</v>
      </c>
      <c r="CX205">
        <v>9</v>
      </c>
      <c r="CY205">
        <v>9</v>
      </c>
      <c r="CZ205">
        <v>9</v>
      </c>
      <c r="DA205">
        <v>0.1</v>
      </c>
      <c r="DB205">
        <v>0.1</v>
      </c>
      <c r="DC205">
        <v>0.2</v>
      </c>
      <c r="DD205">
        <v>0.3</v>
      </c>
      <c r="DE205">
        <v>0.3</v>
      </c>
      <c r="DF205">
        <v>0.9</v>
      </c>
      <c r="DG205">
        <v>0.9</v>
      </c>
      <c r="DH205">
        <v>1.8</v>
      </c>
      <c r="DI205">
        <v>2.7</v>
      </c>
      <c r="DJ205">
        <v>2.7</v>
      </c>
      <c r="DK205">
        <v>8</v>
      </c>
      <c r="DL205">
        <v>0</v>
      </c>
      <c r="DM205">
        <v>8</v>
      </c>
      <c r="DN205">
        <v>9</v>
      </c>
      <c r="DO205">
        <f>AVERAGE(CV205:CZ205)</f>
        <v>9</v>
      </c>
      <c r="DQ205">
        <v>8</v>
      </c>
      <c r="DR205" t="s">
        <v>33</v>
      </c>
      <c r="DS205" t="s">
        <v>412</v>
      </c>
      <c r="DT205" t="s">
        <v>105</v>
      </c>
      <c r="DU205" t="s">
        <v>413</v>
      </c>
      <c r="DV205" t="s">
        <v>414</v>
      </c>
      <c r="DW205" t="s">
        <v>3788</v>
      </c>
      <c r="DX205" t="s">
        <v>3789</v>
      </c>
      <c r="DY205" t="s">
        <v>4004</v>
      </c>
      <c r="DZ205" t="s">
        <v>4005</v>
      </c>
      <c r="EA205" t="s">
        <v>4006</v>
      </c>
      <c r="EB205" t="s">
        <v>3793</v>
      </c>
      <c r="EC205" t="s">
        <v>4007</v>
      </c>
      <c r="ED205" t="s">
        <v>4005</v>
      </c>
      <c r="EE205" t="s">
        <v>4008</v>
      </c>
      <c r="EF205" t="s">
        <v>3797</v>
      </c>
      <c r="EG205" t="s">
        <v>4009</v>
      </c>
      <c r="EH205" t="s">
        <v>4005</v>
      </c>
      <c r="EI205" t="s">
        <v>4010</v>
      </c>
      <c r="EJ205" t="s">
        <v>3800</v>
      </c>
      <c r="EK205" t="s">
        <v>4011</v>
      </c>
      <c r="EL205" t="s">
        <v>4005</v>
      </c>
      <c r="EM205" t="s">
        <v>4665</v>
      </c>
      <c r="EN205" t="s">
        <v>3803</v>
      </c>
      <c r="EO205" t="s">
        <v>4070</v>
      </c>
      <c r="EP205" t="s">
        <v>4005</v>
      </c>
      <c r="EQ205">
        <v>8</v>
      </c>
      <c r="ER205">
        <v>8</v>
      </c>
      <c r="ES205">
        <v>8</v>
      </c>
      <c r="ET205">
        <v>8</v>
      </c>
      <c r="EU205">
        <v>8</v>
      </c>
      <c r="EV205">
        <v>0.1</v>
      </c>
      <c r="EW205">
        <v>0.1</v>
      </c>
      <c r="EX205">
        <v>0.2</v>
      </c>
      <c r="EY205">
        <v>0.3</v>
      </c>
      <c r="EZ205">
        <v>0.3</v>
      </c>
      <c r="FA205">
        <f>EV205*EQ205</f>
        <v>0.8</v>
      </c>
      <c r="FB205">
        <f>EW205*ER205</f>
        <v>0.8</v>
      </c>
      <c r="FC205">
        <f>EX205*ES205</f>
        <v>1.6</v>
      </c>
      <c r="FD205">
        <f>EY205*ET205</f>
        <v>2.4</v>
      </c>
      <c r="FE205">
        <f>EZ205*EU205</f>
        <v>2.4</v>
      </c>
      <c r="FF205">
        <v>16</v>
      </c>
      <c r="FG205">
        <v>0</v>
      </c>
      <c r="FH205">
        <v>8</v>
      </c>
      <c r="FI205">
        <f>FA205+FB205+FC205+FD205+FE205</f>
        <v>8</v>
      </c>
      <c r="FJ205">
        <f>MEDIAN(EQ205:EU205)</f>
        <v>8</v>
      </c>
      <c r="FL205">
        <v>40.58</v>
      </c>
      <c r="FM205">
        <v>6</v>
      </c>
      <c r="FN205" t="s">
        <v>1646</v>
      </c>
      <c r="FO205" t="s">
        <v>1647</v>
      </c>
      <c r="FP205" t="s">
        <v>1648</v>
      </c>
      <c r="FQ205" t="s">
        <v>1649</v>
      </c>
      <c r="FR205" t="s">
        <v>1650</v>
      </c>
      <c r="FS205">
        <v>6</v>
      </c>
      <c r="FT205">
        <v>7</v>
      </c>
      <c r="FU205">
        <v>5</v>
      </c>
      <c r="FV205">
        <v>4</v>
      </c>
      <c r="FW205">
        <v>6</v>
      </c>
      <c r="FX205">
        <v>0.1</v>
      </c>
      <c r="FY205">
        <v>0.1</v>
      </c>
      <c r="FZ205">
        <v>0.2</v>
      </c>
      <c r="GA205">
        <v>0.3</v>
      </c>
      <c r="GB205">
        <v>0.3</v>
      </c>
      <c r="GC205">
        <f>FS205*FX205</f>
        <v>0.60000000000000009</v>
      </c>
      <c r="GD205">
        <f>FT205*FY205</f>
        <v>0.70000000000000007</v>
      </c>
      <c r="GE205">
        <f>FU205*FZ205</f>
        <v>1</v>
      </c>
      <c r="GF205">
        <f>FV205*GA205</f>
        <v>1.2</v>
      </c>
      <c r="GG205">
        <f>FW205*GB205</f>
        <v>1.7999999999999998</v>
      </c>
      <c r="GH205">
        <v>6</v>
      </c>
      <c r="GJ205">
        <v>6</v>
      </c>
      <c r="GK205">
        <f>GC205+GD205+GE205+GF205+GG205</f>
        <v>5.3</v>
      </c>
      <c r="GL205">
        <f>MEDIAN(FS205:FW205)</f>
        <v>6</v>
      </c>
    </row>
    <row r="206" spans="1:194" hidden="1" x14ac:dyDescent="0.25">
      <c r="A206">
        <v>205</v>
      </c>
      <c r="B206" t="s">
        <v>2</v>
      </c>
      <c r="C206" s="4">
        <v>81</v>
      </c>
      <c r="D206">
        <v>3.6</v>
      </c>
      <c r="E206" s="1">
        <f>C206/3/D206</f>
        <v>7.5</v>
      </c>
      <c r="G206">
        <v>36.130000000000003</v>
      </c>
      <c r="H206">
        <v>8.1999999999999993</v>
      </c>
      <c r="I206">
        <f>H206*D206*3</f>
        <v>88.56</v>
      </c>
      <c r="J206">
        <v>18.32</v>
      </c>
      <c r="K206">
        <v>8.4</v>
      </c>
      <c r="L206" s="3">
        <f>K206*3*D206</f>
        <v>90.720000000000013</v>
      </c>
      <c r="M206">
        <v>4.4000000000000004</v>
      </c>
      <c r="N206">
        <v>8.8000000000000007</v>
      </c>
      <c r="O206">
        <f>N206*D206*3</f>
        <v>95.04</v>
      </c>
      <c r="P206" s="5">
        <v>7</v>
      </c>
      <c r="Q206" s="5">
        <f>P206*D206*3</f>
        <v>75.599999999999994</v>
      </c>
      <c r="S206" t="s">
        <v>6337</v>
      </c>
      <c r="T206">
        <v>5</v>
      </c>
      <c r="U206" s="8">
        <f>T206*D206*3</f>
        <v>54</v>
      </c>
      <c r="V206">
        <v>30.74</v>
      </c>
      <c r="W206">
        <v>9</v>
      </c>
      <c r="X206" s="5">
        <f>W206*D206*3</f>
        <v>97.199999999999989</v>
      </c>
      <c r="Y206">
        <v>11.24</v>
      </c>
      <c r="Z206">
        <v>7.5</v>
      </c>
      <c r="AA206">
        <f>Z206*D206*3</f>
        <v>81</v>
      </c>
      <c r="AC206">
        <v>46.96</v>
      </c>
      <c r="AD206">
        <v>8</v>
      </c>
      <c r="AE206" s="1">
        <f>AD206*3*D206</f>
        <v>86.4</v>
      </c>
      <c r="AF206">
        <v>12.24</v>
      </c>
      <c r="AG206" s="5">
        <v>7</v>
      </c>
      <c r="AH206" s="5">
        <f>AG206*D206*3</f>
        <v>75.599999999999994</v>
      </c>
      <c r="AI206" s="13"/>
      <c r="AJ206">
        <v>23.5</v>
      </c>
      <c r="AK206" s="8">
        <f>AJ206*D206*3</f>
        <v>253.8</v>
      </c>
      <c r="AL206" s="13"/>
      <c r="AM206">
        <v>30.57</v>
      </c>
      <c r="AN206">
        <v>7.9</v>
      </c>
      <c r="AO206" s="8">
        <f>AN206*D206*3</f>
        <v>85.320000000000007</v>
      </c>
      <c r="AP206">
        <v>15.13</v>
      </c>
      <c r="AQ206">
        <v>10</v>
      </c>
      <c r="AR206">
        <f>AQ206*D206*3</f>
        <v>108</v>
      </c>
      <c r="AT206">
        <v>7.5</v>
      </c>
      <c r="AU206">
        <f>AT206*D206*3</f>
        <v>81</v>
      </c>
      <c r="AW206">
        <v>23.23</v>
      </c>
      <c r="AX206">
        <v>9.6</v>
      </c>
      <c r="AY206">
        <f>AX206*D206*3</f>
        <v>103.68</v>
      </c>
      <c r="AZ206">
        <v>23.23</v>
      </c>
      <c r="BA206">
        <v>8.4</v>
      </c>
      <c r="BB206">
        <f>BA206*D206*3</f>
        <v>90.72</v>
      </c>
      <c r="BD206">
        <v>8.1</v>
      </c>
      <c r="BE206">
        <f>BD206*D206*3</f>
        <v>87.48</v>
      </c>
      <c r="BG206" s="10"/>
      <c r="BH206" s="1">
        <f>CHOOSE(MATCH(MIN(ABS(BP206-C206),ABS(BQ206-C206),ABS(BR206-C206)),CHOOSE({1;2;3},ABS(BP206-C206),ABS(BQ206-C206),ABS(BR206-C206)),0),BP206,BQ206,BR206)</f>
        <v>75.600000000000009</v>
      </c>
      <c r="BJ206" s="1" cm="1">
        <f t="array" ref="BJ206">(INDEX(_xlfn._xlws.SORT(CHOOSE({1;2;3;4;5;6},BQ206,BR206,L206,AE206,BO206,BP206)),3) + INDEX(_xlfn._xlws.SORT(CHOOSE({1;2;3;4;5;6},BQ206,BR206,L206,AE206,BO206,BP206)),4))/2</f>
        <v>86.4</v>
      </c>
      <c r="BK206">
        <v>7.4654426987573004</v>
      </c>
      <c r="BL206" t="s">
        <v>6117</v>
      </c>
      <c r="BM206" s="1">
        <f>BK206*3*D206</f>
        <v>80.62678114657885</v>
      </c>
      <c r="BN206" s="1">
        <f>BM206-C206</f>
        <v>-0.37321885342115024</v>
      </c>
      <c r="BO206" s="1">
        <f>GK206*3*D206</f>
        <v>78.84</v>
      </c>
      <c r="BP206" s="1">
        <f>DO206*3*D206</f>
        <v>97.2</v>
      </c>
      <c r="BQ206" s="1">
        <f>FJ206*3*D206</f>
        <v>86.4</v>
      </c>
      <c r="BR206" s="1">
        <f>GL206*3*D206</f>
        <v>75.600000000000009</v>
      </c>
      <c r="BT206">
        <v>36.130000000000003</v>
      </c>
      <c r="BU206">
        <v>8.1999999999999993</v>
      </c>
      <c r="BV206" t="s">
        <v>5018</v>
      </c>
      <c r="BW206" t="s">
        <v>5019</v>
      </c>
      <c r="BX206" t="s">
        <v>5020</v>
      </c>
      <c r="BY206" t="s">
        <v>5670</v>
      </c>
      <c r="BZ206" t="s">
        <v>5022</v>
      </c>
      <c r="CA206" t="s">
        <v>2437</v>
      </c>
      <c r="CC206" t="s">
        <v>2507</v>
      </c>
      <c r="CD206" t="s">
        <v>2508</v>
      </c>
      <c r="CE206" t="s">
        <v>2440</v>
      </c>
      <c r="CG206" t="s">
        <v>2509</v>
      </c>
      <c r="CH206" t="s">
        <v>2510</v>
      </c>
      <c r="CI206" t="s">
        <v>2443</v>
      </c>
      <c r="CK206" t="s">
        <v>2520</v>
      </c>
      <c r="CL206" t="s">
        <v>2512</v>
      </c>
      <c r="CM206" t="s">
        <v>2446</v>
      </c>
      <c r="CO206" t="s">
        <v>2513</v>
      </c>
      <c r="CP206" t="s">
        <v>2514</v>
      </c>
      <c r="CQ206" t="s">
        <v>2449</v>
      </c>
      <c r="CS206" t="s">
        <v>2523</v>
      </c>
      <c r="CT206" t="s">
        <v>2524</v>
      </c>
      <c r="CV206">
        <v>9</v>
      </c>
      <c r="CW206">
        <v>9</v>
      </c>
      <c r="CX206">
        <v>9</v>
      </c>
      <c r="CY206">
        <v>9</v>
      </c>
      <c r="CZ206">
        <v>9</v>
      </c>
      <c r="DA206">
        <v>0.1</v>
      </c>
      <c r="DB206">
        <v>0.1</v>
      </c>
      <c r="DC206">
        <v>0.2</v>
      </c>
      <c r="DD206">
        <v>0.3</v>
      </c>
      <c r="DE206">
        <v>0.3</v>
      </c>
      <c r="DF206">
        <v>0.9</v>
      </c>
      <c r="DG206">
        <v>0.9</v>
      </c>
      <c r="DH206">
        <v>1.8</v>
      </c>
      <c r="DI206">
        <v>2.7</v>
      </c>
      <c r="DJ206">
        <v>2.7</v>
      </c>
      <c r="DK206">
        <v>8.1999999999999993</v>
      </c>
      <c r="DL206">
        <v>0</v>
      </c>
      <c r="DM206">
        <v>8.1999999999999993</v>
      </c>
      <c r="DN206">
        <v>8.4</v>
      </c>
      <c r="DO206">
        <f>AVERAGE(CV206:CZ206)</f>
        <v>9</v>
      </c>
      <c r="DQ206">
        <v>8</v>
      </c>
      <c r="DR206" t="s">
        <v>217</v>
      </c>
      <c r="DS206" t="s">
        <v>61</v>
      </c>
      <c r="DT206" t="s">
        <v>54</v>
      </c>
      <c r="DU206" t="s">
        <v>218</v>
      </c>
      <c r="DV206" t="s">
        <v>219</v>
      </c>
      <c r="DW206" t="s">
        <v>3836</v>
      </c>
      <c r="DX206" t="s">
        <v>3858</v>
      </c>
      <c r="DY206" t="s">
        <v>4233</v>
      </c>
      <c r="DZ206" t="s">
        <v>4253</v>
      </c>
      <c r="EA206" t="s">
        <v>3860</v>
      </c>
      <c r="EB206" t="s">
        <v>3840</v>
      </c>
      <c r="EC206" t="s">
        <v>4254</v>
      </c>
      <c r="ED206" t="s">
        <v>4254</v>
      </c>
      <c r="EE206" t="s">
        <v>3843</v>
      </c>
      <c r="EF206" t="s">
        <v>3844</v>
      </c>
      <c r="EG206" t="s">
        <v>4255</v>
      </c>
      <c r="EH206" t="s">
        <v>4255</v>
      </c>
      <c r="EI206" t="s">
        <v>4256</v>
      </c>
      <c r="EJ206" t="s">
        <v>3848</v>
      </c>
      <c r="EK206" t="s">
        <v>4257</v>
      </c>
      <c r="EL206" t="s">
        <v>4257</v>
      </c>
      <c r="EM206" t="s">
        <v>3989</v>
      </c>
      <c r="EN206" t="s">
        <v>3852</v>
      </c>
      <c r="EO206" t="s">
        <v>4258</v>
      </c>
      <c r="EP206" t="s">
        <v>4258</v>
      </c>
      <c r="EQ206">
        <v>8</v>
      </c>
      <c r="ER206">
        <v>8</v>
      </c>
      <c r="ES206">
        <v>8</v>
      </c>
      <c r="ET206">
        <v>8</v>
      </c>
      <c r="EU206">
        <v>8</v>
      </c>
      <c r="EV206">
        <v>0.1</v>
      </c>
      <c r="EW206">
        <v>0.1</v>
      </c>
      <c r="EX206">
        <v>0.2</v>
      </c>
      <c r="EY206">
        <v>0.3</v>
      </c>
      <c r="EZ206">
        <v>0.3</v>
      </c>
      <c r="FA206">
        <f>EV206*EQ206</f>
        <v>0.8</v>
      </c>
      <c r="FB206">
        <f>EW206*ER206</f>
        <v>0.8</v>
      </c>
      <c r="FC206">
        <f>EX206*ES206</f>
        <v>1.6</v>
      </c>
      <c r="FD206">
        <f>EY206*ET206</f>
        <v>2.4</v>
      </c>
      <c r="FE206">
        <f>EZ206*EU206</f>
        <v>2.4</v>
      </c>
      <c r="FF206">
        <v>16</v>
      </c>
      <c r="FG206">
        <v>0</v>
      </c>
      <c r="FH206">
        <v>8</v>
      </c>
      <c r="FI206">
        <f>FA206+FB206+FC206+FD206+FE206</f>
        <v>8</v>
      </c>
      <c r="FJ206">
        <f>MEDIAN(EQ206:EU206)</f>
        <v>8</v>
      </c>
      <c r="FL206">
        <v>41.88</v>
      </c>
      <c r="FM206">
        <v>9</v>
      </c>
      <c r="FN206" t="s">
        <v>1572</v>
      </c>
      <c r="FO206" t="s">
        <v>1573</v>
      </c>
      <c r="FP206" t="s">
        <v>1574</v>
      </c>
      <c r="FQ206" t="s">
        <v>1575</v>
      </c>
      <c r="FR206" t="s">
        <v>1576</v>
      </c>
      <c r="FS206">
        <v>5</v>
      </c>
      <c r="FT206">
        <v>8</v>
      </c>
      <c r="FU206">
        <v>6</v>
      </c>
      <c r="FV206">
        <v>7</v>
      </c>
      <c r="FW206">
        <v>9</v>
      </c>
      <c r="FX206">
        <v>0.1</v>
      </c>
      <c r="FY206">
        <v>0.1</v>
      </c>
      <c r="FZ206">
        <v>0.2</v>
      </c>
      <c r="GA206">
        <v>0.3</v>
      </c>
      <c r="GB206">
        <v>0.3</v>
      </c>
      <c r="GC206">
        <f>FS206*FX206</f>
        <v>0.5</v>
      </c>
      <c r="GD206">
        <f>FT206*FY206</f>
        <v>0.8</v>
      </c>
      <c r="GE206">
        <f>FU206*FZ206</f>
        <v>1.2000000000000002</v>
      </c>
      <c r="GF206">
        <f>FV206*GA206</f>
        <v>2.1</v>
      </c>
      <c r="GG206">
        <f>FW206*GB206</f>
        <v>2.6999999999999997</v>
      </c>
      <c r="GH206">
        <v>8.5</v>
      </c>
      <c r="GJ206">
        <v>9</v>
      </c>
      <c r="GK206">
        <f>GC206+GD206+GE206+GF206+GG206</f>
        <v>7.2999999999999989</v>
      </c>
      <c r="GL206">
        <f>MEDIAN(FS206:FW206)</f>
        <v>7</v>
      </c>
    </row>
    <row r="207" spans="1:194" x14ac:dyDescent="0.25">
      <c r="A207">
        <v>102</v>
      </c>
      <c r="B207" t="s">
        <v>2</v>
      </c>
      <c r="C207" s="4">
        <v>77.7</v>
      </c>
      <c r="D207">
        <v>3.7</v>
      </c>
      <c r="E207" s="1">
        <f>C207/3/D207</f>
        <v>7</v>
      </c>
      <c r="G207">
        <v>79.8</v>
      </c>
      <c r="H207">
        <v>8.1999999999999993</v>
      </c>
      <c r="I207">
        <f>H207*D207*3</f>
        <v>91.02</v>
      </c>
      <c r="J207">
        <v>16.68</v>
      </c>
      <c r="K207">
        <v>8.4</v>
      </c>
      <c r="L207" s="3">
        <f>K207*3*D207</f>
        <v>93.240000000000009</v>
      </c>
      <c r="M207">
        <v>5.49</v>
      </c>
      <c r="N207">
        <v>5.5</v>
      </c>
      <c r="O207">
        <f>N207*D207*3</f>
        <v>61.050000000000004</v>
      </c>
      <c r="P207" s="5">
        <v>8.5</v>
      </c>
      <c r="Q207" s="5">
        <f>P207*D207*3</f>
        <v>94.350000000000009</v>
      </c>
      <c r="S207" t="s">
        <v>6187</v>
      </c>
      <c r="T207">
        <v>7.4</v>
      </c>
      <c r="U207" s="8">
        <f>T207*D207*3</f>
        <v>82.140000000000015</v>
      </c>
      <c r="V207">
        <v>45.33</v>
      </c>
      <c r="W207">
        <v>8.4</v>
      </c>
      <c r="X207" s="5">
        <f>W207*D207*3</f>
        <v>93.240000000000009</v>
      </c>
      <c r="Y207">
        <v>8.7799999999999994</v>
      </c>
      <c r="Z207">
        <v>6</v>
      </c>
      <c r="AA207">
        <f>Z207*D207*3</f>
        <v>66.600000000000009</v>
      </c>
      <c r="AC207">
        <v>48.57</v>
      </c>
      <c r="AD207">
        <v>8</v>
      </c>
      <c r="AE207" s="1">
        <f>AD207*3*D207</f>
        <v>88.800000000000011</v>
      </c>
      <c r="AF207">
        <v>11.94</v>
      </c>
      <c r="AG207" s="5">
        <v>7</v>
      </c>
      <c r="AH207" s="5">
        <f>AG207*D207*3</f>
        <v>77.7</v>
      </c>
      <c r="AI207" s="13"/>
      <c r="AJ207">
        <v>5.2</v>
      </c>
      <c r="AK207" s="8">
        <f>AJ207*D207*3</f>
        <v>57.720000000000006</v>
      </c>
      <c r="AL207" s="13"/>
      <c r="AM207">
        <v>31.05</v>
      </c>
      <c r="AN207">
        <v>7.3</v>
      </c>
      <c r="AO207" s="8">
        <f>AN207*D207*3</f>
        <v>81.03</v>
      </c>
      <c r="AP207">
        <v>14.8</v>
      </c>
      <c r="AQ207">
        <v>10</v>
      </c>
      <c r="AR207">
        <f>AQ207*D207*3</f>
        <v>111</v>
      </c>
      <c r="AT207">
        <v>9</v>
      </c>
      <c r="AU207">
        <f>AT207*D207*3</f>
        <v>99.9</v>
      </c>
      <c r="AW207">
        <v>25.93</v>
      </c>
      <c r="AX207">
        <v>9.1</v>
      </c>
      <c r="AY207">
        <f>AX207*D207*3</f>
        <v>101.01</v>
      </c>
      <c r="AZ207">
        <v>25.93</v>
      </c>
      <c r="BA207">
        <v>9</v>
      </c>
      <c r="BB207">
        <f>BA207*D207*3</f>
        <v>99.9</v>
      </c>
      <c r="BD207">
        <v>8.9</v>
      </c>
      <c r="BE207">
        <f>BD207*D207*3</f>
        <v>98.789999999999992</v>
      </c>
      <c r="BG207" s="10"/>
      <c r="BH207" s="1">
        <f>CHOOSE(MATCH(MIN(ABS(BP207-C207),ABS(BQ207-C207),ABS(BR207-C207)),CHOOSE({1;2;3},ABS(BP207-C207),ABS(BQ207-C207),ABS(BR207-C207)),0),BP207,BQ207,BR207)</f>
        <v>88.800000000000011</v>
      </c>
      <c r="BJ207" s="1" cm="1">
        <f t="array" ref="BJ207">(INDEX(_xlfn._xlws.SORT(CHOOSE({1;2;3;4;5;6},BQ207,BR207,L207,AE207,BO207,BP207)),3) + INDEX(_xlfn._xlws.SORT(CHOOSE({1;2;3;4;5;6},BQ207,BR207,L207,AE207,BO207,BP207)),4))/2</f>
        <v>88.800000000000011</v>
      </c>
      <c r="BK207">
        <v>7.1917929223630797</v>
      </c>
      <c r="BL207" s="11" t="s">
        <v>6116</v>
      </c>
      <c r="BM207" s="1">
        <f>BK207*3*D207</f>
        <v>79.82890143823019</v>
      </c>
      <c r="BN207" s="1">
        <f>BM207-C207</f>
        <v>2.1289014382301872</v>
      </c>
      <c r="BO207" s="1">
        <f>GK207*3*D207</f>
        <v>85.470000000000013</v>
      </c>
      <c r="BP207" s="1">
        <f>DO207*3*D207</f>
        <v>99.9</v>
      </c>
      <c r="BQ207" s="1">
        <f>FJ207*3*D207</f>
        <v>88.800000000000011</v>
      </c>
      <c r="BR207" s="1">
        <f>GL207*3*D207</f>
        <v>88.800000000000011</v>
      </c>
      <c r="BT207">
        <v>79.8</v>
      </c>
      <c r="BU207">
        <v>8.1999999999999993</v>
      </c>
      <c r="BV207" t="s">
        <v>4991</v>
      </c>
      <c r="BW207" t="s">
        <v>4992</v>
      </c>
      <c r="BX207" t="s">
        <v>5226</v>
      </c>
      <c r="BY207" t="s">
        <v>4994</v>
      </c>
      <c r="BZ207" t="s">
        <v>5227</v>
      </c>
      <c r="CA207" t="s">
        <v>2550</v>
      </c>
      <c r="CC207" t="s">
        <v>2634</v>
      </c>
      <c r="CD207" t="s">
        <v>2635</v>
      </c>
      <c r="CE207" t="s">
        <v>3034</v>
      </c>
      <c r="CG207" t="s">
        <v>2634</v>
      </c>
      <c r="CH207" t="s">
        <v>2637</v>
      </c>
      <c r="CI207" t="s">
        <v>2867</v>
      </c>
      <c r="CK207" t="s">
        <v>2634</v>
      </c>
      <c r="CL207" t="s">
        <v>2669</v>
      </c>
      <c r="CM207" t="s">
        <v>2868</v>
      </c>
      <c r="CO207" t="s">
        <v>2634</v>
      </c>
      <c r="CP207" t="s">
        <v>3035</v>
      </c>
      <c r="CQ207" t="s">
        <v>2985</v>
      </c>
      <c r="CR207" t="s">
        <v>3036</v>
      </c>
      <c r="CS207" t="s">
        <v>2634</v>
      </c>
      <c r="CT207" t="s">
        <v>2645</v>
      </c>
      <c r="CV207">
        <v>9</v>
      </c>
      <c r="CW207">
        <v>9</v>
      </c>
      <c r="CX207">
        <v>9</v>
      </c>
      <c r="CY207">
        <v>9</v>
      </c>
      <c r="CZ207">
        <v>9</v>
      </c>
      <c r="DA207">
        <v>0.1</v>
      </c>
      <c r="DB207">
        <v>0.1</v>
      </c>
      <c r="DC207">
        <v>0.2</v>
      </c>
      <c r="DD207">
        <v>0.3</v>
      </c>
      <c r="DE207">
        <v>0.3</v>
      </c>
      <c r="DF207">
        <v>0.9</v>
      </c>
      <c r="DG207">
        <v>0.9</v>
      </c>
      <c r="DH207">
        <v>1.8</v>
      </c>
      <c r="DI207">
        <v>2.7</v>
      </c>
      <c r="DJ207">
        <v>2.7</v>
      </c>
      <c r="DK207">
        <v>8.1999999999999993</v>
      </c>
      <c r="DL207">
        <v>0</v>
      </c>
      <c r="DM207">
        <v>8.1999999999999993</v>
      </c>
      <c r="DN207">
        <v>8.4</v>
      </c>
      <c r="DO207">
        <f>AVERAGE(CV207:CZ207)</f>
        <v>9</v>
      </c>
      <c r="DQ207" t="s">
        <v>27</v>
      </c>
      <c r="DR207" t="s">
        <v>33</v>
      </c>
      <c r="DS207" t="s">
        <v>258</v>
      </c>
      <c r="DT207" t="s">
        <v>259</v>
      </c>
      <c r="DU207" t="s">
        <v>260</v>
      </c>
      <c r="DV207" t="s">
        <v>261</v>
      </c>
      <c r="DW207" t="s">
        <v>3788</v>
      </c>
      <c r="DX207" t="s">
        <v>3789</v>
      </c>
      <c r="DY207" t="s">
        <v>4361</v>
      </c>
      <c r="DZ207" t="s">
        <v>4362</v>
      </c>
      <c r="EA207" t="s">
        <v>3952</v>
      </c>
      <c r="EB207" t="s">
        <v>4363</v>
      </c>
      <c r="EC207" t="s">
        <v>4364</v>
      </c>
      <c r="ED207" t="s">
        <v>4365</v>
      </c>
      <c r="EE207" t="s">
        <v>4366</v>
      </c>
      <c r="EF207" t="s">
        <v>4367</v>
      </c>
      <c r="EG207" t="s">
        <v>4368</v>
      </c>
      <c r="EH207" t="s">
        <v>4365</v>
      </c>
      <c r="EI207" t="s">
        <v>4369</v>
      </c>
      <c r="EJ207" t="s">
        <v>4370</v>
      </c>
      <c r="EK207" t="s">
        <v>4371</v>
      </c>
      <c r="EL207" t="s">
        <v>4365</v>
      </c>
      <c r="EM207" t="s">
        <v>4372</v>
      </c>
      <c r="EN207" t="s">
        <v>4373</v>
      </c>
      <c r="EO207" t="s">
        <v>4374</v>
      </c>
      <c r="EP207" t="s">
        <v>4375</v>
      </c>
      <c r="EQ207">
        <v>8</v>
      </c>
      <c r="ER207">
        <v>8</v>
      </c>
      <c r="ES207">
        <v>8</v>
      </c>
      <c r="ET207">
        <v>8</v>
      </c>
      <c r="EU207">
        <v>8</v>
      </c>
      <c r="EV207">
        <v>0.1</v>
      </c>
      <c r="EW207">
        <v>0.1</v>
      </c>
      <c r="EX207">
        <v>0.2</v>
      </c>
      <c r="EY207">
        <v>0.3</v>
      </c>
      <c r="EZ207">
        <v>0.3</v>
      </c>
      <c r="FA207">
        <f>EV207*EQ207</f>
        <v>0.8</v>
      </c>
      <c r="FB207">
        <f>EW207*ER207</f>
        <v>0.8</v>
      </c>
      <c r="FC207">
        <f>EX207*ES207</f>
        <v>1.6</v>
      </c>
      <c r="FD207">
        <f>EY207*ET207</f>
        <v>2.4</v>
      </c>
      <c r="FE207">
        <f>EZ207*EU207</f>
        <v>2.4</v>
      </c>
      <c r="FF207">
        <v>16</v>
      </c>
      <c r="FG207">
        <v>0</v>
      </c>
      <c r="FH207">
        <v>8</v>
      </c>
      <c r="FI207">
        <f>FA207+FB207+FC207+FD207+FE207</f>
        <v>8</v>
      </c>
      <c r="FJ207">
        <f>MEDIAN(EQ207:EU207)</f>
        <v>8</v>
      </c>
      <c r="FL207">
        <v>80.25</v>
      </c>
      <c r="FM207">
        <v>7.7</v>
      </c>
      <c r="FN207" t="s">
        <v>1087</v>
      </c>
      <c r="FO207" t="s">
        <v>1088</v>
      </c>
      <c r="FP207" t="s">
        <v>1089</v>
      </c>
      <c r="FQ207" t="s">
        <v>1090</v>
      </c>
      <c r="FR207" t="s">
        <v>1091</v>
      </c>
      <c r="FS207">
        <v>8</v>
      </c>
      <c r="FT207">
        <v>9</v>
      </c>
      <c r="FU207">
        <v>7.5</v>
      </c>
      <c r="FV207">
        <v>8.5</v>
      </c>
      <c r="FW207">
        <v>6.5</v>
      </c>
      <c r="FX207">
        <v>0.1</v>
      </c>
      <c r="FY207">
        <v>0.1</v>
      </c>
      <c r="FZ207">
        <v>0.2</v>
      </c>
      <c r="GA207">
        <v>0.3</v>
      </c>
      <c r="GB207">
        <v>0.3</v>
      </c>
      <c r="GC207">
        <f>FS207*FX207</f>
        <v>0.8</v>
      </c>
      <c r="GD207">
        <f>FT207*FY207</f>
        <v>0.9</v>
      </c>
      <c r="GE207">
        <f>FU207*FZ207</f>
        <v>1.5</v>
      </c>
      <c r="GF207">
        <f>FV207*GA207</f>
        <v>2.5499999999999998</v>
      </c>
      <c r="GG207">
        <f>FW207*GB207</f>
        <v>1.95</v>
      </c>
      <c r="GH207">
        <v>7.75</v>
      </c>
      <c r="GJ207">
        <v>7.7</v>
      </c>
      <c r="GK207">
        <f>GC207+GD207+GE207+GF207+GG207</f>
        <v>7.7</v>
      </c>
      <c r="GL207">
        <f>MEDIAN(FS207:FW207)</f>
        <v>8</v>
      </c>
    </row>
    <row r="208" spans="1:194" hidden="1" x14ac:dyDescent="0.25">
      <c r="A208">
        <v>207</v>
      </c>
      <c r="B208" t="s">
        <v>2</v>
      </c>
      <c r="C208" s="4">
        <v>81.599999999999994</v>
      </c>
      <c r="D208">
        <v>3.2</v>
      </c>
      <c r="E208" s="1">
        <f>C208/3/D208</f>
        <v>8.5</v>
      </c>
      <c r="G208">
        <v>40.11</v>
      </c>
      <c r="H208">
        <v>8.1999999999999993</v>
      </c>
      <c r="I208">
        <f>H208*D208*3</f>
        <v>78.72</v>
      </c>
      <c r="J208">
        <v>15.75</v>
      </c>
      <c r="K208">
        <v>9</v>
      </c>
      <c r="L208" s="3">
        <f>K208*3*D208</f>
        <v>86.4</v>
      </c>
      <c r="M208">
        <v>4.59</v>
      </c>
      <c r="N208">
        <v>3</v>
      </c>
      <c r="O208">
        <f>N208*D208*3</f>
        <v>28.800000000000004</v>
      </c>
      <c r="P208" s="5">
        <v>7</v>
      </c>
      <c r="Q208" s="5">
        <f>P208*D208*3</f>
        <v>67.2</v>
      </c>
      <c r="S208" t="s">
        <v>6339</v>
      </c>
      <c r="T208">
        <v>7.2</v>
      </c>
      <c r="U208" s="8">
        <f>T208*D208*3</f>
        <v>69.12</v>
      </c>
      <c r="V208">
        <v>31.15</v>
      </c>
      <c r="W208">
        <v>8</v>
      </c>
      <c r="X208" s="5">
        <f>W208*D208*3</f>
        <v>76.800000000000011</v>
      </c>
      <c r="Y208">
        <v>9.1199999999999992</v>
      </c>
      <c r="Z208">
        <v>6</v>
      </c>
      <c r="AA208">
        <f>Z208*D208*3</f>
        <v>57.600000000000009</v>
      </c>
      <c r="AC208">
        <v>46.12</v>
      </c>
      <c r="AD208">
        <v>8</v>
      </c>
      <c r="AE208" s="1">
        <f>AD208*3*D208</f>
        <v>76.800000000000011</v>
      </c>
      <c r="AF208">
        <v>11.88</v>
      </c>
      <c r="AG208" s="5">
        <v>7</v>
      </c>
      <c r="AH208" s="5">
        <f>AG208*D208*3</f>
        <v>67.2</v>
      </c>
      <c r="AI208" s="13"/>
      <c r="AK208" s="8">
        <f>AJ208*D208*3</f>
        <v>0</v>
      </c>
      <c r="AL208" s="13"/>
      <c r="AM208">
        <v>31.85</v>
      </c>
      <c r="AN208">
        <v>5.0999999999999996</v>
      </c>
      <c r="AO208" s="8">
        <f>AN208*D208*3</f>
        <v>48.96</v>
      </c>
      <c r="AP208">
        <v>15.19</v>
      </c>
      <c r="AQ208">
        <v>9.5</v>
      </c>
      <c r="AR208">
        <f>AQ208*D208*3</f>
        <v>91.2</v>
      </c>
      <c r="AT208">
        <v>8.8000000000000007</v>
      </c>
      <c r="AU208">
        <f>AT208*D208*3</f>
        <v>84.480000000000018</v>
      </c>
      <c r="AW208">
        <v>26.32</v>
      </c>
      <c r="AX208">
        <v>9.1999999999999993</v>
      </c>
      <c r="AY208">
        <f>AX208*D208*3</f>
        <v>88.32</v>
      </c>
      <c r="AZ208">
        <v>26.32</v>
      </c>
      <c r="BA208">
        <v>9.4</v>
      </c>
      <c r="BB208">
        <f>BA208*D208*3</f>
        <v>90.240000000000009</v>
      </c>
      <c r="BD208">
        <v>9</v>
      </c>
      <c r="BE208">
        <f>BD208*D208*3</f>
        <v>86.4</v>
      </c>
      <c r="BG208" s="10"/>
      <c r="BH208" s="1">
        <f>CHOOSE(MATCH(MIN(ABS(BP208-C208),ABS(BQ208-C208),ABS(BR208-C208)),CHOOSE({1;2;3},ABS(BP208-C208),ABS(BQ208-C208),ABS(BR208-C208)),0),BP208,BQ208,BR208)</f>
        <v>76.800000000000011</v>
      </c>
      <c r="BJ208" s="1" cm="1">
        <f t="array" ref="BJ208">(INDEX(_xlfn._xlws.SORT(CHOOSE({1;2;3;4;5;6},BQ208,BR208,L208,AE208,BO208,BP208)),3) + INDEX(_xlfn._xlws.SORT(CHOOSE({1;2;3;4;5;6},BQ208,BR208,L208,AE208,BO208,BP208)),4))/2</f>
        <v>76.800000000000011</v>
      </c>
      <c r="BK208">
        <v>8.4931301303186704</v>
      </c>
      <c r="BL208" t="s">
        <v>6117</v>
      </c>
      <c r="BM208" s="1">
        <f>BK208*3*D208</f>
        <v>81.534049251059244</v>
      </c>
      <c r="BN208" s="1">
        <f>BM208-C208</f>
        <v>-6.5950748940750259E-2</v>
      </c>
      <c r="BO208" s="1">
        <f>GK208*3*D208</f>
        <v>49.919999999999995</v>
      </c>
      <c r="BP208" s="1">
        <f>DO208*3*D208</f>
        <v>86.4</v>
      </c>
      <c r="BQ208" s="1">
        <f>FJ208*3*D208</f>
        <v>76.800000000000011</v>
      </c>
      <c r="BR208" s="1">
        <f>GL208*3*D208</f>
        <v>38.400000000000006</v>
      </c>
      <c r="BT208">
        <v>40.11</v>
      </c>
      <c r="BU208">
        <v>8.1999999999999993</v>
      </c>
      <c r="BV208" t="s">
        <v>5671</v>
      </c>
      <c r="BW208" t="s">
        <v>5672</v>
      </c>
      <c r="BX208" t="s">
        <v>5673</v>
      </c>
      <c r="BY208" t="s">
        <v>5674</v>
      </c>
      <c r="BZ208" t="s">
        <v>5675</v>
      </c>
      <c r="CA208" t="s">
        <v>3313</v>
      </c>
      <c r="CC208" t="s">
        <v>3314</v>
      </c>
      <c r="CD208" t="s">
        <v>3314</v>
      </c>
      <c r="CE208" t="s">
        <v>2619</v>
      </c>
      <c r="CG208" t="s">
        <v>3315</v>
      </c>
      <c r="CH208" t="s">
        <v>3315</v>
      </c>
      <c r="CI208" t="s">
        <v>3316</v>
      </c>
      <c r="CK208" t="s">
        <v>3317</v>
      </c>
      <c r="CL208" t="s">
        <v>3317</v>
      </c>
      <c r="CM208" t="s">
        <v>3318</v>
      </c>
      <c r="CO208" t="s">
        <v>3319</v>
      </c>
      <c r="CP208" t="s">
        <v>3319</v>
      </c>
      <c r="CQ208" t="s">
        <v>3320</v>
      </c>
      <c r="CS208" t="s">
        <v>3321</v>
      </c>
      <c r="CT208" t="s">
        <v>3321</v>
      </c>
      <c r="CV208">
        <v>9</v>
      </c>
      <c r="CW208">
        <v>9</v>
      </c>
      <c r="CX208">
        <v>9</v>
      </c>
      <c r="CY208">
        <v>9</v>
      </c>
      <c r="CZ208">
        <v>9</v>
      </c>
      <c r="DA208">
        <v>0.1</v>
      </c>
      <c r="DB208">
        <v>0.1</v>
      </c>
      <c r="DC208">
        <v>0.2</v>
      </c>
      <c r="DD208">
        <v>0.3</v>
      </c>
      <c r="DE208">
        <v>0.3</v>
      </c>
      <c r="DF208">
        <v>0.9</v>
      </c>
      <c r="DG208">
        <v>0.9</v>
      </c>
      <c r="DH208">
        <v>1.8</v>
      </c>
      <c r="DI208">
        <v>2.7</v>
      </c>
      <c r="DJ208">
        <v>2.7</v>
      </c>
      <c r="DK208">
        <v>8.1999999999999993</v>
      </c>
      <c r="DL208">
        <v>0</v>
      </c>
      <c r="DM208">
        <v>8.1999999999999993</v>
      </c>
      <c r="DN208">
        <v>9</v>
      </c>
      <c r="DO208">
        <f>AVERAGE(CV208:CZ208)</f>
        <v>9</v>
      </c>
      <c r="DQ208">
        <v>8</v>
      </c>
      <c r="DR208" t="s">
        <v>73</v>
      </c>
      <c r="DS208" t="s">
        <v>48</v>
      </c>
      <c r="DT208" t="s">
        <v>49</v>
      </c>
      <c r="DU208" t="s">
        <v>50</v>
      </c>
      <c r="DV208" t="s">
        <v>319</v>
      </c>
      <c r="DW208" t="s">
        <v>3769</v>
      </c>
      <c r="DX208" t="s">
        <v>3789</v>
      </c>
      <c r="DY208" t="s">
        <v>3826</v>
      </c>
      <c r="DZ208" t="s">
        <v>3827</v>
      </c>
      <c r="EA208" t="s">
        <v>3828</v>
      </c>
      <c r="EB208" t="s">
        <v>3793</v>
      </c>
      <c r="EC208" t="s">
        <v>3829</v>
      </c>
      <c r="ED208" t="s">
        <v>3827</v>
      </c>
      <c r="EE208" t="s">
        <v>3830</v>
      </c>
      <c r="EF208" t="s">
        <v>3797</v>
      </c>
      <c r="EG208" t="s">
        <v>3831</v>
      </c>
      <c r="EH208" t="s">
        <v>3827</v>
      </c>
      <c r="EI208" t="s">
        <v>3832</v>
      </c>
      <c r="EJ208" t="s">
        <v>3800</v>
      </c>
      <c r="EK208" t="s">
        <v>3833</v>
      </c>
      <c r="EL208" t="s">
        <v>3827</v>
      </c>
      <c r="EM208" t="s">
        <v>4288</v>
      </c>
      <c r="EN208" t="s">
        <v>3803</v>
      </c>
      <c r="EO208" t="s">
        <v>3835</v>
      </c>
      <c r="EP208" t="s">
        <v>3827</v>
      </c>
      <c r="EQ208">
        <v>8</v>
      </c>
      <c r="ER208">
        <v>8</v>
      </c>
      <c r="ES208">
        <v>8</v>
      </c>
      <c r="ET208">
        <v>8</v>
      </c>
      <c r="EU208">
        <v>8</v>
      </c>
      <c r="EV208">
        <v>0.1</v>
      </c>
      <c r="EW208">
        <v>0.1</v>
      </c>
      <c r="EX208">
        <v>0.2</v>
      </c>
      <c r="EY208">
        <v>0.3</v>
      </c>
      <c r="EZ208">
        <v>0.3</v>
      </c>
      <c r="FA208">
        <f>EV208*EQ208</f>
        <v>0.8</v>
      </c>
      <c r="FB208">
        <f>EW208*ER208</f>
        <v>0.8</v>
      </c>
      <c r="FC208">
        <f>EX208*ES208</f>
        <v>1.6</v>
      </c>
      <c r="FD208">
        <f>EY208*ET208</f>
        <v>2.4</v>
      </c>
      <c r="FE208">
        <f>EZ208*EU208</f>
        <v>2.4</v>
      </c>
      <c r="FF208">
        <v>16</v>
      </c>
      <c r="FG208">
        <v>0</v>
      </c>
      <c r="FH208">
        <v>8</v>
      </c>
      <c r="FI208">
        <f>FA208+FB208+FC208+FD208+FE208</f>
        <v>8</v>
      </c>
      <c r="FJ208">
        <f>MEDIAN(EQ208:EU208)</f>
        <v>8</v>
      </c>
      <c r="FL208">
        <v>40.53</v>
      </c>
      <c r="FM208">
        <v>9</v>
      </c>
      <c r="FN208" t="s">
        <v>1582</v>
      </c>
      <c r="FO208" t="s">
        <v>1583</v>
      </c>
      <c r="FP208" t="s">
        <v>1584</v>
      </c>
      <c r="FQ208" t="s">
        <v>1585</v>
      </c>
      <c r="FR208" t="s">
        <v>1586</v>
      </c>
      <c r="FS208">
        <v>2</v>
      </c>
      <c r="FT208">
        <v>3</v>
      </c>
      <c r="FU208">
        <v>4</v>
      </c>
      <c r="FV208">
        <v>6</v>
      </c>
      <c r="FW208">
        <v>7</v>
      </c>
      <c r="FX208">
        <v>0.1</v>
      </c>
      <c r="FY208">
        <v>0.1</v>
      </c>
      <c r="FZ208">
        <v>0.2</v>
      </c>
      <c r="GA208">
        <v>0.3</v>
      </c>
      <c r="GB208">
        <v>0.3</v>
      </c>
      <c r="GC208">
        <f>FS208*FX208</f>
        <v>0.2</v>
      </c>
      <c r="GD208">
        <f>FT208*FY208</f>
        <v>0.30000000000000004</v>
      </c>
      <c r="GE208">
        <f>FU208*FZ208</f>
        <v>0.8</v>
      </c>
      <c r="GF208">
        <f>FV208*GA208</f>
        <v>1.7999999999999998</v>
      </c>
      <c r="GG208">
        <f>FW208*GB208</f>
        <v>2.1</v>
      </c>
      <c r="GH208">
        <v>9</v>
      </c>
      <c r="GI208">
        <v>0</v>
      </c>
      <c r="GJ208">
        <v>9</v>
      </c>
      <c r="GK208">
        <f>GC208+GD208+GE208+GF208+GG208</f>
        <v>5.1999999999999993</v>
      </c>
      <c r="GL208">
        <f>MEDIAN(FS208:FW208)</f>
        <v>4</v>
      </c>
    </row>
    <row r="209" spans="1:194" x14ac:dyDescent="0.25">
      <c r="A209">
        <v>119</v>
      </c>
      <c r="B209" t="s">
        <v>2</v>
      </c>
      <c r="C209" s="4">
        <v>83.25</v>
      </c>
      <c r="D209">
        <v>3.7</v>
      </c>
      <c r="E209" s="1">
        <f>C209/3/D209</f>
        <v>7.5</v>
      </c>
      <c r="G209">
        <v>35.75</v>
      </c>
      <c r="H209">
        <v>8.6999999999999993</v>
      </c>
      <c r="I209">
        <f>H209*D209*3</f>
        <v>96.57</v>
      </c>
      <c r="J209">
        <v>14.94</v>
      </c>
      <c r="K209">
        <v>7.7</v>
      </c>
      <c r="L209" s="3">
        <f>K209*3*D209</f>
        <v>85.470000000000013</v>
      </c>
      <c r="M209">
        <v>5.51</v>
      </c>
      <c r="N209">
        <v>5.4</v>
      </c>
      <c r="O209">
        <f>N209*D209*3</f>
        <v>59.940000000000012</v>
      </c>
      <c r="P209" s="5">
        <v>7</v>
      </c>
      <c r="Q209" s="5">
        <f>P209*D209*3</f>
        <v>77.7</v>
      </c>
      <c r="S209" t="s">
        <v>6254</v>
      </c>
      <c r="T209">
        <v>7.1</v>
      </c>
      <c r="U209" s="8">
        <f>T209*D209*3</f>
        <v>78.81</v>
      </c>
      <c r="V209">
        <v>31.51</v>
      </c>
      <c r="W209">
        <v>8.4</v>
      </c>
      <c r="X209" s="5">
        <f>W209*D209*3</f>
        <v>93.240000000000009</v>
      </c>
      <c r="Y209">
        <v>10.43</v>
      </c>
      <c r="Z209">
        <v>6</v>
      </c>
      <c r="AA209">
        <f>Z209*D209*3</f>
        <v>66.600000000000009</v>
      </c>
      <c r="AC209">
        <v>45.57</v>
      </c>
      <c r="AD209">
        <v>8</v>
      </c>
      <c r="AE209" s="1">
        <f>AD209*3*D209</f>
        <v>88.800000000000011</v>
      </c>
      <c r="AF209">
        <v>9.49</v>
      </c>
      <c r="AH209" s="5">
        <f>AG209*D209*3</f>
        <v>0</v>
      </c>
      <c r="AI209" s="13"/>
      <c r="AK209" s="8">
        <f>AJ209*D209*3</f>
        <v>0</v>
      </c>
      <c r="AL209" s="13"/>
      <c r="AM209">
        <v>31.05</v>
      </c>
      <c r="AN209">
        <v>6</v>
      </c>
      <c r="AO209" s="8">
        <f>AN209*D209*3</f>
        <v>66.600000000000009</v>
      </c>
      <c r="AP209">
        <v>14.32</v>
      </c>
      <c r="AQ209">
        <v>6.3</v>
      </c>
      <c r="AR209">
        <f>AQ209*D209*3</f>
        <v>69.929999999999993</v>
      </c>
      <c r="AT209">
        <v>8.6999999999999993</v>
      </c>
      <c r="AU209">
        <f>AT209*D209*3</f>
        <v>96.57</v>
      </c>
      <c r="AW209">
        <v>26.09</v>
      </c>
      <c r="AX209">
        <v>9.1</v>
      </c>
      <c r="AY209">
        <f>AX209*D209*3</f>
        <v>101.01</v>
      </c>
      <c r="AZ209">
        <v>26.09</v>
      </c>
      <c r="BA209">
        <v>9</v>
      </c>
      <c r="BB209">
        <f>BA209*D209*3</f>
        <v>99.9</v>
      </c>
      <c r="BD209">
        <v>9</v>
      </c>
      <c r="BE209">
        <f>BD209*D209*3</f>
        <v>99.9</v>
      </c>
      <c r="BG209" s="10"/>
      <c r="BH209" s="1">
        <f>CHOOSE(MATCH(MIN(ABS(BP209-C209),ABS(BQ209-C209),ABS(BR209-C209)),CHOOSE({1;2;3},ABS(BP209-C209),ABS(BQ209-C209),ABS(BR209-C209)),0),BP209,BQ209,BR209)</f>
        <v>88.800000000000011</v>
      </c>
      <c r="BJ209" s="1" cm="1">
        <f t="array" ref="BJ209">(INDEX(_xlfn._xlws.SORT(CHOOSE({1;2;3;4;5;6},BQ209,BR209,L209,AE209,BO209,BP209)),3) + INDEX(_xlfn._xlws.SORT(CHOOSE({1;2;3;4;5;6},BQ209,BR209,L209,AE209,BO209,BP209)),4))/2</f>
        <v>87.135000000000019</v>
      </c>
      <c r="BK209">
        <v>7.75322432401257</v>
      </c>
      <c r="BL209" s="11" t="s">
        <v>6116</v>
      </c>
      <c r="BM209" s="1">
        <f>BK209*3*D209</f>
        <v>86.060789996539526</v>
      </c>
      <c r="BN209" s="1">
        <f>BM209-C209</f>
        <v>2.8107899965395262</v>
      </c>
      <c r="BO209" s="1">
        <f>GK209*3*D209</f>
        <v>48.84</v>
      </c>
      <c r="BP209" s="1">
        <f>DO209*3*D209</f>
        <v>97.68</v>
      </c>
      <c r="BQ209" s="1">
        <f>FJ209*3*D209</f>
        <v>88.800000000000011</v>
      </c>
      <c r="BR209" s="1">
        <f>GL209*3*D209</f>
        <v>44.400000000000006</v>
      </c>
      <c r="BT209">
        <v>35.75</v>
      </c>
      <c r="BU209">
        <v>8.6999999999999993</v>
      </c>
      <c r="BV209" t="s">
        <v>5407</v>
      </c>
      <c r="BW209" t="s">
        <v>5408</v>
      </c>
      <c r="BX209" t="s">
        <v>5409</v>
      </c>
      <c r="BY209" t="s">
        <v>5410</v>
      </c>
      <c r="BZ209" t="s">
        <v>5411</v>
      </c>
      <c r="CA209" t="s">
        <v>2550</v>
      </c>
      <c r="CC209" t="s">
        <v>2634</v>
      </c>
      <c r="CD209" t="s">
        <v>3055</v>
      </c>
      <c r="CE209" t="s">
        <v>2482</v>
      </c>
      <c r="CG209" t="s">
        <v>2636</v>
      </c>
      <c r="CH209" t="s">
        <v>3056</v>
      </c>
      <c r="CI209" t="s">
        <v>3057</v>
      </c>
      <c r="CK209" t="s">
        <v>2927</v>
      </c>
      <c r="CL209" t="s">
        <v>3058</v>
      </c>
      <c r="CM209" t="s">
        <v>3059</v>
      </c>
      <c r="CO209" t="s">
        <v>3060</v>
      </c>
      <c r="CP209" t="s">
        <v>3061</v>
      </c>
      <c r="CQ209" t="s">
        <v>2769</v>
      </c>
      <c r="CR209" t="s">
        <v>3062</v>
      </c>
      <c r="CS209" t="s">
        <v>3063</v>
      </c>
      <c r="CT209" t="s">
        <v>3064</v>
      </c>
      <c r="CV209">
        <v>9</v>
      </c>
      <c r="CW209">
        <v>9</v>
      </c>
      <c r="CX209">
        <v>9</v>
      </c>
      <c r="CY209">
        <v>9</v>
      </c>
      <c r="CZ209">
        <v>8</v>
      </c>
      <c r="DA209">
        <v>0.1</v>
      </c>
      <c r="DB209">
        <v>0.1</v>
      </c>
      <c r="DC209">
        <v>0.2</v>
      </c>
      <c r="DD209">
        <v>0.3</v>
      </c>
      <c r="DE209">
        <v>0.3</v>
      </c>
      <c r="DF209">
        <v>0.9</v>
      </c>
      <c r="DG209">
        <v>0.9</v>
      </c>
      <c r="DH209">
        <v>1.8</v>
      </c>
      <c r="DI209">
        <v>2.7</v>
      </c>
      <c r="DJ209">
        <v>2.4</v>
      </c>
      <c r="DK209">
        <v>8.6999999999999993</v>
      </c>
      <c r="DL209">
        <v>0</v>
      </c>
      <c r="DM209">
        <v>8.6999999999999993</v>
      </c>
      <c r="DN209">
        <v>7.7</v>
      </c>
      <c r="DO209">
        <f>AVERAGE(CV209:CZ209)</f>
        <v>8.8000000000000007</v>
      </c>
      <c r="DQ209">
        <v>8</v>
      </c>
      <c r="DR209" t="s">
        <v>33</v>
      </c>
      <c r="DS209" t="s">
        <v>284</v>
      </c>
      <c r="DT209" t="s">
        <v>83</v>
      </c>
      <c r="DU209" t="s">
        <v>84</v>
      </c>
      <c r="DV209" t="s">
        <v>285</v>
      </c>
      <c r="DW209" t="s">
        <v>3788</v>
      </c>
      <c r="DX209" t="s">
        <v>3789</v>
      </c>
      <c r="DY209" t="s">
        <v>3790</v>
      </c>
      <c r="DZ209" t="s">
        <v>3992</v>
      </c>
      <c r="EA209" t="s">
        <v>3934</v>
      </c>
      <c r="EB209" t="s">
        <v>3793</v>
      </c>
      <c r="EC209" t="s">
        <v>3935</v>
      </c>
      <c r="ED209" t="s">
        <v>4440</v>
      </c>
      <c r="EE209" t="s">
        <v>3937</v>
      </c>
      <c r="EF209" t="s">
        <v>3797</v>
      </c>
      <c r="EG209" t="s">
        <v>3938</v>
      </c>
      <c r="EH209" t="s">
        <v>4441</v>
      </c>
      <c r="EI209" t="s">
        <v>3940</v>
      </c>
      <c r="EJ209" t="s">
        <v>3800</v>
      </c>
      <c r="EK209" t="s">
        <v>3941</v>
      </c>
      <c r="EL209" t="s">
        <v>4442</v>
      </c>
      <c r="EM209" t="s">
        <v>4443</v>
      </c>
      <c r="EN209" t="s">
        <v>3803</v>
      </c>
      <c r="EO209" t="s">
        <v>4444</v>
      </c>
      <c r="EP209" t="s">
        <v>4445</v>
      </c>
      <c r="EQ209">
        <v>8</v>
      </c>
      <c r="ER209">
        <v>8</v>
      </c>
      <c r="ES209">
        <v>8</v>
      </c>
      <c r="ET209">
        <v>8</v>
      </c>
      <c r="EU209">
        <v>8</v>
      </c>
      <c r="EV209">
        <v>0.1</v>
      </c>
      <c r="EW209">
        <v>0.1</v>
      </c>
      <c r="EX209">
        <v>0.2</v>
      </c>
      <c r="EY209">
        <v>0.3</v>
      </c>
      <c r="EZ209">
        <v>0.3</v>
      </c>
      <c r="FA209">
        <f>EV209*EQ209</f>
        <v>0.8</v>
      </c>
      <c r="FB209">
        <f>EW209*ER209</f>
        <v>0.8</v>
      </c>
      <c r="FC209">
        <f>EX209*ES209</f>
        <v>1.6</v>
      </c>
      <c r="FD209">
        <f>EY209*ET209</f>
        <v>2.4</v>
      </c>
      <c r="FE209">
        <f>EZ209*EU209</f>
        <v>2.4</v>
      </c>
      <c r="FF209">
        <v>17</v>
      </c>
      <c r="FG209">
        <v>0</v>
      </c>
      <c r="FH209">
        <v>8</v>
      </c>
      <c r="FI209">
        <f>FA209+FB209+FC209+FD209+FE209</f>
        <v>8</v>
      </c>
      <c r="FJ209">
        <f>MEDIAN(EQ209:EU209)</f>
        <v>8</v>
      </c>
      <c r="FL209">
        <v>39.770000000000003</v>
      </c>
      <c r="FM209">
        <v>7.9</v>
      </c>
      <c r="FN209" t="s">
        <v>1170</v>
      </c>
      <c r="FO209" t="s">
        <v>1171</v>
      </c>
      <c r="FP209" t="s">
        <v>1172</v>
      </c>
      <c r="FQ209" t="s">
        <v>1173</v>
      </c>
      <c r="FR209" t="s">
        <v>1174</v>
      </c>
      <c r="FS209">
        <v>4</v>
      </c>
      <c r="FT209">
        <v>3</v>
      </c>
      <c r="FU209">
        <v>2</v>
      </c>
      <c r="FV209">
        <v>5</v>
      </c>
      <c r="FW209">
        <v>6</v>
      </c>
      <c r="FX209">
        <v>0.1</v>
      </c>
      <c r="FY209">
        <v>0.1</v>
      </c>
      <c r="FZ209">
        <v>0.2</v>
      </c>
      <c r="GA209">
        <v>0.3</v>
      </c>
      <c r="GB209">
        <v>0.3</v>
      </c>
      <c r="GC209">
        <f>FS209*FX209</f>
        <v>0.4</v>
      </c>
      <c r="GD209">
        <f>FT209*FY209</f>
        <v>0.30000000000000004</v>
      </c>
      <c r="GE209">
        <f>FU209*FZ209</f>
        <v>0.4</v>
      </c>
      <c r="GF209">
        <f>FV209*GA209</f>
        <v>1.5</v>
      </c>
      <c r="GG209">
        <f>FW209*GB209</f>
        <v>1.7999999999999998</v>
      </c>
      <c r="GH209">
        <v>7.9</v>
      </c>
      <c r="GI209">
        <v>0</v>
      </c>
      <c r="GJ209">
        <v>7.9</v>
      </c>
      <c r="GK209">
        <f>GC209+GD209+GE209+GF209+GG209</f>
        <v>4.4000000000000004</v>
      </c>
      <c r="GL209">
        <f>MEDIAN(FS209:FW209)</f>
        <v>4</v>
      </c>
    </row>
    <row r="210" spans="1:194" hidden="1" x14ac:dyDescent="0.25">
      <c r="A210">
        <v>209</v>
      </c>
      <c r="B210" t="s">
        <v>2</v>
      </c>
      <c r="C210" s="4">
        <v>73.8</v>
      </c>
      <c r="D210">
        <v>3.6</v>
      </c>
      <c r="E210" s="1">
        <f>C210/3/D210</f>
        <v>6.8333333333333321</v>
      </c>
      <c r="G210">
        <v>34.31</v>
      </c>
      <c r="H210">
        <v>8.1999999999999993</v>
      </c>
      <c r="I210">
        <f>H210*D210*3</f>
        <v>88.56</v>
      </c>
      <c r="J210">
        <v>16.45</v>
      </c>
      <c r="K210">
        <v>9</v>
      </c>
      <c r="L210" s="3">
        <f>K210*3*D210</f>
        <v>97.2</v>
      </c>
      <c r="M210">
        <v>4.58</v>
      </c>
      <c r="N210">
        <v>5.4</v>
      </c>
      <c r="O210">
        <f>N210*D210*3</f>
        <v>58.320000000000007</v>
      </c>
      <c r="P210" s="5">
        <v>8</v>
      </c>
      <c r="Q210" s="5">
        <f>P210*D210*3</f>
        <v>86.4</v>
      </c>
      <c r="S210" t="s">
        <v>6341</v>
      </c>
      <c r="T210">
        <v>5.2</v>
      </c>
      <c r="U210" s="8">
        <f>T210*D210*3</f>
        <v>56.160000000000011</v>
      </c>
      <c r="V210">
        <v>32.19</v>
      </c>
      <c r="W210">
        <v>8.4</v>
      </c>
      <c r="X210" s="5">
        <f>W210*D210*3</f>
        <v>90.72</v>
      </c>
      <c r="Y210">
        <v>9.31</v>
      </c>
      <c r="Z210">
        <v>7.8</v>
      </c>
      <c r="AA210">
        <f>Z210*D210*3</f>
        <v>84.24</v>
      </c>
      <c r="AC210">
        <v>46.71</v>
      </c>
      <c r="AD210">
        <v>7.9</v>
      </c>
      <c r="AE210" s="1">
        <f>AD210*3*D210</f>
        <v>85.320000000000007</v>
      </c>
      <c r="AF210">
        <v>12.01</v>
      </c>
      <c r="AG210" s="5">
        <v>7</v>
      </c>
      <c r="AH210" s="5">
        <f>AG210*D210*3</f>
        <v>75.599999999999994</v>
      </c>
      <c r="AI210" s="13"/>
      <c r="AK210" s="8">
        <f>AJ210*D210*3</f>
        <v>0</v>
      </c>
      <c r="AL210" s="13"/>
      <c r="AM210">
        <v>29.29</v>
      </c>
      <c r="AN210">
        <v>7.5</v>
      </c>
      <c r="AO210" s="8">
        <f>AN210*D210*3</f>
        <v>81</v>
      </c>
      <c r="AP210">
        <v>11.19</v>
      </c>
      <c r="AQ210">
        <v>10</v>
      </c>
      <c r="AR210">
        <f>AQ210*D210*3</f>
        <v>108</v>
      </c>
      <c r="AT210">
        <v>8.8000000000000007</v>
      </c>
      <c r="AU210">
        <f>AT210*D210*3</f>
        <v>95.04</v>
      </c>
      <c r="AW210">
        <v>24.2</v>
      </c>
      <c r="AX210">
        <v>9.9</v>
      </c>
      <c r="AY210">
        <f>AX210*D210*3</f>
        <v>106.92</v>
      </c>
      <c r="AZ210">
        <v>24.2</v>
      </c>
      <c r="BA210">
        <v>8.4</v>
      </c>
      <c r="BB210">
        <f>BA210*D210*3</f>
        <v>90.72</v>
      </c>
      <c r="BD210">
        <v>7.9</v>
      </c>
      <c r="BE210">
        <f>BD210*D210*3</f>
        <v>85.320000000000007</v>
      </c>
      <c r="BG210" s="10"/>
      <c r="BH210" s="1">
        <f>CHOOSE(MATCH(MIN(ABS(BP210-C210),ABS(BQ210-C210),ABS(BR210-C210)),CHOOSE({1;2;3},ABS(BP210-C210),ABS(BQ210-C210),ABS(BR210-C210)),0),BP210,BQ210,BR210)</f>
        <v>86.4</v>
      </c>
      <c r="BJ210" s="1" cm="1">
        <f t="array" ref="BJ210">(INDEX(_xlfn._xlws.SORT(CHOOSE({1;2;3;4;5;6},BQ210,BR210,L210,AE210,BO210,BP210)),3) + INDEX(_xlfn._xlws.SORT(CHOOSE({1;2;3;4;5;6},BQ210,BR210,L210,AE210,BO210,BP210)),4))/2</f>
        <v>85.860000000000014</v>
      </c>
      <c r="BK210">
        <v>6.8861686636008796</v>
      </c>
      <c r="BL210" t="s">
        <v>6117</v>
      </c>
      <c r="BM210" s="1">
        <f>BK210*3*D210</f>
        <v>74.370621566889497</v>
      </c>
      <c r="BN210" s="1">
        <f>BM210-C210</f>
        <v>0.57062156688949983</v>
      </c>
      <c r="BO210" s="1">
        <f>GK210*3*D210</f>
        <v>56.16</v>
      </c>
      <c r="BP210" s="1">
        <f>DO210*3*D210</f>
        <v>97.2</v>
      </c>
      <c r="BQ210" s="1">
        <f>FJ210*3*D210</f>
        <v>86.4</v>
      </c>
      <c r="BR210" s="1">
        <f>GL210*3*D210</f>
        <v>43.2</v>
      </c>
      <c r="BT210">
        <v>34.31</v>
      </c>
      <c r="BU210">
        <v>8.1999999999999993</v>
      </c>
      <c r="BV210" t="s">
        <v>5681</v>
      </c>
      <c r="BW210" t="s">
        <v>5682</v>
      </c>
      <c r="CA210" t="s">
        <v>2723</v>
      </c>
      <c r="CC210" t="s">
        <v>2758</v>
      </c>
      <c r="CD210" t="s">
        <v>2508</v>
      </c>
      <c r="CE210" t="s">
        <v>2440</v>
      </c>
      <c r="CG210" t="s">
        <v>2761</v>
      </c>
      <c r="CH210" t="s">
        <v>2510</v>
      </c>
      <c r="CI210" t="s">
        <v>2443</v>
      </c>
      <c r="CK210" t="s">
        <v>3012</v>
      </c>
      <c r="CL210" t="s">
        <v>2512</v>
      </c>
      <c r="CM210" t="s">
        <v>2446</v>
      </c>
      <c r="CO210" t="s">
        <v>3327</v>
      </c>
      <c r="CP210" t="s">
        <v>2514</v>
      </c>
      <c r="CQ210" t="s">
        <v>2449</v>
      </c>
      <c r="CS210" t="s">
        <v>3013</v>
      </c>
      <c r="CT210" t="s">
        <v>2524</v>
      </c>
      <c r="CV210">
        <v>9</v>
      </c>
      <c r="CW210">
        <v>9</v>
      </c>
      <c r="CX210">
        <v>9</v>
      </c>
      <c r="CY210">
        <v>9</v>
      </c>
      <c r="CZ210">
        <v>9</v>
      </c>
      <c r="DA210">
        <v>0.1</v>
      </c>
      <c r="DB210">
        <v>0.1</v>
      </c>
      <c r="DC210">
        <v>0.2</v>
      </c>
      <c r="DD210">
        <v>0.3</v>
      </c>
      <c r="DE210">
        <v>0.3</v>
      </c>
      <c r="DF210">
        <v>0.9</v>
      </c>
      <c r="DG210">
        <v>0.9</v>
      </c>
      <c r="DH210">
        <v>1.8</v>
      </c>
      <c r="DI210">
        <v>2.7</v>
      </c>
      <c r="DJ210">
        <v>2.7</v>
      </c>
      <c r="DK210">
        <v>8.1999999999999993</v>
      </c>
      <c r="DL210">
        <v>0</v>
      </c>
      <c r="DM210">
        <v>8.1999999999999993</v>
      </c>
      <c r="DN210">
        <v>9</v>
      </c>
      <c r="DO210">
        <f>AVERAGE(CV210:CZ210)</f>
        <v>9</v>
      </c>
      <c r="DQ210">
        <v>15</v>
      </c>
      <c r="DR210" t="s">
        <v>28</v>
      </c>
      <c r="DS210" t="s">
        <v>29</v>
      </c>
      <c r="DT210" t="s">
        <v>57</v>
      </c>
      <c r="DU210" t="s">
        <v>58</v>
      </c>
      <c r="DV210" t="s">
        <v>59</v>
      </c>
      <c r="DW210" t="s">
        <v>3769</v>
      </c>
      <c r="DX210" t="s">
        <v>3770</v>
      </c>
      <c r="DY210" t="s">
        <v>3771</v>
      </c>
      <c r="DZ210" t="s">
        <v>3772</v>
      </c>
      <c r="EA210" t="s">
        <v>3806</v>
      </c>
      <c r="EB210" t="s">
        <v>3807</v>
      </c>
      <c r="EC210" t="s">
        <v>3775</v>
      </c>
      <c r="ED210" t="s">
        <v>3776</v>
      </c>
      <c r="EE210" t="s">
        <v>3819</v>
      </c>
      <c r="EF210" t="s">
        <v>3809</v>
      </c>
      <c r="EG210" t="s">
        <v>3810</v>
      </c>
      <c r="EH210" t="s">
        <v>3811</v>
      </c>
      <c r="EI210" t="s">
        <v>3820</v>
      </c>
      <c r="EJ210" t="s">
        <v>3813</v>
      </c>
      <c r="EK210" t="s">
        <v>3855</v>
      </c>
      <c r="EL210" t="s">
        <v>3856</v>
      </c>
      <c r="EM210" t="s">
        <v>3816</v>
      </c>
      <c r="EN210" t="s">
        <v>3823</v>
      </c>
      <c r="EO210" t="s">
        <v>3824</v>
      </c>
      <c r="EP210" t="s">
        <v>3857</v>
      </c>
      <c r="EQ210">
        <v>7</v>
      </c>
      <c r="ER210">
        <v>8</v>
      </c>
      <c r="ES210">
        <v>8</v>
      </c>
      <c r="ET210">
        <v>8</v>
      </c>
      <c r="EU210">
        <v>8</v>
      </c>
      <c r="EV210">
        <v>0.1</v>
      </c>
      <c r="EW210">
        <v>0.1</v>
      </c>
      <c r="EX210">
        <v>0.2</v>
      </c>
      <c r="EY210">
        <v>0.3</v>
      </c>
      <c r="EZ210">
        <v>0.3</v>
      </c>
      <c r="FA210">
        <f>EV210*EQ210</f>
        <v>0.70000000000000007</v>
      </c>
      <c r="FB210">
        <f>EW210*ER210</f>
        <v>0.8</v>
      </c>
      <c r="FC210">
        <f>EX210*ES210</f>
        <v>1.6</v>
      </c>
      <c r="FD210">
        <f>EY210*ET210</f>
        <v>2.4</v>
      </c>
      <c r="FE210">
        <f>EZ210*EU210</f>
        <v>2.4</v>
      </c>
      <c r="FF210">
        <v>15</v>
      </c>
      <c r="FG210">
        <v>0</v>
      </c>
      <c r="FH210">
        <v>15</v>
      </c>
      <c r="FI210">
        <f>FA210+FB210+FC210+FD210+FE210</f>
        <v>7.9</v>
      </c>
      <c r="FJ210">
        <f>MEDIAN(EQ210:EU210)</f>
        <v>8</v>
      </c>
      <c r="FL210">
        <v>45.7</v>
      </c>
      <c r="FM210">
        <v>9</v>
      </c>
      <c r="FN210" t="s">
        <v>1592</v>
      </c>
      <c r="FO210" t="s">
        <v>1593</v>
      </c>
      <c r="FP210" t="s">
        <v>1594</v>
      </c>
      <c r="FQ210" t="s">
        <v>1595</v>
      </c>
      <c r="FR210" t="s">
        <v>1596</v>
      </c>
      <c r="FS210">
        <v>2</v>
      </c>
      <c r="FT210">
        <v>3</v>
      </c>
      <c r="FU210">
        <v>4</v>
      </c>
      <c r="FV210">
        <v>6</v>
      </c>
      <c r="FW210">
        <v>7</v>
      </c>
      <c r="FX210">
        <v>0.1</v>
      </c>
      <c r="FY210">
        <v>0.1</v>
      </c>
      <c r="FZ210">
        <v>0.2</v>
      </c>
      <c r="GA210">
        <v>0.3</v>
      </c>
      <c r="GB210">
        <v>0.3</v>
      </c>
      <c r="GC210">
        <f>FS210*FX210</f>
        <v>0.2</v>
      </c>
      <c r="GD210">
        <f>FT210*FY210</f>
        <v>0.30000000000000004</v>
      </c>
      <c r="GE210">
        <f>FU210*FZ210</f>
        <v>0.8</v>
      </c>
      <c r="GF210">
        <f>FV210*GA210</f>
        <v>1.7999999999999998</v>
      </c>
      <c r="GG210">
        <f>FW210*GB210</f>
        <v>2.1</v>
      </c>
      <c r="GH210">
        <v>9</v>
      </c>
      <c r="GJ210">
        <v>9</v>
      </c>
      <c r="GK210">
        <f>GC210+GD210+GE210+GF210+GG210</f>
        <v>5.1999999999999993</v>
      </c>
      <c r="GL210">
        <f>MEDIAN(FS210:FW210)</f>
        <v>4</v>
      </c>
    </row>
    <row r="211" spans="1:194" x14ac:dyDescent="0.25">
      <c r="A211">
        <v>337</v>
      </c>
      <c r="B211" t="s">
        <v>2</v>
      </c>
      <c r="C211" s="4">
        <v>66</v>
      </c>
      <c r="D211">
        <v>3.3</v>
      </c>
      <c r="E211" s="1">
        <f>C211/3/D211</f>
        <v>6.666666666666667</v>
      </c>
      <c r="G211">
        <v>83.61</v>
      </c>
      <c r="H211">
        <v>8.4</v>
      </c>
      <c r="I211">
        <f>H211*D211*3</f>
        <v>83.16</v>
      </c>
      <c r="J211">
        <v>19.09</v>
      </c>
      <c r="K211">
        <v>9</v>
      </c>
      <c r="L211" s="3">
        <f>K211*3*D211</f>
        <v>89.1</v>
      </c>
      <c r="M211">
        <v>3.91</v>
      </c>
      <c r="N211">
        <v>8</v>
      </c>
      <c r="O211">
        <f>N211*D211*3</f>
        <v>79.199999999999989</v>
      </c>
      <c r="P211" s="5">
        <v>7.6</v>
      </c>
      <c r="Q211" s="5">
        <f>P211*D211*3</f>
        <v>75.239999999999995</v>
      </c>
      <c r="S211" t="s">
        <v>6461</v>
      </c>
      <c r="T211">
        <v>6.8</v>
      </c>
      <c r="U211" s="8">
        <f>T211*D211*3</f>
        <v>67.319999999999993</v>
      </c>
      <c r="V211">
        <v>36.950000000000003</v>
      </c>
      <c r="W211">
        <v>8.6999999999999993</v>
      </c>
      <c r="X211" s="5">
        <f>W211*D211*3</f>
        <v>86.13</v>
      </c>
      <c r="Y211">
        <v>11.51</v>
      </c>
      <c r="Z211">
        <v>7.8</v>
      </c>
      <c r="AA211">
        <f>Z211*D211*3</f>
        <v>77.22</v>
      </c>
      <c r="AC211">
        <v>148.15</v>
      </c>
      <c r="AD211">
        <v>7.9</v>
      </c>
      <c r="AE211" s="1">
        <f>AD211*3*D211</f>
        <v>78.210000000000008</v>
      </c>
      <c r="AF211">
        <v>9.6</v>
      </c>
      <c r="AH211" s="5">
        <f>AG211*D211*3</f>
        <v>0</v>
      </c>
      <c r="AI211" s="13"/>
      <c r="AJ211">
        <v>3.2</v>
      </c>
      <c r="AK211" s="8">
        <f>AJ211*D211*3</f>
        <v>31.68</v>
      </c>
      <c r="AL211" s="13"/>
      <c r="AM211">
        <v>31.21</v>
      </c>
      <c r="AN211">
        <v>7.2</v>
      </c>
      <c r="AO211" s="8">
        <f>AN211*D211*3</f>
        <v>71.28</v>
      </c>
      <c r="AP211">
        <v>13.94</v>
      </c>
      <c r="AQ211">
        <v>9.5</v>
      </c>
      <c r="AR211">
        <f>AQ211*D211*3</f>
        <v>94.05</v>
      </c>
      <c r="AT211">
        <v>9</v>
      </c>
      <c r="AU211">
        <f>AT211*D211*3</f>
        <v>89.1</v>
      </c>
      <c r="AX211">
        <v>9</v>
      </c>
      <c r="AY211">
        <f>AX211*D211*3</f>
        <v>89.1</v>
      </c>
      <c r="BA211">
        <v>9</v>
      </c>
      <c r="BB211">
        <f>BA211*D211*3</f>
        <v>89.1</v>
      </c>
      <c r="BC211">
        <v>25.71</v>
      </c>
      <c r="BD211">
        <v>7.8</v>
      </c>
      <c r="BE211">
        <f>BD211*D211*3</f>
        <v>77.22</v>
      </c>
      <c r="BG211" s="10"/>
      <c r="BH211" s="1">
        <f>CHOOSE(MATCH(MIN(ABS(BP211-C211),ABS(BQ211-C211),ABS(BR211-C211)),CHOOSE({1;2;3},ABS(BP211-C211),ABS(BQ211-C211),ABS(BR211-C211)),0),BP211,BQ211,BR211)</f>
        <v>79.199999999999989</v>
      </c>
      <c r="BJ211" s="1" cm="1">
        <f t="array" ref="BJ211">(INDEX(_xlfn._xlws.SORT(CHOOSE({1;2;3;4;5;6},BQ211,BR211,L211,AE211,BO211,BP211)),3) + INDEX(_xlfn._xlws.SORT(CHOOSE({1;2;3;4;5;6},BQ211,BR211,L211,AE211,BO211,BP211)),4))/2</f>
        <v>79.199999999999989</v>
      </c>
      <c r="BK211">
        <v>6.9511488602950102</v>
      </c>
      <c r="BL211" s="11" t="s">
        <v>6116</v>
      </c>
      <c r="BM211" s="1">
        <f>BK211*3*D211</f>
        <v>68.816373716920594</v>
      </c>
      <c r="BN211" s="1">
        <f>BM211-C211</f>
        <v>2.8163737169205945</v>
      </c>
      <c r="BO211" s="1">
        <f>GK211*3*D211</f>
        <v>78.210000000000008</v>
      </c>
      <c r="BP211" s="1">
        <f>DO211*3*D211</f>
        <v>85.139999999999986</v>
      </c>
      <c r="BQ211" s="1">
        <f>FJ211*3*D211</f>
        <v>79.199999999999989</v>
      </c>
      <c r="BR211" s="1">
        <f>GL211*3*D211</f>
        <v>79.199999999999989</v>
      </c>
      <c r="BT211">
        <v>83.61</v>
      </c>
      <c r="BU211">
        <v>8.4</v>
      </c>
      <c r="BV211" t="s">
        <v>6014</v>
      </c>
      <c r="BW211" t="s">
        <v>6015</v>
      </c>
      <c r="BX211" t="s">
        <v>6016</v>
      </c>
      <c r="BY211" t="s">
        <v>6017</v>
      </c>
      <c r="BZ211" t="s">
        <v>6018</v>
      </c>
      <c r="CA211" t="s">
        <v>2550</v>
      </c>
      <c r="CC211" t="s">
        <v>2634</v>
      </c>
      <c r="CD211" t="s">
        <v>2635</v>
      </c>
      <c r="CE211" t="s">
        <v>2553</v>
      </c>
      <c r="CG211" t="s">
        <v>2634</v>
      </c>
      <c r="CH211" t="s">
        <v>2832</v>
      </c>
      <c r="CI211" t="s">
        <v>2833</v>
      </c>
      <c r="CK211" t="s">
        <v>2634</v>
      </c>
      <c r="CL211" t="s">
        <v>2834</v>
      </c>
      <c r="CM211" t="s">
        <v>3280</v>
      </c>
      <c r="CO211" t="s">
        <v>2634</v>
      </c>
      <c r="CP211" t="s">
        <v>2835</v>
      </c>
      <c r="CQ211" t="s">
        <v>2926</v>
      </c>
      <c r="CR211" t="s">
        <v>3184</v>
      </c>
      <c r="CS211" t="s">
        <v>3185</v>
      </c>
      <c r="CT211" t="s">
        <v>3525</v>
      </c>
      <c r="CV211">
        <v>9</v>
      </c>
      <c r="CW211">
        <v>9</v>
      </c>
      <c r="CX211">
        <v>9</v>
      </c>
      <c r="CY211">
        <v>9</v>
      </c>
      <c r="CZ211">
        <v>7</v>
      </c>
      <c r="DA211">
        <v>0.1</v>
      </c>
      <c r="DB211">
        <v>0.1</v>
      </c>
      <c r="DC211">
        <v>0.2</v>
      </c>
      <c r="DD211">
        <v>0.3</v>
      </c>
      <c r="DE211">
        <v>0.3</v>
      </c>
      <c r="DF211">
        <v>0.9</v>
      </c>
      <c r="DG211">
        <v>0.9</v>
      </c>
      <c r="DH211">
        <v>1.8</v>
      </c>
      <c r="DI211">
        <v>2.7</v>
      </c>
      <c r="DJ211">
        <v>2.1</v>
      </c>
      <c r="DK211">
        <v>8.4</v>
      </c>
      <c r="DL211">
        <v>0</v>
      </c>
      <c r="DM211">
        <v>8.4</v>
      </c>
      <c r="DN211">
        <v>9</v>
      </c>
      <c r="DO211">
        <f>AVERAGE(CV211:CZ211)</f>
        <v>8.6</v>
      </c>
      <c r="DQ211">
        <v>8</v>
      </c>
      <c r="DR211" t="s">
        <v>33</v>
      </c>
      <c r="DS211" t="s">
        <v>403</v>
      </c>
      <c r="DT211" t="s">
        <v>404</v>
      </c>
      <c r="DU211" t="s">
        <v>405</v>
      </c>
      <c r="DV211" t="s">
        <v>545</v>
      </c>
      <c r="DW211" t="s">
        <v>3788</v>
      </c>
      <c r="DX211" t="s">
        <v>4505</v>
      </c>
      <c r="DY211" t="s">
        <v>4506</v>
      </c>
      <c r="DZ211" t="s">
        <v>4721</v>
      </c>
      <c r="EA211" t="s">
        <v>4633</v>
      </c>
      <c r="EB211" t="s">
        <v>4634</v>
      </c>
      <c r="EC211" t="s">
        <v>4635</v>
      </c>
      <c r="ED211" t="s">
        <v>4636</v>
      </c>
      <c r="EE211" t="s">
        <v>3978</v>
      </c>
      <c r="EF211" t="s">
        <v>4637</v>
      </c>
      <c r="EG211" t="s">
        <v>4638</v>
      </c>
      <c r="EH211" t="s">
        <v>4639</v>
      </c>
      <c r="EI211" t="s">
        <v>4640</v>
      </c>
      <c r="EJ211" t="s">
        <v>4641</v>
      </c>
      <c r="EK211" t="s">
        <v>4642</v>
      </c>
      <c r="EL211" t="s">
        <v>4924</v>
      </c>
      <c r="EM211" t="s">
        <v>4925</v>
      </c>
      <c r="EN211" t="s">
        <v>4645</v>
      </c>
      <c r="EO211" t="s">
        <v>4647</v>
      </c>
      <c r="EP211" t="s">
        <v>4647</v>
      </c>
      <c r="EQ211">
        <v>7</v>
      </c>
      <c r="ER211">
        <v>8</v>
      </c>
      <c r="ES211">
        <v>8</v>
      </c>
      <c r="ET211">
        <v>8</v>
      </c>
      <c r="EU211">
        <v>8</v>
      </c>
      <c r="EV211">
        <v>0.1</v>
      </c>
      <c r="EW211">
        <v>0.1</v>
      </c>
      <c r="EX211">
        <v>0.2</v>
      </c>
      <c r="EY211">
        <v>0.3</v>
      </c>
      <c r="EZ211">
        <v>0.3</v>
      </c>
      <c r="FA211">
        <f>EV211*EQ211</f>
        <v>0.70000000000000007</v>
      </c>
      <c r="FB211">
        <f>EW211*ER211</f>
        <v>0.8</v>
      </c>
      <c r="FC211">
        <f>EX211*ES211</f>
        <v>1.6</v>
      </c>
      <c r="FD211">
        <f>EY211*ET211</f>
        <v>2.4</v>
      </c>
      <c r="FE211">
        <f>EZ211*EU211</f>
        <v>2.4</v>
      </c>
      <c r="FF211">
        <v>16</v>
      </c>
      <c r="FG211">
        <v>0</v>
      </c>
      <c r="FH211">
        <v>8</v>
      </c>
      <c r="FI211">
        <f>FA211+FB211+FC211+FD211+FE211</f>
        <v>7.9</v>
      </c>
      <c r="FJ211">
        <f>MEDIAN(EQ211:EU211)</f>
        <v>8</v>
      </c>
      <c r="FL211">
        <v>75.819999999999993</v>
      </c>
      <c r="FM211">
        <v>7.6</v>
      </c>
      <c r="FN211" t="s">
        <v>2203</v>
      </c>
      <c r="FO211" t="s">
        <v>2204</v>
      </c>
      <c r="FP211" t="s">
        <v>2205</v>
      </c>
      <c r="FQ211" t="s">
        <v>2206</v>
      </c>
      <c r="FR211" t="s">
        <v>2207</v>
      </c>
      <c r="FS211">
        <v>8</v>
      </c>
      <c r="FT211">
        <v>9</v>
      </c>
      <c r="FU211">
        <v>10</v>
      </c>
      <c r="FV211">
        <v>7.5</v>
      </c>
      <c r="FW211">
        <v>6.5</v>
      </c>
      <c r="FX211">
        <v>0.1</v>
      </c>
      <c r="FY211">
        <v>0.1</v>
      </c>
      <c r="FZ211">
        <v>0.2</v>
      </c>
      <c r="GA211">
        <v>0.3</v>
      </c>
      <c r="GB211">
        <v>0.3</v>
      </c>
      <c r="GC211">
        <f>FS211*FX211</f>
        <v>0.8</v>
      </c>
      <c r="GD211">
        <f>FT211*FY211</f>
        <v>0.9</v>
      </c>
      <c r="GE211">
        <f>FU211*FZ211</f>
        <v>2</v>
      </c>
      <c r="GF211">
        <f>FV211*GA211</f>
        <v>2.25</v>
      </c>
      <c r="GG211">
        <f>FW211*GB211</f>
        <v>1.95</v>
      </c>
      <c r="GH211">
        <v>7.8</v>
      </c>
      <c r="GI211">
        <v>-0.2</v>
      </c>
      <c r="GJ211">
        <v>7.6</v>
      </c>
      <c r="GK211">
        <f>GC211+GD211+GE211+GF211+GG211</f>
        <v>7.9</v>
      </c>
      <c r="GL211">
        <f>MEDIAN(FS211:FW211)</f>
        <v>8</v>
      </c>
    </row>
    <row r="212" spans="1:194" hidden="1" x14ac:dyDescent="0.25">
      <c r="A212">
        <v>211</v>
      </c>
      <c r="B212" t="s">
        <v>2</v>
      </c>
      <c r="C212" s="4">
        <v>76.5</v>
      </c>
      <c r="D212">
        <v>3</v>
      </c>
      <c r="E212" s="1">
        <f>C212/3/D212</f>
        <v>8.5</v>
      </c>
      <c r="G212">
        <v>118.15</v>
      </c>
      <c r="H212">
        <v>8</v>
      </c>
      <c r="I212">
        <f>H212*D212*3</f>
        <v>72</v>
      </c>
      <c r="J212">
        <v>19.23</v>
      </c>
      <c r="K212">
        <v>8.4</v>
      </c>
      <c r="L212" s="3">
        <f>K212*3*D212</f>
        <v>75.600000000000009</v>
      </c>
      <c r="M212">
        <v>4.59</v>
      </c>
      <c r="N212">
        <v>5</v>
      </c>
      <c r="O212">
        <f>N212*D212*3</f>
        <v>45</v>
      </c>
      <c r="P212" s="5">
        <v>8.6999999999999993</v>
      </c>
      <c r="Q212" s="5">
        <f>P212*D212*3</f>
        <v>78.3</v>
      </c>
      <c r="S212" t="s">
        <v>6343</v>
      </c>
      <c r="T212">
        <v>5</v>
      </c>
      <c r="U212" s="8">
        <f>T212*D212*3</f>
        <v>45</v>
      </c>
      <c r="V212">
        <v>33.369999999999997</v>
      </c>
      <c r="W212">
        <v>8.6999999999999993</v>
      </c>
      <c r="X212" s="5">
        <f>W212*D212*3</f>
        <v>78.3</v>
      </c>
      <c r="Y212">
        <v>8.81</v>
      </c>
      <c r="Z212">
        <v>6</v>
      </c>
      <c r="AA212">
        <f>Z212*D212*3</f>
        <v>54</v>
      </c>
      <c r="AC212">
        <v>51.76</v>
      </c>
      <c r="AD212">
        <v>7.9</v>
      </c>
      <c r="AE212" s="1">
        <f>AD212*3*D212</f>
        <v>71.100000000000009</v>
      </c>
      <c r="AF212">
        <v>12.41</v>
      </c>
      <c r="AG212" s="5">
        <v>7</v>
      </c>
      <c r="AH212" s="5">
        <f>AG212*D212*3</f>
        <v>63</v>
      </c>
      <c r="AI212" s="13"/>
      <c r="AJ212">
        <v>28</v>
      </c>
      <c r="AK212" s="8">
        <f>AJ212*D212*3</f>
        <v>252</v>
      </c>
      <c r="AL212" s="13"/>
      <c r="AM212">
        <v>31.23</v>
      </c>
      <c r="AN212">
        <v>7.6</v>
      </c>
      <c r="AO212" s="8">
        <f>AN212*D212*3</f>
        <v>68.399999999999991</v>
      </c>
      <c r="AP212">
        <v>13.25</v>
      </c>
      <c r="AQ212">
        <v>10</v>
      </c>
      <c r="AR212">
        <f>AQ212*D212*3</f>
        <v>90</v>
      </c>
      <c r="AT212">
        <v>9</v>
      </c>
      <c r="AU212">
        <f>AT212*D212*3</f>
        <v>81</v>
      </c>
      <c r="AW212">
        <v>24.18</v>
      </c>
      <c r="AX212">
        <v>9.1</v>
      </c>
      <c r="AY212">
        <f>AX212*D212*3</f>
        <v>81.899999999999991</v>
      </c>
      <c r="AZ212">
        <v>24.18</v>
      </c>
      <c r="BA212">
        <v>9.1</v>
      </c>
      <c r="BB212">
        <f>BA212*D212*3</f>
        <v>81.899999999999991</v>
      </c>
      <c r="BD212">
        <v>8.9</v>
      </c>
      <c r="BE212">
        <f>BD212*D212*3</f>
        <v>80.100000000000009</v>
      </c>
      <c r="BG212" s="10"/>
      <c r="BH212" s="1">
        <f>CHOOSE(MATCH(MIN(ABS(BP212-C212),ABS(BQ212-C212),ABS(BR212-C212)),CHOOSE({1;2;3},ABS(BP212-C212),ABS(BQ212-C212),ABS(BR212-C212)),0),BP212,BQ212,BR212)</f>
        <v>81</v>
      </c>
      <c r="BJ212" s="1" cm="1">
        <f t="array" ref="BJ212">(INDEX(_xlfn._xlws.SORT(CHOOSE({1;2;3;4;5;6},BQ212,BR212,L212,AE212,BO212,BP212)),3) + INDEX(_xlfn._xlws.SORT(CHOOSE({1;2;3;4;5;6},BQ212,BR212,L212,AE212,BO212,BP212)),4))/2</f>
        <v>72</v>
      </c>
      <c r="BK212">
        <v>8.4669631463909507</v>
      </c>
      <c r="BL212" t="s">
        <v>6117</v>
      </c>
      <c r="BM212" s="1">
        <f>BK212*3*D212</f>
        <v>76.202668317518544</v>
      </c>
      <c r="BN212" s="1">
        <f>BM212-C212</f>
        <v>-0.29733168248145603</v>
      </c>
      <c r="BO212" s="1">
        <f>GK212*3*D212</f>
        <v>66.599999999999994</v>
      </c>
      <c r="BP212" s="1">
        <f>DO212*3*D212</f>
        <v>81</v>
      </c>
      <c r="BQ212" s="1">
        <f>FJ212*3*D212</f>
        <v>72</v>
      </c>
      <c r="BR212" s="1">
        <f>GL212*3*D212</f>
        <v>72</v>
      </c>
      <c r="BT212">
        <v>118.15</v>
      </c>
      <c r="BU212">
        <v>8</v>
      </c>
      <c r="BV212" t="s">
        <v>5159</v>
      </c>
      <c r="BW212" t="s">
        <v>4987</v>
      </c>
      <c r="BX212" t="s">
        <v>5687</v>
      </c>
      <c r="BY212" t="s">
        <v>5161</v>
      </c>
      <c r="BZ212" t="s">
        <v>5688</v>
      </c>
      <c r="CA212" t="s">
        <v>2452</v>
      </c>
      <c r="CC212" t="s">
        <v>2438</v>
      </c>
      <c r="CD212" t="s">
        <v>2453</v>
      </c>
      <c r="CE212" t="s">
        <v>2586</v>
      </c>
      <c r="CG212" t="s">
        <v>2881</v>
      </c>
      <c r="CH212" t="s">
        <v>2593</v>
      </c>
      <c r="CI212" t="s">
        <v>2567</v>
      </c>
      <c r="CK212" t="s">
        <v>3338</v>
      </c>
      <c r="CL212" t="s">
        <v>3339</v>
      </c>
      <c r="CM212" t="s">
        <v>2589</v>
      </c>
      <c r="CO212" t="s">
        <v>3340</v>
      </c>
      <c r="CP212" t="s">
        <v>3341</v>
      </c>
      <c r="CQ212" t="s">
        <v>3030</v>
      </c>
      <c r="CS212" t="s">
        <v>3041</v>
      </c>
      <c r="CT212" t="s">
        <v>3342</v>
      </c>
      <c r="CV212">
        <v>9</v>
      </c>
      <c r="CW212">
        <v>9</v>
      </c>
      <c r="CX212">
        <v>9</v>
      </c>
      <c r="CY212">
        <v>9</v>
      </c>
      <c r="CZ212">
        <v>9</v>
      </c>
      <c r="DA212">
        <v>0.1</v>
      </c>
      <c r="DB212">
        <v>0.1</v>
      </c>
      <c r="DC212">
        <v>0.2</v>
      </c>
      <c r="DD212">
        <v>0.3</v>
      </c>
      <c r="DE212">
        <v>0.3</v>
      </c>
      <c r="DF212">
        <v>0.9</v>
      </c>
      <c r="DG212">
        <v>0.9</v>
      </c>
      <c r="DH212">
        <v>1.8</v>
      </c>
      <c r="DI212">
        <v>2.7</v>
      </c>
      <c r="DJ212">
        <v>2.7</v>
      </c>
      <c r="DK212">
        <v>8</v>
      </c>
      <c r="DL212">
        <v>0</v>
      </c>
      <c r="DM212">
        <v>8</v>
      </c>
      <c r="DN212">
        <v>8.4</v>
      </c>
      <c r="DO212">
        <f>AVERAGE(CV212:CZ212)</f>
        <v>9</v>
      </c>
      <c r="DQ212">
        <v>8</v>
      </c>
      <c r="DR212" t="s">
        <v>402</v>
      </c>
      <c r="DS212" t="s">
        <v>403</v>
      </c>
      <c r="DT212" t="s">
        <v>404</v>
      </c>
      <c r="DU212" t="s">
        <v>405</v>
      </c>
      <c r="DV212" t="s">
        <v>406</v>
      </c>
      <c r="DW212" t="s">
        <v>4462</v>
      </c>
      <c r="DX212" t="s">
        <v>4505</v>
      </c>
      <c r="DY212" t="s">
        <v>4506</v>
      </c>
      <c r="DZ212" t="s">
        <v>4632</v>
      </c>
      <c r="EA212" t="s">
        <v>4633</v>
      </c>
      <c r="EB212" t="s">
        <v>4634</v>
      </c>
      <c r="EC212" t="s">
        <v>4635</v>
      </c>
      <c r="ED212" t="s">
        <v>4636</v>
      </c>
      <c r="EE212" t="s">
        <v>3978</v>
      </c>
      <c r="EF212" t="s">
        <v>4637</v>
      </c>
      <c r="EG212" t="s">
        <v>4638</v>
      </c>
      <c r="EH212" t="s">
        <v>4639</v>
      </c>
      <c r="EI212" t="s">
        <v>4640</v>
      </c>
      <c r="EJ212" t="s">
        <v>4641</v>
      </c>
      <c r="EK212" t="s">
        <v>4642</v>
      </c>
      <c r="EL212" t="s">
        <v>4643</v>
      </c>
      <c r="EM212" t="s">
        <v>4644</v>
      </c>
      <c r="EN212" t="s">
        <v>4645</v>
      </c>
      <c r="EO212" t="s">
        <v>4646</v>
      </c>
      <c r="EP212" t="s">
        <v>4647</v>
      </c>
      <c r="EQ212">
        <v>7</v>
      </c>
      <c r="ER212">
        <v>8</v>
      </c>
      <c r="ES212">
        <v>8</v>
      </c>
      <c r="ET212">
        <v>8</v>
      </c>
      <c r="EU212">
        <v>8</v>
      </c>
      <c r="EV212">
        <v>0.1</v>
      </c>
      <c r="EW212">
        <v>0.1</v>
      </c>
      <c r="EX212">
        <v>0.2</v>
      </c>
      <c r="EY212">
        <v>0.3</v>
      </c>
      <c r="EZ212">
        <v>0.3</v>
      </c>
      <c r="FA212">
        <f>EV212*EQ212</f>
        <v>0.70000000000000007</v>
      </c>
      <c r="FB212">
        <f>EW212*ER212</f>
        <v>0.8</v>
      </c>
      <c r="FC212">
        <f>EX212*ES212</f>
        <v>1.6</v>
      </c>
      <c r="FD212">
        <f>EY212*ET212</f>
        <v>2.4</v>
      </c>
      <c r="FE212">
        <f>EZ212*EU212</f>
        <v>2.4</v>
      </c>
      <c r="FF212">
        <v>15</v>
      </c>
      <c r="FG212">
        <v>0</v>
      </c>
      <c r="FH212">
        <v>8</v>
      </c>
      <c r="FI212">
        <f>FA212+FB212+FC212+FD212+FE212</f>
        <v>7.9</v>
      </c>
      <c r="FJ212">
        <f>MEDIAN(EQ212:EU212)</f>
        <v>8</v>
      </c>
      <c r="FL212">
        <v>87.26</v>
      </c>
      <c r="FM212">
        <v>6.4</v>
      </c>
      <c r="FN212" t="s">
        <v>1601</v>
      </c>
      <c r="FO212" t="s">
        <v>1602</v>
      </c>
      <c r="FP212" t="s">
        <v>1603</v>
      </c>
      <c r="FQ212" t="s">
        <v>1604</v>
      </c>
      <c r="FR212" t="s">
        <v>1605</v>
      </c>
      <c r="FS212">
        <v>10</v>
      </c>
      <c r="FT212">
        <v>9</v>
      </c>
      <c r="FU212">
        <v>8</v>
      </c>
      <c r="FV212">
        <v>7</v>
      </c>
      <c r="FW212">
        <v>6</v>
      </c>
      <c r="FX212">
        <v>0.1</v>
      </c>
      <c r="FY212">
        <v>0.1</v>
      </c>
      <c r="FZ212">
        <v>0.2</v>
      </c>
      <c r="GA212">
        <v>0.3</v>
      </c>
      <c r="GB212">
        <v>0.3</v>
      </c>
      <c r="GC212">
        <f>FS212*FX212</f>
        <v>1</v>
      </c>
      <c r="GD212">
        <f>FT212*FY212</f>
        <v>0.9</v>
      </c>
      <c r="GE212">
        <f>FU212*FZ212</f>
        <v>1.6</v>
      </c>
      <c r="GF212">
        <f>FV212*GA212</f>
        <v>2.1</v>
      </c>
      <c r="GG212">
        <f>FW212*GB212</f>
        <v>1.7999999999999998</v>
      </c>
      <c r="GH212">
        <v>6.4</v>
      </c>
      <c r="GI212">
        <v>0</v>
      </c>
      <c r="GJ212">
        <v>6.4</v>
      </c>
      <c r="GK212">
        <f>GC212+GD212+GE212+GF212+GG212</f>
        <v>7.3999999999999995</v>
      </c>
      <c r="GL212">
        <f>MEDIAN(FS212:FW212)</f>
        <v>8</v>
      </c>
    </row>
    <row r="213" spans="1:194" x14ac:dyDescent="0.25">
      <c r="A213">
        <v>255</v>
      </c>
      <c r="B213" t="s">
        <v>2</v>
      </c>
      <c r="C213" s="4">
        <v>75.900000000000006</v>
      </c>
      <c r="D213">
        <v>3.3</v>
      </c>
      <c r="E213" s="1">
        <f>C213/3/D213</f>
        <v>7.666666666666667</v>
      </c>
      <c r="G213">
        <v>36.64</v>
      </c>
      <c r="H213">
        <v>8.1999999999999993</v>
      </c>
      <c r="I213">
        <f>H213*D213*3</f>
        <v>81.179999999999978</v>
      </c>
      <c r="J213">
        <v>18.489999999999998</v>
      </c>
      <c r="K213">
        <v>8.4</v>
      </c>
      <c r="L213" s="3">
        <f>K213*3*D213</f>
        <v>83.160000000000011</v>
      </c>
      <c r="M213">
        <v>5.16</v>
      </c>
      <c r="N213">
        <v>3</v>
      </c>
      <c r="O213">
        <f>N213*D213*3</f>
        <v>29.699999999999996</v>
      </c>
      <c r="P213" s="5">
        <v>8.6999999999999993</v>
      </c>
      <c r="Q213" s="5">
        <f>P213*D213*3</f>
        <v>86.13</v>
      </c>
      <c r="S213" t="s">
        <v>6384</v>
      </c>
      <c r="T213">
        <v>5.0999999999999996</v>
      </c>
      <c r="U213" s="8">
        <f>T213*D213*3</f>
        <v>50.489999999999995</v>
      </c>
      <c r="V213">
        <v>31.39</v>
      </c>
      <c r="W213">
        <v>9</v>
      </c>
      <c r="X213" s="5">
        <f>W213*D213*3</f>
        <v>89.1</v>
      </c>
      <c r="Y213">
        <v>11.27</v>
      </c>
      <c r="Z213">
        <v>7.5</v>
      </c>
      <c r="AA213">
        <f>Z213*D213*3</f>
        <v>74.25</v>
      </c>
      <c r="AC213">
        <v>127.42</v>
      </c>
      <c r="AD213">
        <v>7.3000000000000007</v>
      </c>
      <c r="AE213" s="1">
        <f>AD213*3*D213</f>
        <v>72.27000000000001</v>
      </c>
      <c r="AF213">
        <v>11.98</v>
      </c>
      <c r="AG213" s="5">
        <v>7</v>
      </c>
      <c r="AH213" s="5">
        <f>AG213*D213*3</f>
        <v>69.3</v>
      </c>
      <c r="AI213" s="13"/>
      <c r="AK213" s="8">
        <f>AJ213*D213*3</f>
        <v>0</v>
      </c>
      <c r="AL213" s="13"/>
      <c r="AM213">
        <v>31.11</v>
      </c>
      <c r="AN213">
        <v>7.3</v>
      </c>
      <c r="AO213" s="8">
        <f>AN213*D213*3</f>
        <v>72.27</v>
      </c>
      <c r="AP213">
        <v>14.73</v>
      </c>
      <c r="AQ213">
        <v>8.8000000000000007</v>
      </c>
      <c r="AR213">
        <f>AQ213*D213*3</f>
        <v>87.12</v>
      </c>
      <c r="AU213">
        <f>AT213*D213*3</f>
        <v>0</v>
      </c>
      <c r="AW213">
        <v>24.46</v>
      </c>
      <c r="AX213">
        <v>9.4</v>
      </c>
      <c r="AY213">
        <f>AX213*D213*3</f>
        <v>93.06</v>
      </c>
      <c r="AZ213">
        <v>24.46</v>
      </c>
      <c r="BA213">
        <v>9.6</v>
      </c>
      <c r="BB213">
        <f>BA213*D213*3</f>
        <v>95.039999999999992</v>
      </c>
      <c r="BD213">
        <v>9</v>
      </c>
      <c r="BE213">
        <f>BD213*D213*3</f>
        <v>89.1</v>
      </c>
      <c r="BG213" s="10"/>
      <c r="BH213" s="1">
        <f>CHOOSE(MATCH(MIN(ABS(BP213-C213),ABS(BQ213-C213),ABS(BR213-C213)),CHOOSE({1;2;3},ABS(BP213-C213),ABS(BQ213-C213),ABS(BR213-C213)),0),BP213,BQ213,BR213)</f>
        <v>69.3</v>
      </c>
      <c r="BJ213" s="1" cm="1">
        <f t="array" ref="BJ213">(INDEX(_xlfn._xlws.SORT(CHOOSE({1;2;3;4;5;6},BQ213,BR213,L213,AE213,BO213,BP213)),3) + INDEX(_xlfn._xlws.SORT(CHOOSE({1;2;3;4;5;6},BQ213,BR213,L213,AE213,BO213,BP213)),4))/2</f>
        <v>70.784999999999997</v>
      </c>
      <c r="BK213">
        <v>7.9828504137872596</v>
      </c>
      <c r="BL213" s="11" t="s">
        <v>6116</v>
      </c>
      <c r="BM213" s="1">
        <f>BK213*3*D213</f>
        <v>79.030219096493866</v>
      </c>
      <c r="BN213" s="1">
        <f>BM213-C213</f>
        <v>3.1302190964938603</v>
      </c>
      <c r="BO213" s="1">
        <f>GK213*3*D213</f>
        <v>58.41</v>
      </c>
      <c r="BP213" s="1">
        <f>DO213*3*D213</f>
        <v>89.1</v>
      </c>
      <c r="BQ213" s="1">
        <f>FJ213*3*D213</f>
        <v>69.3</v>
      </c>
      <c r="BR213" s="1">
        <f>GL213*3*D213</f>
        <v>59.4</v>
      </c>
      <c r="BT213">
        <v>36.64</v>
      </c>
      <c r="BU213">
        <v>8.1999999999999993</v>
      </c>
      <c r="BV213" t="s">
        <v>5018</v>
      </c>
      <c r="BW213" t="s">
        <v>5019</v>
      </c>
      <c r="BX213" t="s">
        <v>5020</v>
      </c>
      <c r="BY213" t="s">
        <v>5257</v>
      </c>
      <c r="BZ213" t="s">
        <v>5258</v>
      </c>
      <c r="CA213" t="s">
        <v>2437</v>
      </c>
      <c r="CC213" t="s">
        <v>2518</v>
      </c>
      <c r="CD213" t="s">
        <v>2508</v>
      </c>
      <c r="CE213" t="s">
        <v>2440</v>
      </c>
      <c r="CG213" t="s">
        <v>2509</v>
      </c>
      <c r="CH213" t="s">
        <v>2510</v>
      </c>
      <c r="CI213" t="s">
        <v>2443</v>
      </c>
      <c r="CK213" t="s">
        <v>2511</v>
      </c>
      <c r="CL213" t="s">
        <v>2512</v>
      </c>
      <c r="CM213" t="s">
        <v>2446</v>
      </c>
      <c r="CO213" t="s">
        <v>2513</v>
      </c>
      <c r="CP213" t="s">
        <v>2514</v>
      </c>
      <c r="CQ213" t="s">
        <v>2449</v>
      </c>
      <c r="CS213" t="s">
        <v>2523</v>
      </c>
      <c r="CT213" t="s">
        <v>2524</v>
      </c>
      <c r="CV213">
        <v>9</v>
      </c>
      <c r="CW213">
        <v>9</v>
      </c>
      <c r="CX213">
        <v>9</v>
      </c>
      <c r="CY213">
        <v>9</v>
      </c>
      <c r="CZ213">
        <v>9</v>
      </c>
      <c r="DA213">
        <v>0.1</v>
      </c>
      <c r="DB213">
        <v>0.1</v>
      </c>
      <c r="DC213">
        <v>0.2</v>
      </c>
      <c r="DD213">
        <v>0.3</v>
      </c>
      <c r="DE213">
        <v>0.3</v>
      </c>
      <c r="DF213">
        <v>0.9</v>
      </c>
      <c r="DG213">
        <v>0.9</v>
      </c>
      <c r="DH213">
        <v>1.8</v>
      </c>
      <c r="DI213">
        <v>2.7</v>
      </c>
      <c r="DJ213">
        <v>2.7</v>
      </c>
      <c r="DK213">
        <v>8.1999999999999993</v>
      </c>
      <c r="DL213">
        <v>0</v>
      </c>
      <c r="DM213">
        <v>8.1999999999999993</v>
      </c>
      <c r="DN213">
        <v>8.4</v>
      </c>
      <c r="DO213">
        <f>AVERAGE(CV213:CZ213)</f>
        <v>9</v>
      </c>
      <c r="DQ213" t="s">
        <v>452</v>
      </c>
      <c r="DR213" t="s">
        <v>65</v>
      </c>
      <c r="DS213" t="s">
        <v>66</v>
      </c>
      <c r="DT213" t="s">
        <v>67</v>
      </c>
      <c r="DU213" t="s">
        <v>325</v>
      </c>
      <c r="DV213" t="s">
        <v>81</v>
      </c>
      <c r="DW213" t="s">
        <v>3769</v>
      </c>
      <c r="DX213" t="s">
        <v>3770</v>
      </c>
      <c r="DY213" t="s">
        <v>3771</v>
      </c>
      <c r="DZ213" t="s">
        <v>3772</v>
      </c>
      <c r="EA213" t="s">
        <v>3773</v>
      </c>
      <c r="EB213" t="s">
        <v>3774</v>
      </c>
      <c r="EC213" t="s">
        <v>3775</v>
      </c>
      <c r="ED213" t="s">
        <v>3776</v>
      </c>
      <c r="EE213" t="s">
        <v>3777</v>
      </c>
      <c r="EF213" t="s">
        <v>3778</v>
      </c>
      <c r="EG213" t="s">
        <v>3779</v>
      </c>
      <c r="EH213" t="s">
        <v>3780</v>
      </c>
      <c r="EI213" t="s">
        <v>3781</v>
      </c>
      <c r="EJ213" t="s">
        <v>3782</v>
      </c>
      <c r="EK213" t="s">
        <v>4017</v>
      </c>
      <c r="EL213" t="s">
        <v>3815</v>
      </c>
      <c r="EM213" t="s">
        <v>3930</v>
      </c>
      <c r="EN213" t="s">
        <v>3931</v>
      </c>
      <c r="EO213" t="s">
        <v>4106</v>
      </c>
      <c r="EP213" t="s">
        <v>4107</v>
      </c>
      <c r="EQ213">
        <v>7</v>
      </c>
      <c r="ER213">
        <v>8</v>
      </c>
      <c r="ES213">
        <v>8</v>
      </c>
      <c r="ET213">
        <v>7</v>
      </c>
      <c r="EU213">
        <v>7</v>
      </c>
      <c r="EV213">
        <v>0.1</v>
      </c>
      <c r="EW213">
        <v>0.1</v>
      </c>
      <c r="EX213">
        <v>0.2</v>
      </c>
      <c r="EY213">
        <v>0.3</v>
      </c>
      <c r="EZ213">
        <v>0.3</v>
      </c>
      <c r="FA213">
        <f>EV213*EQ213</f>
        <v>0.70000000000000007</v>
      </c>
      <c r="FB213">
        <f>EW213*ER213</f>
        <v>0.8</v>
      </c>
      <c r="FC213">
        <f>EX213*ES213</f>
        <v>1.6</v>
      </c>
      <c r="FD213">
        <f>EY213*ET213</f>
        <v>2.1</v>
      </c>
      <c r="FE213">
        <f>EZ213*EU213</f>
        <v>2.1</v>
      </c>
      <c r="FF213">
        <v>14.7</v>
      </c>
      <c r="FG213">
        <v>0.5</v>
      </c>
      <c r="FH213">
        <v>10</v>
      </c>
      <c r="FI213">
        <f>FA213+FB213+FC213+FD213+FE213</f>
        <v>7.3000000000000007</v>
      </c>
      <c r="FJ213">
        <f>MEDIAN(EQ213:EU213)</f>
        <v>7</v>
      </c>
      <c r="FL213">
        <v>42.66</v>
      </c>
      <c r="FM213">
        <v>5.3</v>
      </c>
      <c r="FN213" t="s">
        <v>1814</v>
      </c>
      <c r="FO213" t="s">
        <v>1815</v>
      </c>
      <c r="FP213" t="s">
        <v>1816</v>
      </c>
      <c r="FQ213" t="s">
        <v>1817</v>
      </c>
      <c r="FR213" t="s">
        <v>1818</v>
      </c>
      <c r="FS213">
        <v>6.5</v>
      </c>
      <c r="FT213">
        <v>7.5</v>
      </c>
      <c r="FU213">
        <v>4.5</v>
      </c>
      <c r="FV213">
        <v>6</v>
      </c>
      <c r="FW213">
        <v>6</v>
      </c>
      <c r="FX213">
        <v>0.1</v>
      </c>
      <c r="FY213">
        <v>0.1</v>
      </c>
      <c r="FZ213">
        <v>0.2</v>
      </c>
      <c r="GA213">
        <v>0.3</v>
      </c>
      <c r="GB213">
        <v>0.3</v>
      </c>
      <c r="GC213">
        <f>FS213*FX213</f>
        <v>0.65</v>
      </c>
      <c r="GD213">
        <f>FT213*FY213</f>
        <v>0.75</v>
      </c>
      <c r="GE213">
        <f>FU213*FZ213</f>
        <v>0.9</v>
      </c>
      <c r="GF213">
        <f>FV213*GA213</f>
        <v>1.7999999999999998</v>
      </c>
      <c r="GG213">
        <f>FW213*GB213</f>
        <v>1.7999999999999998</v>
      </c>
      <c r="GH213">
        <v>5.3</v>
      </c>
      <c r="GJ213">
        <v>5.3</v>
      </c>
      <c r="GK213">
        <f>GC213+GD213+GE213+GF213+GG213</f>
        <v>5.8999999999999995</v>
      </c>
      <c r="GL213">
        <f>MEDIAN(FS213:FW213)</f>
        <v>6</v>
      </c>
    </row>
    <row r="214" spans="1:194" hidden="1" x14ac:dyDescent="0.25">
      <c r="A214">
        <v>213</v>
      </c>
      <c r="B214" t="s">
        <v>2</v>
      </c>
      <c r="C214" s="4">
        <v>91.8</v>
      </c>
      <c r="D214">
        <v>3.4</v>
      </c>
      <c r="E214" s="1">
        <f>C214/3/D214</f>
        <v>9</v>
      </c>
      <c r="G214">
        <v>36.4</v>
      </c>
      <c r="H214">
        <v>8.1999999999999993</v>
      </c>
      <c r="I214">
        <f>H214*D214*3</f>
        <v>83.639999999999986</v>
      </c>
      <c r="J214">
        <v>18.649999999999999</v>
      </c>
      <c r="K214">
        <v>8.4</v>
      </c>
      <c r="L214" s="3">
        <f>K214*3*D214</f>
        <v>85.68</v>
      </c>
      <c r="M214">
        <v>16.7</v>
      </c>
      <c r="O214">
        <f>N214*D214*3</f>
        <v>0</v>
      </c>
      <c r="P214" s="5">
        <v>7</v>
      </c>
      <c r="Q214" s="5">
        <f>P214*D214*3</f>
        <v>71.400000000000006</v>
      </c>
      <c r="S214" t="s">
        <v>6345</v>
      </c>
      <c r="T214">
        <v>7.9</v>
      </c>
      <c r="U214" s="8">
        <f>T214*D214*3</f>
        <v>80.58</v>
      </c>
      <c r="V214">
        <v>34</v>
      </c>
      <c r="W214">
        <v>8.4</v>
      </c>
      <c r="X214" s="5">
        <f>W214*D214*3</f>
        <v>85.679999999999993</v>
      </c>
      <c r="Y214">
        <v>11.05</v>
      </c>
      <c r="Z214">
        <v>8</v>
      </c>
      <c r="AA214">
        <f>Z214*D214*3</f>
        <v>81.599999999999994</v>
      </c>
      <c r="AC214">
        <v>48.9</v>
      </c>
      <c r="AD214">
        <v>8</v>
      </c>
      <c r="AE214" s="1">
        <f>AD214*3*D214</f>
        <v>81.599999999999994</v>
      </c>
      <c r="AF214">
        <v>11.83</v>
      </c>
      <c r="AG214" s="5">
        <v>7</v>
      </c>
      <c r="AH214" s="5">
        <f>AG214*D214*3</f>
        <v>71.400000000000006</v>
      </c>
      <c r="AI214" s="13"/>
      <c r="AJ214">
        <v>6.2</v>
      </c>
      <c r="AK214" s="8">
        <f>AJ214*D214*3</f>
        <v>63.239999999999995</v>
      </c>
      <c r="AL214" s="13"/>
      <c r="AM214">
        <v>30.88</v>
      </c>
      <c r="AN214">
        <v>7.9</v>
      </c>
      <c r="AO214" s="8">
        <f>AN214*D214*3</f>
        <v>80.58</v>
      </c>
      <c r="AP214">
        <v>15.17</v>
      </c>
      <c r="AQ214">
        <v>10</v>
      </c>
      <c r="AR214">
        <f>AQ214*D214*3</f>
        <v>102</v>
      </c>
      <c r="AT214">
        <v>9</v>
      </c>
      <c r="AU214">
        <f>AT214*D214*3</f>
        <v>91.8</v>
      </c>
      <c r="AW214">
        <v>23.88</v>
      </c>
      <c r="AX214">
        <v>9.6</v>
      </c>
      <c r="AY214">
        <f>AX214*D214*3</f>
        <v>97.92</v>
      </c>
      <c r="AZ214">
        <v>23.88</v>
      </c>
      <c r="BA214">
        <v>9</v>
      </c>
      <c r="BB214">
        <f>BA214*D214*3</f>
        <v>91.8</v>
      </c>
      <c r="BD214">
        <v>9</v>
      </c>
      <c r="BE214">
        <f>BD214*D214*3</f>
        <v>91.8</v>
      </c>
      <c r="BG214" s="10"/>
      <c r="BH214" s="1">
        <f>CHOOSE(MATCH(MIN(ABS(BP214-C214),ABS(BQ214-C214),ABS(BR214-C214)),CHOOSE({1;2;3},ABS(BP214-C214),ABS(BQ214-C214),ABS(BR214-C214)),0),BP214,BQ214,BR214)</f>
        <v>91.8</v>
      </c>
      <c r="BJ214" s="1" cm="1">
        <f t="array" ref="BJ214">(INDEX(_xlfn._xlws.SORT(CHOOSE({1;2;3;4;5;6},BQ214,BR214,L214,AE214,BO214,BP214)),3) + INDEX(_xlfn._xlws.SORT(CHOOSE({1;2;3;4;5;6},BQ214,BR214,L214,AE214,BO214,BP214)),4))/2</f>
        <v>81.599999999999994</v>
      </c>
      <c r="BK214">
        <v>8.9286981094823705</v>
      </c>
      <c r="BL214" t="s">
        <v>6117</v>
      </c>
      <c r="BM214" s="1">
        <f>BK214*3*D214</f>
        <v>91.072720716720184</v>
      </c>
      <c r="BN214" s="1">
        <f>BM214-C214</f>
        <v>-0.72727928327981317</v>
      </c>
      <c r="BO214" s="1">
        <f>GK214*3*D214</f>
        <v>59.16</v>
      </c>
      <c r="BP214" s="1">
        <f>DO214*3*D214</f>
        <v>91.8</v>
      </c>
      <c r="BQ214" s="1">
        <f>FJ214*3*D214</f>
        <v>81.599999999999994</v>
      </c>
      <c r="BR214" s="1">
        <f>GL214*3*D214</f>
        <v>61.199999999999996</v>
      </c>
      <c r="BT214">
        <v>36.4</v>
      </c>
      <c r="BU214">
        <v>8.1999999999999993</v>
      </c>
      <c r="BV214" t="s">
        <v>5018</v>
      </c>
      <c r="BW214" t="s">
        <v>5019</v>
      </c>
      <c r="BX214" t="s">
        <v>5020</v>
      </c>
      <c r="BY214" t="s">
        <v>5690</v>
      </c>
      <c r="BZ214" t="s">
        <v>5022</v>
      </c>
      <c r="CA214" t="s">
        <v>2437</v>
      </c>
      <c r="CC214" t="s">
        <v>2518</v>
      </c>
      <c r="CD214" t="s">
        <v>2508</v>
      </c>
      <c r="CE214" t="s">
        <v>2440</v>
      </c>
      <c r="CG214" t="s">
        <v>2509</v>
      </c>
      <c r="CH214" t="s">
        <v>2510</v>
      </c>
      <c r="CI214" t="s">
        <v>2443</v>
      </c>
      <c r="CK214" t="s">
        <v>2511</v>
      </c>
      <c r="CL214" t="s">
        <v>2512</v>
      </c>
      <c r="CM214" t="s">
        <v>2446</v>
      </c>
      <c r="CO214" t="s">
        <v>2513</v>
      </c>
      <c r="CP214" t="s">
        <v>2514</v>
      </c>
      <c r="CQ214" t="s">
        <v>2449</v>
      </c>
      <c r="CS214" t="s">
        <v>2523</v>
      </c>
      <c r="CT214" t="s">
        <v>2524</v>
      </c>
      <c r="CV214">
        <v>9</v>
      </c>
      <c r="CW214">
        <v>9</v>
      </c>
      <c r="CX214">
        <v>9</v>
      </c>
      <c r="CY214">
        <v>9</v>
      </c>
      <c r="CZ214">
        <v>9</v>
      </c>
      <c r="DA214">
        <v>0.1</v>
      </c>
      <c r="DB214">
        <v>0.1</v>
      </c>
      <c r="DC214">
        <v>0.2</v>
      </c>
      <c r="DD214">
        <v>0.3</v>
      </c>
      <c r="DE214">
        <v>0.3</v>
      </c>
      <c r="DF214">
        <v>0.9</v>
      </c>
      <c r="DG214">
        <v>0.9</v>
      </c>
      <c r="DH214">
        <v>1.8</v>
      </c>
      <c r="DI214">
        <v>2.7</v>
      </c>
      <c r="DJ214">
        <v>2.7</v>
      </c>
      <c r="DK214">
        <v>8.1999999999999993</v>
      </c>
      <c r="DL214">
        <v>0</v>
      </c>
      <c r="DM214">
        <v>8.1999999999999993</v>
      </c>
      <c r="DN214">
        <v>8.4</v>
      </c>
      <c r="DO214">
        <f>AVERAGE(CV214:CZ214)</f>
        <v>9</v>
      </c>
      <c r="DQ214">
        <v>8</v>
      </c>
      <c r="DR214" t="s">
        <v>408</v>
      </c>
      <c r="DS214" t="s">
        <v>409</v>
      </c>
      <c r="DT214" t="s">
        <v>35</v>
      </c>
      <c r="DU214" t="s">
        <v>36</v>
      </c>
      <c r="DV214" t="s">
        <v>200</v>
      </c>
      <c r="DW214" t="s">
        <v>3788</v>
      </c>
      <c r="DX214" t="s">
        <v>3789</v>
      </c>
      <c r="DY214" t="s">
        <v>3790</v>
      </c>
      <c r="DZ214" t="s">
        <v>3791</v>
      </c>
      <c r="EA214" t="s">
        <v>3792</v>
      </c>
      <c r="EB214" t="s">
        <v>3793</v>
      </c>
      <c r="EC214" t="s">
        <v>3794</v>
      </c>
      <c r="ED214" t="s">
        <v>3795</v>
      </c>
      <c r="EE214" t="s">
        <v>3796</v>
      </c>
      <c r="EF214" t="s">
        <v>3797</v>
      </c>
      <c r="EG214" t="s">
        <v>3798</v>
      </c>
      <c r="EH214" t="s">
        <v>3798</v>
      </c>
      <c r="EI214" t="s">
        <v>3799</v>
      </c>
      <c r="EJ214" t="s">
        <v>3800</v>
      </c>
      <c r="EK214" t="s">
        <v>3801</v>
      </c>
      <c r="EL214" t="s">
        <v>3801</v>
      </c>
      <c r="EM214" t="s">
        <v>4227</v>
      </c>
      <c r="EN214" t="s">
        <v>3803</v>
      </c>
      <c r="EO214" t="s">
        <v>4228</v>
      </c>
      <c r="EP214" t="s">
        <v>4229</v>
      </c>
      <c r="EQ214">
        <v>8</v>
      </c>
      <c r="ER214">
        <v>8</v>
      </c>
      <c r="ES214">
        <v>8</v>
      </c>
      <c r="ET214">
        <v>8</v>
      </c>
      <c r="EU214">
        <v>8</v>
      </c>
      <c r="EV214">
        <v>0.1</v>
      </c>
      <c r="EW214">
        <v>0.1</v>
      </c>
      <c r="EX214">
        <v>0.2</v>
      </c>
      <c r="EY214">
        <v>0.3</v>
      </c>
      <c r="EZ214">
        <v>0.3</v>
      </c>
      <c r="FA214">
        <f>EV214*EQ214</f>
        <v>0.8</v>
      </c>
      <c r="FB214">
        <f>EW214*ER214</f>
        <v>0.8</v>
      </c>
      <c r="FC214">
        <f>EX214*ES214</f>
        <v>1.6</v>
      </c>
      <c r="FD214">
        <f>EY214*ET214</f>
        <v>2.4</v>
      </c>
      <c r="FE214">
        <f>EZ214*EU214</f>
        <v>2.4</v>
      </c>
      <c r="FF214">
        <v>18</v>
      </c>
      <c r="FG214">
        <v>0</v>
      </c>
      <c r="FH214">
        <v>8</v>
      </c>
      <c r="FI214">
        <f>FA214+FB214+FC214+FD214+FE214</f>
        <v>8</v>
      </c>
      <c r="FJ214">
        <f>MEDIAN(EQ214:EU214)</f>
        <v>8</v>
      </c>
      <c r="FL214">
        <v>36.270000000000003</v>
      </c>
      <c r="FM214">
        <v>9</v>
      </c>
      <c r="FN214" t="s">
        <v>1611</v>
      </c>
      <c r="FO214" t="s">
        <v>1612</v>
      </c>
      <c r="FP214" t="s">
        <v>1613</v>
      </c>
      <c r="FQ214" t="s">
        <v>1614</v>
      </c>
      <c r="FR214" t="s">
        <v>1615</v>
      </c>
      <c r="FS214">
        <v>5</v>
      </c>
      <c r="FT214">
        <v>8</v>
      </c>
      <c r="FU214">
        <v>6</v>
      </c>
      <c r="FV214">
        <v>7</v>
      </c>
      <c r="FW214">
        <v>4</v>
      </c>
      <c r="FX214">
        <v>0.1</v>
      </c>
      <c r="FY214">
        <v>0.1</v>
      </c>
      <c r="FZ214">
        <v>0.2</v>
      </c>
      <c r="GA214">
        <v>0.3</v>
      </c>
      <c r="GB214">
        <v>0.3</v>
      </c>
      <c r="GC214">
        <f>FS214*FX214</f>
        <v>0.5</v>
      </c>
      <c r="GD214">
        <f>FT214*FY214</f>
        <v>0.8</v>
      </c>
      <c r="GE214">
        <f>FU214*FZ214</f>
        <v>1.2000000000000002</v>
      </c>
      <c r="GF214">
        <f>FV214*GA214</f>
        <v>2.1</v>
      </c>
      <c r="GG214">
        <f>FW214*GB214</f>
        <v>1.2</v>
      </c>
      <c r="GH214">
        <v>9</v>
      </c>
      <c r="GI214">
        <v>0</v>
      </c>
      <c r="GJ214">
        <v>9</v>
      </c>
      <c r="GK214">
        <f>GC214+GD214+GE214+GF214+GG214</f>
        <v>5.8</v>
      </c>
      <c r="GL214">
        <f>MEDIAN(FS214:FW214)</f>
        <v>6</v>
      </c>
    </row>
    <row r="215" spans="1:194" x14ac:dyDescent="0.25">
      <c r="A215">
        <v>167</v>
      </c>
      <c r="B215" t="s">
        <v>2</v>
      </c>
      <c r="C215" s="4">
        <v>93.6</v>
      </c>
      <c r="D215">
        <v>3.6</v>
      </c>
      <c r="E215" s="1">
        <f>C215/3/D215</f>
        <v>8.6666666666666661</v>
      </c>
      <c r="G215">
        <v>39.24</v>
      </c>
      <c r="H215">
        <v>8</v>
      </c>
      <c r="I215">
        <f>H215*D215*3</f>
        <v>86.4</v>
      </c>
      <c r="J215">
        <v>18.03</v>
      </c>
      <c r="K215">
        <v>8.6999999999999993</v>
      </c>
      <c r="L215" s="3">
        <f>K215*3*D215</f>
        <v>93.96</v>
      </c>
      <c r="M215">
        <v>5.0599999999999996</v>
      </c>
      <c r="N215">
        <v>6.5</v>
      </c>
      <c r="O215">
        <f>N215*D215*3</f>
        <v>70.2</v>
      </c>
      <c r="P215" s="5">
        <v>7.2</v>
      </c>
      <c r="Q215" s="5">
        <f>P215*D215*3</f>
        <v>77.760000000000005</v>
      </c>
      <c r="S215" t="s">
        <v>6300</v>
      </c>
      <c r="T215">
        <v>7.3</v>
      </c>
      <c r="U215" s="8">
        <f>T215*D215*3</f>
        <v>78.84</v>
      </c>
      <c r="V215">
        <v>37.22</v>
      </c>
      <c r="W215">
        <v>6</v>
      </c>
      <c r="X215" s="5">
        <f>W215*D215*3</f>
        <v>64.800000000000011</v>
      </c>
      <c r="Y215">
        <v>12.58</v>
      </c>
      <c r="Z215">
        <v>7.5</v>
      </c>
      <c r="AA215">
        <f>Z215*D215*3</f>
        <v>81</v>
      </c>
      <c r="AC215">
        <v>48.48</v>
      </c>
      <c r="AD215">
        <v>8</v>
      </c>
      <c r="AE215" s="1">
        <f>AD215*3*D215</f>
        <v>86.4</v>
      </c>
      <c r="AF215">
        <v>11.86</v>
      </c>
      <c r="AG215" s="5">
        <v>7</v>
      </c>
      <c r="AH215" s="5">
        <f>AG215*D215*3</f>
        <v>75.599999999999994</v>
      </c>
      <c r="AI215" s="13"/>
      <c r="AJ215">
        <v>43</v>
      </c>
      <c r="AK215" s="8">
        <f>AJ215*D215*3</f>
        <v>464.40000000000003</v>
      </c>
      <c r="AL215" s="13"/>
      <c r="AM215">
        <v>30.47</v>
      </c>
      <c r="AN215">
        <v>7.2</v>
      </c>
      <c r="AO215" s="8">
        <f>AN215*D215*3</f>
        <v>77.760000000000005</v>
      </c>
      <c r="AP215">
        <v>13.14</v>
      </c>
      <c r="AQ215">
        <v>10</v>
      </c>
      <c r="AR215">
        <f>AQ215*D215*3</f>
        <v>108</v>
      </c>
      <c r="AT215">
        <v>8.5</v>
      </c>
      <c r="AU215">
        <f>AT215*D215*3</f>
        <v>91.800000000000011</v>
      </c>
      <c r="AW215">
        <v>23.67</v>
      </c>
      <c r="AX215">
        <v>8.8000000000000007</v>
      </c>
      <c r="AY215">
        <f>AX215*D215*3</f>
        <v>95.04</v>
      </c>
      <c r="AZ215">
        <v>23.67</v>
      </c>
      <c r="BA215">
        <v>8.4</v>
      </c>
      <c r="BB215">
        <f>BA215*D215*3</f>
        <v>90.72</v>
      </c>
      <c r="BD215">
        <v>7.9</v>
      </c>
      <c r="BE215">
        <f>BD215*D215*3</f>
        <v>85.320000000000007</v>
      </c>
      <c r="BG215" s="10"/>
      <c r="BH215" s="1">
        <f>CHOOSE(MATCH(MIN(ABS(BP215-C215),ABS(BQ215-C215),ABS(BR215-C215)),CHOOSE({1;2;3},ABS(BP215-C215),ABS(BQ215-C215),ABS(BR215-C215)),0),BP215,BQ215,BR215)</f>
        <v>97.2</v>
      </c>
      <c r="BJ215" s="1" cm="1">
        <f t="array" ref="BJ215">(INDEX(_xlfn._xlws.SORT(CHOOSE({1;2;3;4;5;6},BQ215,BR215,L215,AE215,BO215,BP215)),3) + INDEX(_xlfn._xlws.SORT(CHOOSE({1;2;3;4;5;6},BQ215,BR215,L215,AE215,BO215,BP215)),4))/2</f>
        <v>86.4</v>
      </c>
      <c r="BK215">
        <v>9.0110157722304702</v>
      </c>
      <c r="BL215" s="11" t="s">
        <v>6116</v>
      </c>
      <c r="BM215" s="1">
        <f>BK215*3*D215</f>
        <v>97.318970340089081</v>
      </c>
      <c r="BN215" s="1">
        <f>BM215-C215</f>
        <v>3.7189703400890863</v>
      </c>
      <c r="BO215" s="1">
        <f>GK215*3*D215</f>
        <v>59.4</v>
      </c>
      <c r="BP215" s="1">
        <f>DO215*3*D215</f>
        <v>97.2</v>
      </c>
      <c r="BQ215" s="1">
        <f>FJ215*3*D215</f>
        <v>86.4</v>
      </c>
      <c r="BR215" s="1">
        <f>GL215*3*D215</f>
        <v>70.2</v>
      </c>
      <c r="BT215">
        <v>39.24</v>
      </c>
      <c r="BU215">
        <v>8</v>
      </c>
      <c r="BV215" t="s">
        <v>5548</v>
      </c>
      <c r="BW215" t="s">
        <v>5549</v>
      </c>
      <c r="BX215" t="s">
        <v>5550</v>
      </c>
      <c r="BY215" t="s">
        <v>5551</v>
      </c>
      <c r="CA215" t="s">
        <v>2452</v>
      </c>
      <c r="CC215" t="s">
        <v>2438</v>
      </c>
      <c r="CD215" t="s">
        <v>2453</v>
      </c>
      <c r="CE215" t="s">
        <v>2586</v>
      </c>
      <c r="CG215" t="s">
        <v>2791</v>
      </c>
      <c r="CH215" t="s">
        <v>2587</v>
      </c>
      <c r="CI215" t="s">
        <v>2567</v>
      </c>
      <c r="CK215" t="s">
        <v>2792</v>
      </c>
      <c r="CL215" t="s">
        <v>2588</v>
      </c>
      <c r="CM215" t="s">
        <v>2589</v>
      </c>
      <c r="CO215" t="s">
        <v>2793</v>
      </c>
      <c r="CP215" t="s">
        <v>2590</v>
      </c>
      <c r="CQ215" t="s">
        <v>2591</v>
      </c>
      <c r="CS215" t="s">
        <v>2794</v>
      </c>
      <c r="CT215" t="s">
        <v>2592</v>
      </c>
      <c r="CV215">
        <v>9</v>
      </c>
      <c r="CW215">
        <v>9</v>
      </c>
      <c r="CX215">
        <v>9</v>
      </c>
      <c r="CY215">
        <v>9</v>
      </c>
      <c r="CZ215">
        <v>9</v>
      </c>
      <c r="DA215">
        <v>0.1</v>
      </c>
      <c r="DB215">
        <v>0.1</v>
      </c>
      <c r="DC215">
        <v>0.2</v>
      </c>
      <c r="DD215">
        <v>0.3</v>
      </c>
      <c r="DE215">
        <v>0.3</v>
      </c>
      <c r="DF215">
        <v>0.9</v>
      </c>
      <c r="DG215">
        <v>0.9</v>
      </c>
      <c r="DH215">
        <v>1.8</v>
      </c>
      <c r="DI215">
        <v>2.7</v>
      </c>
      <c r="DJ215">
        <v>2.7</v>
      </c>
      <c r="DK215">
        <v>8</v>
      </c>
      <c r="DL215">
        <v>0</v>
      </c>
      <c r="DM215">
        <v>8</v>
      </c>
      <c r="DN215">
        <v>8.6999999999999993</v>
      </c>
      <c r="DO215">
        <f>AVERAGE(CV215:CZ215)</f>
        <v>9</v>
      </c>
      <c r="DQ215" t="s">
        <v>27</v>
      </c>
      <c r="DR215" t="s">
        <v>52</v>
      </c>
      <c r="DS215" t="s">
        <v>61</v>
      </c>
      <c r="DT215" t="s">
        <v>70</v>
      </c>
      <c r="DU215" t="s">
        <v>71</v>
      </c>
      <c r="DV215" t="s">
        <v>348</v>
      </c>
      <c r="DW215" t="s">
        <v>3836</v>
      </c>
      <c r="DX215" t="s">
        <v>3858</v>
      </c>
      <c r="DY215" t="s">
        <v>3883</v>
      </c>
      <c r="DZ215" t="s">
        <v>3884</v>
      </c>
      <c r="EA215" t="s">
        <v>3860</v>
      </c>
      <c r="EB215" t="s">
        <v>3840</v>
      </c>
      <c r="EC215" t="s">
        <v>3885</v>
      </c>
      <c r="ED215" t="s">
        <v>3861</v>
      </c>
      <c r="EE215" t="s">
        <v>3886</v>
      </c>
      <c r="EF215" t="s">
        <v>4245</v>
      </c>
      <c r="EG215" t="s">
        <v>3888</v>
      </c>
      <c r="EH215" t="s">
        <v>4446</v>
      </c>
      <c r="EI215" t="s">
        <v>3879</v>
      </c>
      <c r="EJ215" t="s">
        <v>4247</v>
      </c>
      <c r="EK215" t="s">
        <v>3891</v>
      </c>
      <c r="EL215" t="s">
        <v>4447</v>
      </c>
      <c r="EM215" t="s">
        <v>4544</v>
      </c>
      <c r="EN215" t="s">
        <v>4545</v>
      </c>
      <c r="EO215" t="s">
        <v>4546</v>
      </c>
      <c r="EP215" t="s">
        <v>4547</v>
      </c>
      <c r="EQ215">
        <v>8</v>
      </c>
      <c r="ER215">
        <v>8</v>
      </c>
      <c r="ES215">
        <v>8</v>
      </c>
      <c r="ET215">
        <v>8</v>
      </c>
      <c r="EU215">
        <v>8</v>
      </c>
      <c r="EV215">
        <v>0.1</v>
      </c>
      <c r="EW215">
        <v>0.1</v>
      </c>
      <c r="EX215">
        <v>0.2</v>
      </c>
      <c r="EY215">
        <v>0.3</v>
      </c>
      <c r="EZ215">
        <v>0.3</v>
      </c>
      <c r="FA215">
        <f>EV215*EQ215</f>
        <v>0.8</v>
      </c>
      <c r="FB215">
        <f>EW215*ER215</f>
        <v>0.8</v>
      </c>
      <c r="FC215">
        <f>EX215*ES215</f>
        <v>1.6</v>
      </c>
      <c r="FD215">
        <f>EY215*ET215</f>
        <v>2.4</v>
      </c>
      <c r="FE215">
        <f>EZ215*EU215</f>
        <v>2.4</v>
      </c>
      <c r="FF215">
        <v>17</v>
      </c>
      <c r="FG215">
        <v>0</v>
      </c>
      <c r="FH215">
        <v>8</v>
      </c>
      <c r="FI215">
        <f>FA215+FB215+FC215+FD215+FE215</f>
        <v>8</v>
      </c>
      <c r="FJ215">
        <f>MEDIAN(EQ215:EU215)</f>
        <v>8</v>
      </c>
      <c r="FL215">
        <v>37.96</v>
      </c>
      <c r="FM215">
        <v>5</v>
      </c>
      <c r="FN215" t="s">
        <v>1392</v>
      </c>
      <c r="FO215" t="s">
        <v>1393</v>
      </c>
      <c r="FP215" t="s">
        <v>1394</v>
      </c>
      <c r="FQ215" t="s">
        <v>1395</v>
      </c>
      <c r="FR215" t="s">
        <v>1396</v>
      </c>
      <c r="FS215">
        <v>6.5</v>
      </c>
      <c r="FT215">
        <v>8</v>
      </c>
      <c r="FU215">
        <v>4.5</v>
      </c>
      <c r="FV215">
        <v>7</v>
      </c>
      <c r="FW215">
        <v>3.5</v>
      </c>
      <c r="FX215">
        <v>0.1</v>
      </c>
      <c r="FY215">
        <v>0.1</v>
      </c>
      <c r="FZ215">
        <v>0.2</v>
      </c>
      <c r="GA215">
        <v>0.3</v>
      </c>
      <c r="GB215">
        <v>0.3</v>
      </c>
      <c r="GC215">
        <f>FS215*FX215</f>
        <v>0.65</v>
      </c>
      <c r="GD215">
        <f>FT215*FY215</f>
        <v>0.8</v>
      </c>
      <c r="GE215">
        <f>FU215*FZ215</f>
        <v>0.9</v>
      </c>
      <c r="GF215">
        <f>FV215*GA215</f>
        <v>2.1</v>
      </c>
      <c r="GG215">
        <f>FW215*GB215</f>
        <v>1.05</v>
      </c>
      <c r="GH215">
        <v>5.55</v>
      </c>
      <c r="GI215">
        <v>-0.5</v>
      </c>
      <c r="GJ215">
        <v>5</v>
      </c>
      <c r="GK215">
        <f>GC215+GD215+GE215+GF215+GG215</f>
        <v>5.5</v>
      </c>
      <c r="GL215">
        <f>MEDIAN(FS215:FW215)</f>
        <v>6.5</v>
      </c>
    </row>
    <row r="216" spans="1:194" x14ac:dyDescent="0.25">
      <c r="A216">
        <v>142</v>
      </c>
      <c r="B216" t="s">
        <v>2</v>
      </c>
      <c r="C216" s="4">
        <v>91.8</v>
      </c>
      <c r="D216">
        <v>3.6</v>
      </c>
      <c r="E216" s="1">
        <f>C216/3/D216</f>
        <v>8.5</v>
      </c>
      <c r="G216">
        <v>37.56</v>
      </c>
      <c r="H216">
        <v>8.4</v>
      </c>
      <c r="I216">
        <f>H216*D216*3</f>
        <v>90.72</v>
      </c>
      <c r="J216">
        <v>16.55</v>
      </c>
      <c r="K216">
        <v>9</v>
      </c>
      <c r="L216" s="3">
        <f>K216*3*D216</f>
        <v>97.2</v>
      </c>
      <c r="M216">
        <v>4.9400000000000004</v>
      </c>
      <c r="N216">
        <v>3</v>
      </c>
      <c r="O216">
        <f>N216*D216*3</f>
        <v>32.400000000000006</v>
      </c>
      <c r="P216" s="5">
        <v>7.9</v>
      </c>
      <c r="Q216" s="5">
        <f>P216*D216*3</f>
        <v>85.320000000000007</v>
      </c>
      <c r="S216" t="s">
        <v>6276</v>
      </c>
      <c r="T216">
        <v>6.2</v>
      </c>
      <c r="U216" s="8">
        <f>T216*D216*3</f>
        <v>66.960000000000008</v>
      </c>
      <c r="V216">
        <v>31.19</v>
      </c>
      <c r="W216">
        <v>8.4</v>
      </c>
      <c r="X216" s="5">
        <f>W216*D216*3</f>
        <v>90.72</v>
      </c>
      <c r="Y216">
        <v>11.72</v>
      </c>
      <c r="Z216">
        <v>6.5</v>
      </c>
      <c r="AA216">
        <f>Z216*D216*3</f>
        <v>70.2</v>
      </c>
      <c r="AC216">
        <v>46.09</v>
      </c>
      <c r="AD216">
        <v>8</v>
      </c>
      <c r="AE216" s="1">
        <f>AD216*3*D216</f>
        <v>86.4</v>
      </c>
      <c r="AF216">
        <v>11.78</v>
      </c>
      <c r="AG216" s="5">
        <v>7</v>
      </c>
      <c r="AH216" s="5">
        <f>AG216*D216*3</f>
        <v>75.599999999999994</v>
      </c>
      <c r="AI216" s="13"/>
      <c r="AK216" s="8">
        <f>AJ216*D216*3</f>
        <v>0</v>
      </c>
      <c r="AL216" s="13"/>
      <c r="AM216">
        <v>30.53</v>
      </c>
      <c r="AN216">
        <v>7</v>
      </c>
      <c r="AO216" s="8">
        <f>AN216*D216*3</f>
        <v>75.599999999999994</v>
      </c>
      <c r="AP216">
        <v>12.69</v>
      </c>
      <c r="AQ216">
        <v>9.5</v>
      </c>
      <c r="AR216">
        <f>AQ216*D216*3</f>
        <v>102.60000000000001</v>
      </c>
      <c r="AT216">
        <v>8.1</v>
      </c>
      <c r="AU216">
        <f>AT216*D216*3</f>
        <v>87.48</v>
      </c>
      <c r="AW216">
        <v>26.78</v>
      </c>
      <c r="AX216">
        <v>9.3000000000000007</v>
      </c>
      <c r="AY216">
        <f>AX216*D216*3</f>
        <v>100.44000000000001</v>
      </c>
      <c r="AZ216">
        <v>26.78</v>
      </c>
      <c r="BA216">
        <v>9.1999999999999993</v>
      </c>
      <c r="BB216">
        <f>BA216*D216*3</f>
        <v>99.359999999999985</v>
      </c>
      <c r="BD216">
        <v>9</v>
      </c>
      <c r="BE216">
        <f>BD216*D216*3</f>
        <v>97.199999999999989</v>
      </c>
      <c r="BG216" s="10"/>
      <c r="BH216" s="1">
        <f>CHOOSE(MATCH(MIN(ABS(BP216-C216),ABS(BQ216-C216),ABS(BR216-C216)),CHOOSE({1;2;3},ABS(BP216-C216),ABS(BQ216-C216),ABS(BR216-C216)),0),BP216,BQ216,BR216)</f>
        <v>92.88</v>
      </c>
      <c r="BJ216" s="1" cm="1">
        <f t="array" ref="BJ216">(INDEX(_xlfn._xlws.SORT(CHOOSE({1;2;3;4;5;6},BQ216,BR216,L216,AE216,BO216,BP216)),3) + INDEX(_xlfn._xlws.SORT(CHOOSE({1;2;3;4;5;6},BQ216,BR216,L216,AE216,BO216,BP216)),4))/2</f>
        <v>86.4</v>
      </c>
      <c r="BK216">
        <v>8.8509115590065903</v>
      </c>
      <c r="BL216" s="11" t="s">
        <v>6116</v>
      </c>
      <c r="BM216" s="1">
        <f>BK216*3*D216</f>
        <v>95.589844837271173</v>
      </c>
      <c r="BN216" s="1">
        <f>BM216-C216</f>
        <v>3.7898448372711755</v>
      </c>
      <c r="BO216" s="1">
        <f>GK216*3*D216</f>
        <v>56.7</v>
      </c>
      <c r="BP216" s="1">
        <f>DO216*3*D216</f>
        <v>92.88</v>
      </c>
      <c r="BQ216" s="1">
        <f>FJ216*3*D216</f>
        <v>86.4</v>
      </c>
      <c r="BR216" s="1">
        <f>GL216*3*D216</f>
        <v>43.2</v>
      </c>
      <c r="BT216">
        <v>37.56</v>
      </c>
      <c r="BU216">
        <v>8.4</v>
      </c>
      <c r="BV216" t="s">
        <v>5237</v>
      </c>
      <c r="BW216" t="s">
        <v>5043</v>
      </c>
      <c r="BX216" t="s">
        <v>4993</v>
      </c>
      <c r="BY216" t="s">
        <v>5061</v>
      </c>
      <c r="BZ216" t="s">
        <v>5062</v>
      </c>
      <c r="CA216" t="s">
        <v>2420</v>
      </c>
      <c r="CC216" t="s">
        <v>2525</v>
      </c>
      <c r="CD216" t="s">
        <v>2627</v>
      </c>
      <c r="CE216" t="s">
        <v>2423</v>
      </c>
      <c r="CG216" t="s">
        <v>2593</v>
      </c>
      <c r="CH216" t="s">
        <v>2593</v>
      </c>
      <c r="CI216" t="s">
        <v>2426</v>
      </c>
      <c r="CJ216" t="s">
        <v>2427</v>
      </c>
      <c r="CK216" t="s">
        <v>2916</v>
      </c>
      <c r="CL216" t="s">
        <v>3144</v>
      </c>
      <c r="CM216" t="s">
        <v>2430</v>
      </c>
      <c r="CO216" t="s">
        <v>3001</v>
      </c>
      <c r="CP216" t="s">
        <v>3001</v>
      </c>
      <c r="CQ216" t="s">
        <v>2433</v>
      </c>
      <c r="CR216" t="s">
        <v>2434</v>
      </c>
      <c r="CS216" t="s">
        <v>3145</v>
      </c>
      <c r="CT216" t="s">
        <v>3145</v>
      </c>
      <c r="CV216">
        <v>9</v>
      </c>
      <c r="CW216">
        <v>9</v>
      </c>
      <c r="CX216">
        <v>8</v>
      </c>
      <c r="CY216">
        <v>9</v>
      </c>
      <c r="CZ216">
        <v>8</v>
      </c>
      <c r="DA216">
        <v>0.1</v>
      </c>
      <c r="DB216">
        <v>0.1</v>
      </c>
      <c r="DC216">
        <v>0.2</v>
      </c>
      <c r="DD216">
        <v>0.3</v>
      </c>
      <c r="DE216">
        <v>0.3</v>
      </c>
      <c r="DF216">
        <v>0.9</v>
      </c>
      <c r="DG216">
        <v>0.9</v>
      </c>
      <c r="DH216">
        <v>1.6</v>
      </c>
      <c r="DI216">
        <v>2.7</v>
      </c>
      <c r="DJ216">
        <v>2.4</v>
      </c>
      <c r="DK216">
        <v>8.4</v>
      </c>
      <c r="DL216">
        <v>0</v>
      </c>
      <c r="DM216">
        <v>8.4</v>
      </c>
      <c r="DN216">
        <v>9</v>
      </c>
      <c r="DO216">
        <f>AVERAGE(CV216:CZ216)</f>
        <v>8.6</v>
      </c>
      <c r="DQ216">
        <v>8</v>
      </c>
      <c r="DR216" t="s">
        <v>73</v>
      </c>
      <c r="DS216" t="s">
        <v>48</v>
      </c>
      <c r="DT216" t="s">
        <v>49</v>
      </c>
      <c r="DU216" t="s">
        <v>179</v>
      </c>
      <c r="DV216" t="s">
        <v>319</v>
      </c>
      <c r="DW216" t="s">
        <v>3769</v>
      </c>
      <c r="DX216" t="s">
        <v>4186</v>
      </c>
      <c r="DY216" t="s">
        <v>3826</v>
      </c>
      <c r="DZ216" t="s">
        <v>3827</v>
      </c>
      <c r="EA216" t="s">
        <v>3828</v>
      </c>
      <c r="EB216" t="s">
        <v>3793</v>
      </c>
      <c r="EC216" t="s">
        <v>3829</v>
      </c>
      <c r="ED216" t="s">
        <v>3827</v>
      </c>
      <c r="EE216" t="s">
        <v>3830</v>
      </c>
      <c r="EF216" t="s">
        <v>3797</v>
      </c>
      <c r="EG216" t="s">
        <v>3831</v>
      </c>
      <c r="EH216" t="s">
        <v>3827</v>
      </c>
      <c r="EI216" t="s">
        <v>3832</v>
      </c>
      <c r="EJ216" t="s">
        <v>3800</v>
      </c>
      <c r="EK216" t="s">
        <v>3833</v>
      </c>
      <c r="EL216" t="s">
        <v>3827</v>
      </c>
      <c r="EM216" t="s">
        <v>4288</v>
      </c>
      <c r="EN216" t="s">
        <v>3803</v>
      </c>
      <c r="EO216" t="s">
        <v>3835</v>
      </c>
      <c r="EP216" t="s">
        <v>3827</v>
      </c>
      <c r="EQ216">
        <v>8</v>
      </c>
      <c r="ER216">
        <v>8</v>
      </c>
      <c r="ES216">
        <v>8</v>
      </c>
      <c r="ET216">
        <v>8</v>
      </c>
      <c r="EU216">
        <v>8</v>
      </c>
      <c r="EV216">
        <v>0.1</v>
      </c>
      <c r="EW216">
        <v>0.1</v>
      </c>
      <c r="EX216">
        <v>0.2</v>
      </c>
      <c r="EY216">
        <v>0.3</v>
      </c>
      <c r="EZ216">
        <v>0.3</v>
      </c>
      <c r="FA216">
        <f>EV216*EQ216</f>
        <v>0.8</v>
      </c>
      <c r="FB216">
        <f>EW216*ER216</f>
        <v>0.8</v>
      </c>
      <c r="FC216">
        <f>EX216*ES216</f>
        <v>1.6</v>
      </c>
      <c r="FD216">
        <f>EY216*ET216</f>
        <v>2.4</v>
      </c>
      <c r="FE216">
        <f>EZ216*EU216</f>
        <v>2.4</v>
      </c>
      <c r="FF216">
        <v>16</v>
      </c>
      <c r="FG216">
        <v>0</v>
      </c>
      <c r="FH216">
        <v>8</v>
      </c>
      <c r="FI216">
        <f>FA216+FB216+FC216+FD216+FE216</f>
        <v>8</v>
      </c>
      <c r="FJ216">
        <f>MEDIAN(EQ216:EU216)</f>
        <v>8</v>
      </c>
      <c r="FL216">
        <v>38.979999999999997</v>
      </c>
      <c r="FM216">
        <v>9</v>
      </c>
      <c r="FN216" t="s">
        <v>1017</v>
      </c>
      <c r="FO216" t="s">
        <v>1018</v>
      </c>
      <c r="FP216" t="s">
        <v>1019</v>
      </c>
      <c r="FQ216" t="s">
        <v>629</v>
      </c>
      <c r="FR216" t="s">
        <v>1279</v>
      </c>
      <c r="FS216">
        <v>3</v>
      </c>
      <c r="FT216">
        <v>2.5</v>
      </c>
      <c r="FU216">
        <v>4</v>
      </c>
      <c r="FV216">
        <v>6</v>
      </c>
      <c r="FW216">
        <v>7</v>
      </c>
      <c r="FX216">
        <v>0.1</v>
      </c>
      <c r="FY216">
        <v>0.1</v>
      </c>
      <c r="FZ216">
        <v>0.2</v>
      </c>
      <c r="GA216">
        <v>0.3</v>
      </c>
      <c r="GB216">
        <v>0.3</v>
      </c>
      <c r="GC216">
        <f>FS216*FX216</f>
        <v>0.30000000000000004</v>
      </c>
      <c r="GD216">
        <f>FT216*FY216</f>
        <v>0.25</v>
      </c>
      <c r="GE216">
        <f>FU216*FZ216</f>
        <v>0.8</v>
      </c>
      <c r="GF216">
        <f>FV216*GA216</f>
        <v>1.7999999999999998</v>
      </c>
      <c r="GG216">
        <f>FW216*GB216</f>
        <v>2.1</v>
      </c>
      <c r="GH216">
        <v>9</v>
      </c>
      <c r="GI216">
        <v>0</v>
      </c>
      <c r="GJ216">
        <v>9</v>
      </c>
      <c r="GK216">
        <f>GC216+GD216+GE216+GF216+GG216</f>
        <v>5.25</v>
      </c>
      <c r="GL216">
        <f>MEDIAN(FS216:FW216)</f>
        <v>4</v>
      </c>
    </row>
    <row r="217" spans="1:194" hidden="1" x14ac:dyDescent="0.25">
      <c r="A217">
        <v>216</v>
      </c>
      <c r="B217" t="s">
        <v>2</v>
      </c>
      <c r="C217" s="4">
        <v>88.2</v>
      </c>
      <c r="D217">
        <v>3.6</v>
      </c>
      <c r="E217" s="1">
        <f>C217/3/D217</f>
        <v>8.1666666666666679</v>
      </c>
      <c r="G217">
        <v>34.42</v>
      </c>
      <c r="H217">
        <v>7.4</v>
      </c>
      <c r="I217">
        <f>H217*D217*3</f>
        <v>79.92</v>
      </c>
      <c r="J217">
        <v>16.84</v>
      </c>
      <c r="K217">
        <v>9</v>
      </c>
      <c r="L217" s="3">
        <f>K217*3*D217</f>
        <v>97.2</v>
      </c>
      <c r="M217">
        <v>5.0199999999999996</v>
      </c>
      <c r="N217">
        <v>5.5</v>
      </c>
      <c r="O217">
        <f>N217*D217*3</f>
        <v>59.400000000000006</v>
      </c>
      <c r="P217" s="5">
        <v>7.9</v>
      </c>
      <c r="Q217" s="5">
        <f>P217*D217*3</f>
        <v>85.320000000000007</v>
      </c>
      <c r="S217" t="s">
        <v>6348</v>
      </c>
      <c r="T217">
        <v>5.6</v>
      </c>
      <c r="U217" s="8">
        <f>T217*D217*3</f>
        <v>60.480000000000004</v>
      </c>
      <c r="V217">
        <v>31.85</v>
      </c>
      <c r="W217">
        <v>8.4</v>
      </c>
      <c r="X217" s="5">
        <f>W217*D217*3</f>
        <v>90.72</v>
      </c>
      <c r="Y217">
        <v>12.13</v>
      </c>
      <c r="Z217">
        <v>7.5</v>
      </c>
      <c r="AA217">
        <f>Z217*D217*3</f>
        <v>81</v>
      </c>
      <c r="AC217">
        <v>47.79</v>
      </c>
      <c r="AD217">
        <v>7.1</v>
      </c>
      <c r="AE217" s="1">
        <f>AD217*3*D217</f>
        <v>76.679999999999993</v>
      </c>
      <c r="AF217">
        <v>13.61</v>
      </c>
      <c r="AH217" s="5">
        <f>AG217*D217*3</f>
        <v>0</v>
      </c>
      <c r="AI217" s="13"/>
      <c r="AJ217">
        <v>6.3</v>
      </c>
      <c r="AK217" s="8">
        <f>AJ217*D217*3</f>
        <v>68.039999999999992</v>
      </c>
      <c r="AL217" s="13"/>
      <c r="AM217">
        <v>31</v>
      </c>
      <c r="AN217">
        <v>7.2</v>
      </c>
      <c r="AO217" s="8">
        <f>AN217*D217*3</f>
        <v>77.760000000000005</v>
      </c>
      <c r="AP217">
        <v>13.48</v>
      </c>
      <c r="AQ217">
        <v>10</v>
      </c>
      <c r="AR217">
        <f>AQ217*D217*3</f>
        <v>108</v>
      </c>
      <c r="AT217">
        <v>9</v>
      </c>
      <c r="AU217">
        <f>AT217*D217*3</f>
        <v>97.199999999999989</v>
      </c>
      <c r="AW217">
        <v>23.7</v>
      </c>
      <c r="AX217">
        <v>9.1999999999999993</v>
      </c>
      <c r="AY217">
        <f>AX217*D217*3</f>
        <v>99.359999999999985</v>
      </c>
      <c r="AZ217">
        <v>23.7</v>
      </c>
      <c r="BA217">
        <v>8.6999999999999993</v>
      </c>
      <c r="BB217">
        <f>BA217*D217*3</f>
        <v>93.96</v>
      </c>
      <c r="BD217">
        <v>8.9</v>
      </c>
      <c r="BE217">
        <f>BD217*D217*3</f>
        <v>96.12</v>
      </c>
      <c r="BG217" s="10"/>
      <c r="BH217" s="1">
        <f>CHOOSE(MATCH(MIN(ABS(BP217-C217),ABS(BQ217-C217),ABS(BR217-C217)),CHOOSE({1;2;3},ABS(BP217-C217),ABS(BQ217-C217),ABS(BR217-C217)),0),BP217,BQ217,BR217)</f>
        <v>92.88</v>
      </c>
      <c r="BJ217" s="1" cm="1">
        <f t="array" ref="BJ217">(INDEX(_xlfn._xlws.SORT(CHOOSE({1;2;3;4;5;6},BQ217,BR217,L217,AE217,BO217,BP217)),3) + INDEX(_xlfn._xlws.SORT(CHOOSE({1;2;3;4;5;6},BQ217,BR217,L217,AE217,BO217,BP217)),4))/2</f>
        <v>76.14</v>
      </c>
      <c r="BK217">
        <v>8.1615845929366699</v>
      </c>
      <c r="BL217" t="s">
        <v>6117</v>
      </c>
      <c r="BM217" s="1">
        <f>BK217*3*D217</f>
        <v>88.145113603716041</v>
      </c>
      <c r="BN217" s="1">
        <f>BM217-C217</f>
        <v>-5.4886396283961858E-2</v>
      </c>
      <c r="BO217" s="1">
        <f>GK217*3*D217</f>
        <v>74.52000000000001</v>
      </c>
      <c r="BP217" s="1">
        <f>DO217*3*D217</f>
        <v>92.88</v>
      </c>
      <c r="BQ217" s="1">
        <f>FJ217*3*D217</f>
        <v>75.600000000000009</v>
      </c>
      <c r="BR217" s="1">
        <f>GL217*3*D217</f>
        <v>75.600000000000009</v>
      </c>
      <c r="BT217">
        <v>34.42</v>
      </c>
      <c r="BU217">
        <v>7.4</v>
      </c>
      <c r="BV217" t="s">
        <v>5699</v>
      </c>
      <c r="BW217" t="s">
        <v>5700</v>
      </c>
      <c r="BX217" t="s">
        <v>5701</v>
      </c>
      <c r="BY217" t="s">
        <v>5702</v>
      </c>
      <c r="BZ217" t="s">
        <v>5703</v>
      </c>
      <c r="CA217" t="s">
        <v>2550</v>
      </c>
      <c r="CC217" t="s">
        <v>2634</v>
      </c>
      <c r="CD217" t="s">
        <v>2635</v>
      </c>
      <c r="CE217" t="s">
        <v>2553</v>
      </c>
      <c r="CG217" t="s">
        <v>2634</v>
      </c>
      <c r="CH217" t="s">
        <v>2773</v>
      </c>
      <c r="CI217" t="s">
        <v>2833</v>
      </c>
      <c r="CK217" t="s">
        <v>2634</v>
      </c>
      <c r="CL217" t="s">
        <v>3162</v>
      </c>
      <c r="CM217" t="s">
        <v>2595</v>
      </c>
      <c r="CO217" t="s">
        <v>2634</v>
      </c>
      <c r="CP217" t="s">
        <v>2776</v>
      </c>
      <c r="CQ217" t="s">
        <v>2777</v>
      </c>
      <c r="CR217" t="s">
        <v>2778</v>
      </c>
      <c r="CS217" t="s">
        <v>2779</v>
      </c>
      <c r="CT217" t="s">
        <v>2780</v>
      </c>
      <c r="CV217">
        <v>9</v>
      </c>
      <c r="CW217">
        <v>9</v>
      </c>
      <c r="CX217">
        <v>9</v>
      </c>
      <c r="CY217">
        <v>9</v>
      </c>
      <c r="CZ217">
        <v>7</v>
      </c>
      <c r="DA217">
        <v>0.1</v>
      </c>
      <c r="DB217">
        <v>0.1</v>
      </c>
      <c r="DC217">
        <v>0.2</v>
      </c>
      <c r="DD217">
        <v>0.3</v>
      </c>
      <c r="DE217">
        <v>0.3</v>
      </c>
      <c r="DF217">
        <v>0.9</v>
      </c>
      <c r="DG217">
        <v>0.9</v>
      </c>
      <c r="DH217">
        <v>1.8</v>
      </c>
      <c r="DI217">
        <v>2.7</v>
      </c>
      <c r="DJ217">
        <v>2.1</v>
      </c>
      <c r="DK217">
        <v>7.4</v>
      </c>
      <c r="DL217">
        <v>0</v>
      </c>
      <c r="DM217">
        <v>7.4</v>
      </c>
      <c r="DN217">
        <v>9</v>
      </c>
      <c r="DO217">
        <f>AVERAGE(CV217:CZ217)</f>
        <v>8.6</v>
      </c>
      <c r="DQ217">
        <v>14</v>
      </c>
      <c r="DR217" t="s">
        <v>28</v>
      </c>
      <c r="DS217" t="s">
        <v>43</v>
      </c>
      <c r="DT217" t="s">
        <v>178</v>
      </c>
      <c r="DU217" t="s">
        <v>157</v>
      </c>
      <c r="DV217" t="s">
        <v>236</v>
      </c>
      <c r="DW217" t="s">
        <v>3769</v>
      </c>
      <c r="DX217" t="s">
        <v>3770</v>
      </c>
      <c r="DY217" t="s">
        <v>3771</v>
      </c>
      <c r="DZ217" t="s">
        <v>3772</v>
      </c>
      <c r="EA217" t="s">
        <v>3806</v>
      </c>
      <c r="EB217" t="s">
        <v>3807</v>
      </c>
      <c r="EC217" t="s">
        <v>3775</v>
      </c>
      <c r="ED217" t="s">
        <v>3776</v>
      </c>
      <c r="EE217" t="s">
        <v>3819</v>
      </c>
      <c r="EF217" t="s">
        <v>4104</v>
      </c>
      <c r="EG217" t="s">
        <v>4658</v>
      </c>
      <c r="EH217" t="s">
        <v>4015</v>
      </c>
      <c r="EI217" t="s">
        <v>4105</v>
      </c>
      <c r="EJ217" t="s">
        <v>3813</v>
      </c>
      <c r="EK217" t="s">
        <v>4014</v>
      </c>
      <c r="EL217" t="s">
        <v>3815</v>
      </c>
      <c r="EM217" t="s">
        <v>3816</v>
      </c>
      <c r="EN217" t="s">
        <v>3931</v>
      </c>
      <c r="EO217" t="s">
        <v>4659</v>
      </c>
      <c r="EP217" t="s">
        <v>3818</v>
      </c>
      <c r="EQ217">
        <v>7</v>
      </c>
      <c r="ER217">
        <v>8</v>
      </c>
      <c r="ES217">
        <v>7</v>
      </c>
      <c r="ET217">
        <v>7</v>
      </c>
      <c r="EU217">
        <v>7</v>
      </c>
      <c r="EV217">
        <v>0.1</v>
      </c>
      <c r="EW217">
        <v>0.1</v>
      </c>
      <c r="EX217">
        <v>0.2</v>
      </c>
      <c r="EY217">
        <v>0.3</v>
      </c>
      <c r="EZ217">
        <v>0.3</v>
      </c>
      <c r="FA217">
        <f>EV217*EQ217</f>
        <v>0.70000000000000007</v>
      </c>
      <c r="FB217">
        <f>EW217*ER217</f>
        <v>0.8</v>
      </c>
      <c r="FC217">
        <f>EX217*ES217</f>
        <v>1.4000000000000001</v>
      </c>
      <c r="FD217">
        <f>EY217*ET217</f>
        <v>2.1</v>
      </c>
      <c r="FE217">
        <f>EZ217*EU217</f>
        <v>2.1</v>
      </c>
      <c r="FF217">
        <v>14</v>
      </c>
      <c r="FG217">
        <v>0</v>
      </c>
      <c r="FH217">
        <v>14</v>
      </c>
      <c r="FI217">
        <f>FA217+FB217+FC217+FD217+FE217</f>
        <v>7.1</v>
      </c>
      <c r="FJ217">
        <f>MEDIAN(EQ217:EU217)</f>
        <v>7</v>
      </c>
      <c r="FL217">
        <v>38.93</v>
      </c>
      <c r="FM217">
        <v>9.3000000000000007</v>
      </c>
      <c r="FN217" t="s">
        <v>1626</v>
      </c>
      <c r="FO217" t="s">
        <v>1627</v>
      </c>
      <c r="FP217" t="s">
        <v>1628</v>
      </c>
      <c r="FQ217" t="s">
        <v>1629</v>
      </c>
      <c r="FR217" t="s">
        <v>1630</v>
      </c>
      <c r="FS217">
        <v>7</v>
      </c>
      <c r="FT217">
        <v>8.5</v>
      </c>
      <c r="FU217">
        <v>6.5</v>
      </c>
      <c r="FV217">
        <v>7.5</v>
      </c>
      <c r="FW217">
        <v>6</v>
      </c>
      <c r="FX217">
        <v>0.1</v>
      </c>
      <c r="FY217">
        <v>0.1</v>
      </c>
      <c r="FZ217">
        <v>0.2</v>
      </c>
      <c r="GA217">
        <v>0.3</v>
      </c>
      <c r="GB217">
        <v>0.3</v>
      </c>
      <c r="GC217">
        <f>FS217*FX217</f>
        <v>0.70000000000000007</v>
      </c>
      <c r="GD217">
        <f>FT217*FY217</f>
        <v>0.85000000000000009</v>
      </c>
      <c r="GE217">
        <f>FU217*FZ217</f>
        <v>1.3</v>
      </c>
      <c r="GF217">
        <f>FV217*GA217</f>
        <v>2.25</v>
      </c>
      <c r="GG217">
        <f>FW217*GB217</f>
        <v>1.7999999999999998</v>
      </c>
      <c r="GH217">
        <v>9.4</v>
      </c>
      <c r="GI217">
        <v>-0.1</v>
      </c>
      <c r="GJ217">
        <v>9.3000000000000007</v>
      </c>
      <c r="GK217">
        <f>GC217+GD217+GE217+GF217+GG217</f>
        <v>6.9</v>
      </c>
      <c r="GL217">
        <f>MEDIAN(FS217:FW217)</f>
        <v>7</v>
      </c>
    </row>
    <row r="218" spans="1:194" hidden="1" x14ac:dyDescent="0.25">
      <c r="A218">
        <v>217</v>
      </c>
      <c r="B218" t="s">
        <v>2</v>
      </c>
      <c r="C218" s="4">
        <v>39.6</v>
      </c>
      <c r="D218">
        <v>3.3</v>
      </c>
      <c r="E218" s="1">
        <f>C218/3/D218</f>
        <v>4.0000000000000009</v>
      </c>
      <c r="G218">
        <v>36.67</v>
      </c>
      <c r="H218">
        <v>8.1999999999999993</v>
      </c>
      <c r="I218">
        <f>H218*D218*3</f>
        <v>81.179999999999978</v>
      </c>
      <c r="J218">
        <v>18.489999999999998</v>
      </c>
      <c r="K218">
        <v>9</v>
      </c>
      <c r="L218" s="3">
        <f>K218*3*D218</f>
        <v>89.1</v>
      </c>
      <c r="M218">
        <v>5.18</v>
      </c>
      <c r="N218">
        <v>5</v>
      </c>
      <c r="O218">
        <f>N218*D218*3</f>
        <v>49.5</v>
      </c>
      <c r="P218" s="5">
        <v>8.9</v>
      </c>
      <c r="Q218" s="5">
        <f>P218*D218*3</f>
        <v>88.11</v>
      </c>
      <c r="S218" t="s">
        <v>6349</v>
      </c>
      <c r="T218">
        <v>5.3</v>
      </c>
      <c r="U218" s="8">
        <f>T218*D218*3</f>
        <v>52.47</v>
      </c>
      <c r="V218">
        <v>32.43</v>
      </c>
      <c r="W218">
        <v>8.4</v>
      </c>
      <c r="X218" s="5">
        <f>W218*D218*3</f>
        <v>83.16</v>
      </c>
      <c r="Y218">
        <v>11.43</v>
      </c>
      <c r="Z218">
        <v>7.8</v>
      </c>
      <c r="AA218">
        <f>Z218*D218*3</f>
        <v>77.22</v>
      </c>
      <c r="AC218">
        <v>48.79</v>
      </c>
      <c r="AD218">
        <v>8</v>
      </c>
      <c r="AE218" s="1">
        <f>AD218*3*D218</f>
        <v>79.199999999999989</v>
      </c>
      <c r="AF218">
        <v>11.87</v>
      </c>
      <c r="AG218" s="5">
        <v>7</v>
      </c>
      <c r="AH218" s="5">
        <f>AG218*D218*3</f>
        <v>69.3</v>
      </c>
      <c r="AI218" s="13"/>
      <c r="AJ218">
        <v>27</v>
      </c>
      <c r="AK218" s="8">
        <f>AJ218*D218*3</f>
        <v>267.29999999999995</v>
      </c>
      <c r="AL218" s="13"/>
      <c r="AM218">
        <v>32.409999999999997</v>
      </c>
      <c r="AN218">
        <v>7.9</v>
      </c>
      <c r="AO218" s="8">
        <f>AN218*D218*3</f>
        <v>78.210000000000008</v>
      </c>
      <c r="AP218">
        <v>15.25</v>
      </c>
      <c r="AQ218">
        <v>10</v>
      </c>
      <c r="AR218">
        <f>AQ218*D218*3</f>
        <v>99</v>
      </c>
      <c r="AT218">
        <v>8.6999999999999993</v>
      </c>
      <c r="AU218">
        <f>AT218*D218*3</f>
        <v>86.13</v>
      </c>
      <c r="AW218">
        <v>25.65</v>
      </c>
      <c r="AX218">
        <v>9.4</v>
      </c>
      <c r="AY218">
        <f>AX218*D218*3</f>
        <v>93.06</v>
      </c>
      <c r="AZ218">
        <v>25.65</v>
      </c>
      <c r="BA218">
        <v>8.4</v>
      </c>
      <c r="BB218">
        <f>BA218*D218*3</f>
        <v>83.16</v>
      </c>
      <c r="BD218">
        <v>8.9</v>
      </c>
      <c r="BE218">
        <f>BD218*D218*3</f>
        <v>88.11</v>
      </c>
      <c r="BG218" s="10"/>
      <c r="BH218" s="1">
        <f>CHOOSE(MATCH(MIN(ABS(BP218-C218),ABS(BQ218-C218),ABS(BR218-C218)),CHOOSE({1;2;3},ABS(BP218-C218),ABS(BQ218-C218),ABS(BR218-C218)),0),BP218,BQ218,BR218)</f>
        <v>29.7</v>
      </c>
      <c r="BJ218" s="1" cm="1">
        <f t="array" ref="BJ218">(INDEX(_xlfn._xlws.SORT(CHOOSE({1;2;3;4;5;6},BQ218,BR218,L218,AE218,BO218,BP218)),3) + INDEX(_xlfn._xlws.SORT(CHOOSE({1;2;3;4;5;6},BQ218,BR218,L218,AE218,BO218,BP218)),4))/2</f>
        <v>79.199999999999989</v>
      </c>
      <c r="BK218">
        <v>4.0663588494407596</v>
      </c>
      <c r="BL218" t="s">
        <v>6117</v>
      </c>
      <c r="BM218" s="1">
        <f>BK218*3*D218</f>
        <v>40.256952609463518</v>
      </c>
      <c r="BN218" s="1">
        <f>BM218-C218</f>
        <v>0.65695260946351652</v>
      </c>
      <c r="BO218" s="1">
        <f>GK218*3*D218</f>
        <v>23.759999999999998</v>
      </c>
      <c r="BP218" s="1">
        <f>DO218*3*D218</f>
        <v>89.1</v>
      </c>
      <c r="BQ218" s="1">
        <f>FJ218*3*D218</f>
        <v>79.199999999999989</v>
      </c>
      <c r="BR218" s="1">
        <f>GL218*3*D218</f>
        <v>29.7</v>
      </c>
      <c r="BT218">
        <v>36.67</v>
      </c>
      <c r="BU218">
        <v>8.1999999999999993</v>
      </c>
      <c r="BV218" t="s">
        <v>5412</v>
      </c>
      <c r="BW218" t="s">
        <v>5094</v>
      </c>
      <c r="BX218" t="s">
        <v>5704</v>
      </c>
      <c r="BY218" t="s">
        <v>5705</v>
      </c>
      <c r="BZ218" t="s">
        <v>5706</v>
      </c>
      <c r="CA218" t="s">
        <v>2437</v>
      </c>
      <c r="CC218" t="s">
        <v>2518</v>
      </c>
      <c r="CD218" t="s">
        <v>2508</v>
      </c>
      <c r="CE218" t="s">
        <v>2440</v>
      </c>
      <c r="CG218" t="s">
        <v>2519</v>
      </c>
      <c r="CH218" t="s">
        <v>2510</v>
      </c>
      <c r="CI218" t="s">
        <v>2443</v>
      </c>
      <c r="CK218" t="s">
        <v>2520</v>
      </c>
      <c r="CL218" t="s">
        <v>2512</v>
      </c>
      <c r="CM218" t="s">
        <v>2446</v>
      </c>
      <c r="CO218" t="s">
        <v>3355</v>
      </c>
      <c r="CP218" t="s">
        <v>2514</v>
      </c>
      <c r="CQ218" t="s">
        <v>2449</v>
      </c>
      <c r="CS218" t="s">
        <v>2523</v>
      </c>
      <c r="CT218" t="s">
        <v>2524</v>
      </c>
      <c r="CV218">
        <v>9</v>
      </c>
      <c r="CW218">
        <v>9</v>
      </c>
      <c r="CX218">
        <v>9</v>
      </c>
      <c r="CY218">
        <v>9</v>
      </c>
      <c r="CZ218">
        <v>9</v>
      </c>
      <c r="DA218">
        <v>0.1</v>
      </c>
      <c r="DB218">
        <v>0.1</v>
      </c>
      <c r="DC218">
        <v>0.2</v>
      </c>
      <c r="DD218">
        <v>0.3</v>
      </c>
      <c r="DE218">
        <v>0.3</v>
      </c>
      <c r="DF218">
        <v>0.9</v>
      </c>
      <c r="DG218">
        <v>0.9</v>
      </c>
      <c r="DH218">
        <v>1.8</v>
      </c>
      <c r="DI218">
        <v>2.7</v>
      </c>
      <c r="DJ218">
        <v>2.7</v>
      </c>
      <c r="DK218">
        <v>8.1999999999999993</v>
      </c>
      <c r="DL218">
        <v>0</v>
      </c>
      <c r="DM218">
        <v>8.1999999999999993</v>
      </c>
      <c r="DN218">
        <v>9</v>
      </c>
      <c r="DO218">
        <f>AVERAGE(CV218:CZ218)</f>
        <v>9</v>
      </c>
      <c r="DQ218">
        <v>8</v>
      </c>
      <c r="DR218" t="s">
        <v>33</v>
      </c>
      <c r="DS218" t="s">
        <v>223</v>
      </c>
      <c r="DT218" t="s">
        <v>35</v>
      </c>
      <c r="DU218" t="s">
        <v>371</v>
      </c>
      <c r="DV218" t="s">
        <v>200</v>
      </c>
      <c r="DW218" t="s">
        <v>3788</v>
      </c>
      <c r="DX218" t="s">
        <v>3789</v>
      </c>
      <c r="DY218" t="s">
        <v>3790</v>
      </c>
      <c r="DZ218" t="s">
        <v>3791</v>
      </c>
      <c r="EA218" t="s">
        <v>3792</v>
      </c>
      <c r="EB218" t="s">
        <v>3793</v>
      </c>
      <c r="EC218" t="s">
        <v>4261</v>
      </c>
      <c r="ED218" t="s">
        <v>3795</v>
      </c>
      <c r="EE218" t="s">
        <v>3796</v>
      </c>
      <c r="EF218" t="s">
        <v>3797</v>
      </c>
      <c r="EG218" t="s">
        <v>3798</v>
      </c>
      <c r="EH218" t="s">
        <v>3798</v>
      </c>
      <c r="EI218" t="s">
        <v>4194</v>
      </c>
      <c r="EJ218" t="s">
        <v>3800</v>
      </c>
      <c r="EK218" t="s">
        <v>4573</v>
      </c>
      <c r="EL218" t="s">
        <v>4573</v>
      </c>
      <c r="EM218" t="s">
        <v>4227</v>
      </c>
      <c r="EN218" t="s">
        <v>3803</v>
      </c>
      <c r="EO218" t="s">
        <v>4228</v>
      </c>
      <c r="EP218" t="s">
        <v>4262</v>
      </c>
      <c r="EQ218">
        <v>8</v>
      </c>
      <c r="ER218">
        <v>8</v>
      </c>
      <c r="ES218">
        <v>8</v>
      </c>
      <c r="ET218">
        <v>8</v>
      </c>
      <c r="EU218">
        <v>8</v>
      </c>
      <c r="EV218">
        <v>0.1</v>
      </c>
      <c r="EW218">
        <v>0.1</v>
      </c>
      <c r="EX218">
        <v>0.2</v>
      </c>
      <c r="EY218">
        <v>0.3</v>
      </c>
      <c r="EZ218">
        <v>0.3</v>
      </c>
      <c r="FA218">
        <f>EV218*EQ218</f>
        <v>0.8</v>
      </c>
      <c r="FB218">
        <f>EW218*ER218</f>
        <v>0.8</v>
      </c>
      <c r="FC218">
        <f>EX218*ES218</f>
        <v>1.6</v>
      </c>
      <c r="FD218">
        <f>EY218*ET218</f>
        <v>2.4</v>
      </c>
      <c r="FE218">
        <f>EZ218*EU218</f>
        <v>2.4</v>
      </c>
      <c r="FF218">
        <v>16</v>
      </c>
      <c r="FG218">
        <v>0</v>
      </c>
      <c r="FH218">
        <v>8</v>
      </c>
      <c r="FI218">
        <f>FA218+FB218+FC218+FD218+FE218</f>
        <v>8</v>
      </c>
      <c r="FJ218">
        <f>MEDIAN(EQ218:EU218)</f>
        <v>8</v>
      </c>
      <c r="FL218">
        <v>38.369999999999997</v>
      </c>
      <c r="FM218">
        <v>2.6</v>
      </c>
      <c r="FN218" t="s">
        <v>1631</v>
      </c>
      <c r="FO218" t="s">
        <v>1632</v>
      </c>
      <c r="FP218" t="s">
        <v>1633</v>
      </c>
      <c r="FQ218" t="s">
        <v>1634</v>
      </c>
      <c r="FR218" t="s">
        <v>1635</v>
      </c>
      <c r="FS218">
        <v>5</v>
      </c>
      <c r="FT218">
        <v>4</v>
      </c>
      <c r="FU218">
        <v>3</v>
      </c>
      <c r="FV218">
        <v>2</v>
      </c>
      <c r="FW218">
        <v>1</v>
      </c>
      <c r="FX218">
        <v>0.1</v>
      </c>
      <c r="FY218">
        <v>0.1</v>
      </c>
      <c r="FZ218">
        <v>0.2</v>
      </c>
      <c r="GA218">
        <v>0.3</v>
      </c>
      <c r="GB218">
        <v>0.3</v>
      </c>
      <c r="GC218">
        <f>FS218*FX218</f>
        <v>0.5</v>
      </c>
      <c r="GD218">
        <f>FT218*FY218</f>
        <v>0.4</v>
      </c>
      <c r="GE218">
        <f>FU218*FZ218</f>
        <v>0.60000000000000009</v>
      </c>
      <c r="GF218">
        <f>FV218*GA218</f>
        <v>0.6</v>
      </c>
      <c r="GG218">
        <f>FW218*GB218</f>
        <v>0.3</v>
      </c>
      <c r="GH218">
        <v>2.8</v>
      </c>
      <c r="GI218">
        <v>-0.2</v>
      </c>
      <c r="GJ218">
        <v>2.6</v>
      </c>
      <c r="GK218">
        <f>GC218+GD218+GE218+GF218+GG218</f>
        <v>2.4</v>
      </c>
      <c r="GL218">
        <f>MEDIAN(FS218:FW218)</f>
        <v>3</v>
      </c>
    </row>
    <row r="219" spans="1:194" hidden="1" x14ac:dyDescent="0.25">
      <c r="A219">
        <v>218</v>
      </c>
      <c r="B219" t="s">
        <v>2</v>
      </c>
      <c r="C219" s="4">
        <v>72</v>
      </c>
      <c r="D219">
        <v>3.2</v>
      </c>
      <c r="E219" s="1">
        <f>C219/3/D219</f>
        <v>7.5</v>
      </c>
      <c r="G219">
        <v>39.770000000000003</v>
      </c>
      <c r="H219">
        <v>8.65</v>
      </c>
      <c r="I219">
        <f>H219*D219*3</f>
        <v>83.04</v>
      </c>
      <c r="J219">
        <v>17.8</v>
      </c>
      <c r="K219">
        <v>9</v>
      </c>
      <c r="L219" s="3">
        <f>K219*3*D219</f>
        <v>86.4</v>
      </c>
      <c r="M219">
        <v>4.67</v>
      </c>
      <c r="N219">
        <v>5</v>
      </c>
      <c r="O219">
        <f>N219*D219*3</f>
        <v>48</v>
      </c>
      <c r="P219" s="5">
        <v>7.4</v>
      </c>
      <c r="Q219" s="5">
        <f>P219*D219*3</f>
        <v>71.040000000000006</v>
      </c>
      <c r="S219" t="s">
        <v>6350</v>
      </c>
      <c r="T219">
        <v>8.8000000000000007</v>
      </c>
      <c r="U219" s="8">
        <f>T219*D219*3</f>
        <v>84.480000000000018</v>
      </c>
      <c r="V219">
        <v>30.17</v>
      </c>
      <c r="W219">
        <v>8</v>
      </c>
      <c r="X219" s="5">
        <f>W219*D219*3</f>
        <v>76.800000000000011</v>
      </c>
      <c r="Y219">
        <v>11.8</v>
      </c>
      <c r="Z219">
        <v>7.5</v>
      </c>
      <c r="AA219">
        <f>Z219*D219*3</f>
        <v>72</v>
      </c>
      <c r="AC219">
        <v>49.49</v>
      </c>
      <c r="AD219">
        <v>8</v>
      </c>
      <c r="AE219" s="1">
        <f>AD219*3*D219</f>
        <v>76.800000000000011</v>
      </c>
      <c r="AF219">
        <v>11.97</v>
      </c>
      <c r="AG219" s="5">
        <v>7</v>
      </c>
      <c r="AH219" s="5">
        <f>AG219*D219*3</f>
        <v>67.2</v>
      </c>
      <c r="AI219" s="13"/>
      <c r="AK219" s="8">
        <f>AJ219*D219*3</f>
        <v>0</v>
      </c>
      <c r="AL219" s="13"/>
      <c r="AM219">
        <v>32.340000000000003</v>
      </c>
      <c r="AN219">
        <v>7.5</v>
      </c>
      <c r="AO219" s="8">
        <f>AN219*D219*3</f>
        <v>72</v>
      </c>
      <c r="AP219">
        <v>15.04</v>
      </c>
      <c r="AQ219">
        <v>10</v>
      </c>
      <c r="AR219">
        <f>AQ219*D219*3</f>
        <v>96</v>
      </c>
      <c r="AT219">
        <v>8.9</v>
      </c>
      <c r="AU219">
        <f>AT219*D219*3</f>
        <v>85.440000000000012</v>
      </c>
      <c r="AW219">
        <v>24.39</v>
      </c>
      <c r="AX219">
        <v>9.1</v>
      </c>
      <c r="AY219">
        <f>AX219*D219*3</f>
        <v>87.36</v>
      </c>
      <c r="AZ219">
        <v>24.39</v>
      </c>
      <c r="BA219">
        <v>9.1999999999999993</v>
      </c>
      <c r="BB219">
        <f>BA219*D219*3</f>
        <v>88.32</v>
      </c>
      <c r="BD219">
        <v>8.9</v>
      </c>
      <c r="BE219">
        <f>BD219*D219*3</f>
        <v>85.440000000000012</v>
      </c>
      <c r="BG219" s="10"/>
      <c r="BH219" s="1">
        <f>CHOOSE(MATCH(MIN(ABS(BP219-C219),ABS(BQ219-C219),ABS(BR219-C219)),CHOOSE({1;2;3},ABS(BP219-C219),ABS(BQ219-C219),ABS(BR219-C219)),0),BP219,BQ219,BR219)</f>
        <v>76.800000000000011</v>
      </c>
      <c r="BJ219" s="1" cm="1">
        <f t="array" ref="BJ219">(INDEX(_xlfn._xlws.SORT(CHOOSE({1;2;3;4;5;6},BQ219,BR219,L219,AE219,BO219,BP219)),3) + INDEX(_xlfn._xlws.SORT(CHOOSE({1;2;3;4;5;6},BQ219,BR219,L219,AE219,BO219,BP219)),4))/2</f>
        <v>76.800000000000011</v>
      </c>
      <c r="BK219">
        <v>7.4773186910580298</v>
      </c>
      <c r="BL219" t="s">
        <v>6117</v>
      </c>
      <c r="BM219" s="1">
        <f>BK219*3*D219</f>
        <v>71.782259434157083</v>
      </c>
      <c r="BN219" s="1">
        <f>BM219-C219</f>
        <v>-0.21774056584291657</v>
      </c>
      <c r="BO219" s="1">
        <f>GK219*3*D219</f>
        <v>49.919999999999995</v>
      </c>
      <c r="BP219" s="1">
        <f>DO219*3*D219</f>
        <v>84.480000000000018</v>
      </c>
      <c r="BQ219" s="1">
        <f>FJ219*3*D219</f>
        <v>76.800000000000011</v>
      </c>
      <c r="BR219" s="1">
        <f>GL219*3*D219</f>
        <v>38.400000000000006</v>
      </c>
      <c r="BT219">
        <v>39.770000000000003</v>
      </c>
      <c r="BU219">
        <v>8.65</v>
      </c>
      <c r="BV219" t="s">
        <v>5046</v>
      </c>
      <c r="BW219" t="s">
        <v>5524</v>
      </c>
      <c r="BX219" t="s">
        <v>5707</v>
      </c>
      <c r="BY219" t="s">
        <v>5708</v>
      </c>
      <c r="BZ219" t="s">
        <v>5709</v>
      </c>
      <c r="CA219" t="s">
        <v>2420</v>
      </c>
      <c r="CC219" t="s">
        <v>2525</v>
      </c>
      <c r="CD219" t="s">
        <v>2526</v>
      </c>
      <c r="CE219" t="s">
        <v>2423</v>
      </c>
      <c r="CG219" t="s">
        <v>2527</v>
      </c>
      <c r="CH219" t="s">
        <v>2528</v>
      </c>
      <c r="CI219" t="s">
        <v>2426</v>
      </c>
      <c r="CJ219" t="s">
        <v>2427</v>
      </c>
      <c r="CK219" t="s">
        <v>2734</v>
      </c>
      <c r="CL219" t="s">
        <v>3356</v>
      </c>
      <c r="CM219" t="s">
        <v>2430</v>
      </c>
      <c r="CO219" t="s">
        <v>3357</v>
      </c>
      <c r="CP219" t="s">
        <v>3345</v>
      </c>
      <c r="CQ219" t="s">
        <v>2433</v>
      </c>
      <c r="CR219" t="s">
        <v>2434</v>
      </c>
      <c r="CS219" t="s">
        <v>3358</v>
      </c>
      <c r="CT219" t="s">
        <v>3359</v>
      </c>
      <c r="CV219">
        <v>9</v>
      </c>
      <c r="CW219">
        <v>9</v>
      </c>
      <c r="CX219">
        <v>8.5</v>
      </c>
      <c r="CY219">
        <v>9.5</v>
      </c>
      <c r="CZ219">
        <v>8</v>
      </c>
      <c r="DA219">
        <v>0.1</v>
      </c>
      <c r="DB219">
        <v>0.1</v>
      </c>
      <c r="DC219">
        <v>0.2</v>
      </c>
      <c r="DD219">
        <v>0.3</v>
      </c>
      <c r="DE219">
        <v>0.3</v>
      </c>
      <c r="DF219">
        <v>0.9</v>
      </c>
      <c r="DG219">
        <v>0.9</v>
      </c>
      <c r="DH219">
        <v>1.7</v>
      </c>
      <c r="DI219">
        <v>2.85</v>
      </c>
      <c r="DJ219">
        <v>2.4</v>
      </c>
      <c r="DK219">
        <v>8.65</v>
      </c>
      <c r="DL219">
        <v>0</v>
      </c>
      <c r="DM219">
        <v>8.65</v>
      </c>
      <c r="DN219">
        <v>9</v>
      </c>
      <c r="DO219">
        <f>AVERAGE(CV219:CZ219)</f>
        <v>8.8000000000000007</v>
      </c>
      <c r="DQ219" t="s">
        <v>27</v>
      </c>
      <c r="DR219" t="s">
        <v>52</v>
      </c>
      <c r="DS219" t="s">
        <v>61</v>
      </c>
      <c r="DT219" t="s">
        <v>159</v>
      </c>
      <c r="DU219" t="s">
        <v>71</v>
      </c>
      <c r="DV219" t="s">
        <v>160</v>
      </c>
      <c r="DW219" t="s">
        <v>3836</v>
      </c>
      <c r="DX219" t="s">
        <v>3858</v>
      </c>
      <c r="DY219" t="s">
        <v>4119</v>
      </c>
      <c r="DZ219" t="s">
        <v>4120</v>
      </c>
      <c r="EA219" t="s">
        <v>3860</v>
      </c>
      <c r="EB219" t="s">
        <v>4121</v>
      </c>
      <c r="EC219" t="s">
        <v>4122</v>
      </c>
      <c r="ED219" t="s">
        <v>4123</v>
      </c>
      <c r="EE219" t="s">
        <v>3863</v>
      </c>
      <c r="EF219" t="s">
        <v>4124</v>
      </c>
      <c r="EG219" t="s">
        <v>4125</v>
      </c>
      <c r="EH219" t="s">
        <v>4126</v>
      </c>
      <c r="EI219" t="s">
        <v>3879</v>
      </c>
      <c r="EJ219" t="s">
        <v>4127</v>
      </c>
      <c r="EK219" t="s">
        <v>4128</v>
      </c>
      <c r="EL219" t="s">
        <v>4129</v>
      </c>
      <c r="EM219" t="s">
        <v>3907</v>
      </c>
      <c r="EN219" t="s">
        <v>4130</v>
      </c>
      <c r="EO219" t="s">
        <v>4131</v>
      </c>
      <c r="EP219" t="s">
        <v>4132</v>
      </c>
      <c r="EQ219">
        <v>8</v>
      </c>
      <c r="ER219">
        <v>8</v>
      </c>
      <c r="ES219">
        <v>8</v>
      </c>
      <c r="ET219">
        <v>8</v>
      </c>
      <c r="EU219">
        <v>8</v>
      </c>
      <c r="EV219">
        <v>0.1</v>
      </c>
      <c r="EW219">
        <v>0.1</v>
      </c>
      <c r="EX219">
        <v>0.2</v>
      </c>
      <c r="EY219">
        <v>0.3</v>
      </c>
      <c r="EZ219">
        <v>0.3</v>
      </c>
      <c r="FA219">
        <f>EV219*EQ219</f>
        <v>0.8</v>
      </c>
      <c r="FB219">
        <f>EW219*ER219</f>
        <v>0.8</v>
      </c>
      <c r="FC219">
        <f>EX219*ES219</f>
        <v>1.6</v>
      </c>
      <c r="FD219">
        <f>EY219*ET219</f>
        <v>2.4</v>
      </c>
      <c r="FE219">
        <f>EZ219*EU219</f>
        <v>2.4</v>
      </c>
      <c r="FF219">
        <v>16</v>
      </c>
      <c r="FG219">
        <v>0</v>
      </c>
      <c r="FH219">
        <v>9</v>
      </c>
      <c r="FI219">
        <f>FA219+FB219+FC219+FD219+FE219</f>
        <v>8</v>
      </c>
      <c r="FJ219">
        <f>MEDIAN(EQ219:EU219)</f>
        <v>8</v>
      </c>
      <c r="FL219">
        <v>38.18</v>
      </c>
      <c r="FM219">
        <v>9</v>
      </c>
      <c r="FN219" t="s">
        <v>1636</v>
      </c>
      <c r="FO219" t="s">
        <v>1637</v>
      </c>
      <c r="FP219" t="s">
        <v>1638</v>
      </c>
      <c r="FQ219" t="s">
        <v>1639</v>
      </c>
      <c r="FR219" t="s">
        <v>1640</v>
      </c>
      <c r="FS219">
        <v>2</v>
      </c>
      <c r="FT219">
        <v>3</v>
      </c>
      <c r="FU219">
        <v>4</v>
      </c>
      <c r="FV219">
        <v>6</v>
      </c>
      <c r="FW219">
        <v>7</v>
      </c>
      <c r="FX219">
        <v>0.1</v>
      </c>
      <c r="FY219">
        <v>0.1</v>
      </c>
      <c r="FZ219">
        <v>0.2</v>
      </c>
      <c r="GA219">
        <v>0.3</v>
      </c>
      <c r="GB219">
        <v>0.3</v>
      </c>
      <c r="GC219">
        <f>FS219*FX219</f>
        <v>0.2</v>
      </c>
      <c r="GD219">
        <f>FT219*FY219</f>
        <v>0.30000000000000004</v>
      </c>
      <c r="GE219">
        <f>FU219*FZ219</f>
        <v>0.8</v>
      </c>
      <c r="GF219">
        <f>FV219*GA219</f>
        <v>1.7999999999999998</v>
      </c>
      <c r="GG219">
        <f>FW219*GB219</f>
        <v>2.1</v>
      </c>
      <c r="GH219">
        <v>9</v>
      </c>
      <c r="GI219">
        <v>0</v>
      </c>
      <c r="GJ219">
        <v>9</v>
      </c>
      <c r="GK219">
        <f>GC219+GD219+GE219+GF219+GG219</f>
        <v>5.1999999999999993</v>
      </c>
      <c r="GL219">
        <f>MEDIAN(FS219:FW219)</f>
        <v>4</v>
      </c>
    </row>
    <row r="220" spans="1:194" hidden="1" x14ac:dyDescent="0.25">
      <c r="A220">
        <v>219</v>
      </c>
      <c r="B220" t="s">
        <v>2</v>
      </c>
      <c r="C220" s="4">
        <v>79.2</v>
      </c>
      <c r="D220">
        <v>3.3</v>
      </c>
      <c r="E220" s="1">
        <f>C220/3/D220</f>
        <v>8.0000000000000018</v>
      </c>
      <c r="G220">
        <v>37.01</v>
      </c>
      <c r="H220">
        <v>8.1999999999999993</v>
      </c>
      <c r="I220">
        <f>H220*D220*3</f>
        <v>81.179999999999978</v>
      </c>
      <c r="J220">
        <v>17.78</v>
      </c>
      <c r="K220">
        <v>9</v>
      </c>
      <c r="L220" s="3">
        <f>K220*3*D220</f>
        <v>89.1</v>
      </c>
      <c r="M220">
        <v>4.87</v>
      </c>
      <c r="N220">
        <v>5.5</v>
      </c>
      <c r="O220">
        <f>N220*D220*3</f>
        <v>54.449999999999996</v>
      </c>
      <c r="P220" s="5">
        <v>7.9</v>
      </c>
      <c r="Q220" s="5">
        <f>P220*D220*3</f>
        <v>78.210000000000008</v>
      </c>
      <c r="S220" t="s">
        <v>6351</v>
      </c>
      <c r="T220">
        <v>2</v>
      </c>
      <c r="U220" s="8">
        <f>T220*D220*3</f>
        <v>19.799999999999997</v>
      </c>
      <c r="V220">
        <v>35.549999999999997</v>
      </c>
      <c r="W220">
        <v>6</v>
      </c>
      <c r="X220" s="5">
        <f>W220*D220*3</f>
        <v>59.399999999999991</v>
      </c>
      <c r="Y220">
        <v>11.58</v>
      </c>
      <c r="Z220">
        <v>8</v>
      </c>
      <c r="AA220">
        <f>Z220*D220*3</f>
        <v>79.199999999999989</v>
      </c>
      <c r="AC220">
        <v>49.21</v>
      </c>
      <c r="AD220">
        <v>7.4</v>
      </c>
      <c r="AE220" s="1">
        <f>AD220*3*D220</f>
        <v>73.260000000000005</v>
      </c>
      <c r="AF220">
        <v>13.4</v>
      </c>
      <c r="AH220" s="5">
        <f>AG220*D220*3</f>
        <v>0</v>
      </c>
      <c r="AI220" s="13"/>
      <c r="AJ220">
        <v>27</v>
      </c>
      <c r="AK220" s="8">
        <f>AJ220*D220*3</f>
        <v>267.29999999999995</v>
      </c>
      <c r="AL220" s="13"/>
      <c r="AM220">
        <v>30.98</v>
      </c>
      <c r="AN220">
        <v>7.6</v>
      </c>
      <c r="AO220" s="8">
        <f>AN220*D220*3</f>
        <v>75.239999999999995</v>
      </c>
      <c r="AP220">
        <v>12.23</v>
      </c>
      <c r="AQ220">
        <v>10</v>
      </c>
      <c r="AR220">
        <f>AQ220*D220*3</f>
        <v>99</v>
      </c>
      <c r="AT220">
        <v>8.6</v>
      </c>
      <c r="AU220">
        <f>AT220*D220*3</f>
        <v>85.14</v>
      </c>
      <c r="AW220">
        <v>25.03</v>
      </c>
      <c r="AX220">
        <v>9.3000000000000007</v>
      </c>
      <c r="AY220">
        <f>AX220*D220*3</f>
        <v>92.070000000000007</v>
      </c>
      <c r="AZ220">
        <v>25.03</v>
      </c>
      <c r="BA220">
        <v>8.6999999999999993</v>
      </c>
      <c r="BB220">
        <f>BA220*D220*3</f>
        <v>86.13</v>
      </c>
      <c r="BD220">
        <v>8.6</v>
      </c>
      <c r="BE220">
        <f>BD220*D220*3</f>
        <v>85.14</v>
      </c>
      <c r="BG220" s="10"/>
      <c r="BH220" s="1">
        <f>CHOOSE(MATCH(MIN(ABS(BP220-C220),ABS(BQ220-C220),ABS(BR220-C220)),CHOOSE({1;2;3},ABS(BP220-C220),ABS(BQ220-C220),ABS(BR220-C220)),0),BP220,BQ220,BR220)</f>
        <v>89.1</v>
      </c>
      <c r="BJ220" s="1" cm="1">
        <f t="array" ref="BJ220">(INDEX(_xlfn._xlws.SORT(CHOOSE({1;2;3;4;5;6},BQ220,BR220,L220,AE220,BO220,BP220)),3) + INDEX(_xlfn._xlws.SORT(CHOOSE({1;2;3;4;5;6},BQ220,BR220,L220,AE220,BO220,BP220)),4))/2</f>
        <v>71.28</v>
      </c>
      <c r="BK220">
        <v>7.9611074148791303</v>
      </c>
      <c r="BL220" t="s">
        <v>6117</v>
      </c>
      <c r="BM220" s="1">
        <f>BK220*3*D220</f>
        <v>78.814963407303381</v>
      </c>
      <c r="BN220" s="1">
        <f>BM220-C220</f>
        <v>-0.38503659269662194</v>
      </c>
      <c r="BO220" s="1">
        <f>GK220*3*D220</f>
        <v>56.429999999999993</v>
      </c>
      <c r="BP220" s="1">
        <f>DO220*3*D220</f>
        <v>89.1</v>
      </c>
      <c r="BQ220" s="1">
        <f>FJ220*3*D220</f>
        <v>69.3</v>
      </c>
      <c r="BR220" s="1">
        <f>GL220*3*D220</f>
        <v>59.4</v>
      </c>
      <c r="BT220">
        <v>37.01</v>
      </c>
      <c r="BU220">
        <v>8.1999999999999993</v>
      </c>
      <c r="BV220" t="s">
        <v>5114</v>
      </c>
      <c r="BW220" t="s">
        <v>5519</v>
      </c>
      <c r="BX220" t="s">
        <v>5710</v>
      </c>
      <c r="BY220" t="s">
        <v>5711</v>
      </c>
      <c r="BZ220" t="s">
        <v>5712</v>
      </c>
      <c r="CA220" t="s">
        <v>2954</v>
      </c>
      <c r="CC220" t="s">
        <v>2551</v>
      </c>
      <c r="CD220" t="s">
        <v>2552</v>
      </c>
      <c r="CE220" t="s">
        <v>2956</v>
      </c>
      <c r="CG220" t="s">
        <v>2424</v>
      </c>
      <c r="CH220" t="s">
        <v>2554</v>
      </c>
      <c r="CI220" t="s">
        <v>2621</v>
      </c>
      <c r="CK220" t="s">
        <v>2556</v>
      </c>
      <c r="CL220" t="s">
        <v>2557</v>
      </c>
      <c r="CM220" t="s">
        <v>3360</v>
      </c>
      <c r="CO220" t="s">
        <v>2431</v>
      </c>
      <c r="CP220" t="s">
        <v>2559</v>
      </c>
      <c r="CQ220" t="s">
        <v>3361</v>
      </c>
      <c r="CS220" t="s">
        <v>2435</v>
      </c>
      <c r="CT220" t="s">
        <v>2562</v>
      </c>
      <c r="CV220">
        <v>9</v>
      </c>
      <c r="CW220">
        <v>9</v>
      </c>
      <c r="CX220">
        <v>9</v>
      </c>
      <c r="CY220">
        <v>9</v>
      </c>
      <c r="CZ220">
        <v>9</v>
      </c>
      <c r="DA220">
        <v>0.1</v>
      </c>
      <c r="DB220">
        <v>0.1</v>
      </c>
      <c r="DC220">
        <v>0.2</v>
      </c>
      <c r="DD220">
        <v>0.3</v>
      </c>
      <c r="DE220">
        <v>0.3</v>
      </c>
      <c r="DF220">
        <v>0.9</v>
      </c>
      <c r="DG220">
        <v>0.9</v>
      </c>
      <c r="DH220">
        <v>1.8</v>
      </c>
      <c r="DI220">
        <v>2.7</v>
      </c>
      <c r="DJ220">
        <v>2.7</v>
      </c>
      <c r="DK220">
        <v>8.1999999999999993</v>
      </c>
      <c r="DL220">
        <v>0</v>
      </c>
      <c r="DM220">
        <v>8.1999999999999993</v>
      </c>
      <c r="DN220">
        <v>9</v>
      </c>
      <c r="DO220">
        <f>AVERAGE(CV220:CZ220)</f>
        <v>9</v>
      </c>
      <c r="DQ220">
        <v>8</v>
      </c>
      <c r="DR220" t="s">
        <v>28</v>
      </c>
      <c r="DS220" t="s">
        <v>61</v>
      </c>
      <c r="DT220" t="s">
        <v>90</v>
      </c>
      <c r="DU220" t="s">
        <v>410</v>
      </c>
      <c r="DV220" t="s">
        <v>411</v>
      </c>
      <c r="DW220" t="s">
        <v>3769</v>
      </c>
      <c r="DX220" t="s">
        <v>3770</v>
      </c>
      <c r="DY220" t="s">
        <v>4042</v>
      </c>
      <c r="DZ220" t="s">
        <v>4043</v>
      </c>
      <c r="EA220" t="s">
        <v>3860</v>
      </c>
      <c r="EB220" t="s">
        <v>3964</v>
      </c>
      <c r="EE220" t="s">
        <v>4660</v>
      </c>
      <c r="EF220" t="s">
        <v>4020</v>
      </c>
      <c r="EG220" t="s">
        <v>4661</v>
      </c>
      <c r="EH220" t="s">
        <v>4662</v>
      </c>
      <c r="EI220" t="s">
        <v>4045</v>
      </c>
      <c r="EJ220" t="s">
        <v>3928</v>
      </c>
      <c r="EK220" t="s">
        <v>4663</v>
      </c>
      <c r="EL220" t="s">
        <v>4664</v>
      </c>
      <c r="EM220" t="s">
        <v>3871</v>
      </c>
      <c r="EN220" t="s">
        <v>4047</v>
      </c>
      <c r="EQ220">
        <v>7</v>
      </c>
      <c r="ER220">
        <v>8</v>
      </c>
      <c r="ES220">
        <v>7</v>
      </c>
      <c r="ET220">
        <v>7</v>
      </c>
      <c r="EU220">
        <v>8</v>
      </c>
      <c r="EV220">
        <v>0.1</v>
      </c>
      <c r="EW220">
        <v>0.1</v>
      </c>
      <c r="EX220">
        <v>0.2</v>
      </c>
      <c r="EY220">
        <v>0.3</v>
      </c>
      <c r="EZ220">
        <v>0.3</v>
      </c>
      <c r="FA220">
        <f>EV220*EQ220</f>
        <v>0.70000000000000007</v>
      </c>
      <c r="FB220">
        <f>EW220*ER220</f>
        <v>0.8</v>
      </c>
      <c r="FC220">
        <f>EX220*ES220</f>
        <v>1.4000000000000001</v>
      </c>
      <c r="FD220">
        <f>EY220*ET220</f>
        <v>2.1</v>
      </c>
      <c r="FE220">
        <f>EZ220*EU220</f>
        <v>2.4</v>
      </c>
      <c r="FF220">
        <v>21</v>
      </c>
      <c r="FG220">
        <v>0</v>
      </c>
      <c r="FH220">
        <v>8</v>
      </c>
      <c r="FI220">
        <f>FA220+FB220+FC220+FD220+FE220</f>
        <v>7.4</v>
      </c>
      <c r="FJ220">
        <f>MEDIAN(EQ220:EU220)</f>
        <v>7</v>
      </c>
      <c r="FL220">
        <v>43.14</v>
      </c>
      <c r="FM220">
        <v>5</v>
      </c>
      <c r="FN220" t="s">
        <v>1641</v>
      </c>
      <c r="FO220" t="s">
        <v>1642</v>
      </c>
      <c r="FP220" t="s">
        <v>1643</v>
      </c>
      <c r="FQ220" t="s">
        <v>1644</v>
      </c>
      <c r="FR220" t="s">
        <v>1645</v>
      </c>
      <c r="FS220">
        <v>2.5</v>
      </c>
      <c r="FT220">
        <v>7</v>
      </c>
      <c r="FU220">
        <v>8</v>
      </c>
      <c r="FV220">
        <v>6</v>
      </c>
      <c r="FW220">
        <v>4.5</v>
      </c>
      <c r="FX220">
        <v>0.1</v>
      </c>
      <c r="FY220">
        <v>0.1</v>
      </c>
      <c r="FZ220">
        <v>0.2</v>
      </c>
      <c r="GA220">
        <v>0.3</v>
      </c>
      <c r="GB220">
        <v>0.3</v>
      </c>
      <c r="GC220">
        <f>FS220*FX220</f>
        <v>0.25</v>
      </c>
      <c r="GD220">
        <f>FT220*FY220</f>
        <v>0.70000000000000007</v>
      </c>
      <c r="GE220">
        <f>FU220*FZ220</f>
        <v>1.6</v>
      </c>
      <c r="GF220">
        <f>FV220*GA220</f>
        <v>1.7999999999999998</v>
      </c>
      <c r="GG220">
        <f>FW220*GB220</f>
        <v>1.3499999999999999</v>
      </c>
      <c r="GH220">
        <v>5</v>
      </c>
      <c r="GI220">
        <v>0</v>
      </c>
      <c r="GJ220">
        <v>5</v>
      </c>
      <c r="GK220">
        <f>GC220+GD220+GE220+GF220+GG220</f>
        <v>5.6999999999999993</v>
      </c>
      <c r="GL220">
        <f>MEDIAN(FS220:FW220)</f>
        <v>6</v>
      </c>
    </row>
    <row r="221" spans="1:194" x14ac:dyDescent="0.25">
      <c r="A221">
        <v>134</v>
      </c>
      <c r="B221" t="s">
        <v>2</v>
      </c>
      <c r="C221" s="4">
        <v>79.2</v>
      </c>
      <c r="D221">
        <v>3.3</v>
      </c>
      <c r="E221" s="1">
        <f>C221/3/D221</f>
        <v>8.0000000000000018</v>
      </c>
      <c r="G221">
        <v>39.630000000000003</v>
      </c>
      <c r="H221">
        <v>8.5</v>
      </c>
      <c r="I221">
        <f>H221*D221*3</f>
        <v>84.149999999999991</v>
      </c>
      <c r="J221">
        <v>16.86</v>
      </c>
      <c r="K221">
        <v>9.4</v>
      </c>
      <c r="L221" s="3">
        <f>K221*3*D221</f>
        <v>93.06</v>
      </c>
      <c r="M221">
        <v>5.16</v>
      </c>
      <c r="N221">
        <v>5</v>
      </c>
      <c r="O221">
        <f>N221*D221*3</f>
        <v>49.5</v>
      </c>
      <c r="P221" s="5">
        <v>9</v>
      </c>
      <c r="Q221" s="5">
        <f>P221*D221*3</f>
        <v>89.1</v>
      </c>
      <c r="S221" t="s">
        <v>6268</v>
      </c>
      <c r="T221">
        <v>4.3</v>
      </c>
      <c r="U221" s="8">
        <f>T221*D221*3</f>
        <v>42.57</v>
      </c>
      <c r="V221">
        <v>31.16</v>
      </c>
      <c r="W221">
        <v>8</v>
      </c>
      <c r="X221" s="5">
        <f>W221*D221*3</f>
        <v>79.199999999999989</v>
      </c>
      <c r="Y221">
        <v>9.52</v>
      </c>
      <c r="Z221">
        <v>6.7</v>
      </c>
      <c r="AA221">
        <f>Z221*D221*3</f>
        <v>66.33</v>
      </c>
      <c r="AC221">
        <v>48.48</v>
      </c>
      <c r="AD221">
        <v>6.9</v>
      </c>
      <c r="AE221" s="1">
        <f>AD221*3*D221</f>
        <v>68.31</v>
      </c>
      <c r="AF221">
        <v>12.02</v>
      </c>
      <c r="AG221" s="5">
        <v>7</v>
      </c>
      <c r="AH221" s="5">
        <f>AG221*D221*3</f>
        <v>69.3</v>
      </c>
      <c r="AI221" s="13"/>
      <c r="AK221" s="8">
        <f>AJ221*D221*3</f>
        <v>0</v>
      </c>
      <c r="AL221" s="13"/>
      <c r="AM221">
        <v>32.85</v>
      </c>
      <c r="AN221">
        <v>7.2</v>
      </c>
      <c r="AO221" s="8">
        <f>AN221*D221*3</f>
        <v>71.28</v>
      </c>
      <c r="AP221">
        <v>13.45</v>
      </c>
      <c r="AQ221">
        <v>8.6</v>
      </c>
      <c r="AR221">
        <f>AQ221*D221*3</f>
        <v>85.14</v>
      </c>
      <c r="AT221">
        <v>7.7</v>
      </c>
      <c r="AU221">
        <f>AT221*D221*3</f>
        <v>76.23</v>
      </c>
      <c r="AW221">
        <v>23.39</v>
      </c>
      <c r="AX221">
        <v>8.1999999999999993</v>
      </c>
      <c r="AY221">
        <f>AX221*D221*3</f>
        <v>81.179999999999978</v>
      </c>
      <c r="AZ221">
        <v>23.39</v>
      </c>
      <c r="BA221">
        <v>8.4</v>
      </c>
      <c r="BB221">
        <f>BA221*D221*3</f>
        <v>83.16</v>
      </c>
      <c r="BD221">
        <v>8.9</v>
      </c>
      <c r="BE221">
        <f>BD221*D221*3</f>
        <v>88.11</v>
      </c>
      <c r="BG221" s="10"/>
      <c r="BH221" s="1">
        <f>CHOOSE(MATCH(MIN(ABS(BP221-C221),ABS(BQ221-C221),ABS(BR221-C221)),CHOOSE({1;2;3},ABS(BP221-C221),ABS(BQ221-C221),ABS(BR221-C221)),0),BP221,BQ221,BR221)</f>
        <v>84.149999999999991</v>
      </c>
      <c r="BJ221" s="1" cm="1">
        <f t="array" ref="BJ221">(INDEX(_xlfn._xlws.SORT(CHOOSE({1;2;3;4;5;6},BQ221,BR221,L221,AE221,BO221,BP221)),3) + INDEX(_xlfn._xlws.SORT(CHOOSE({1;2;3;4;5;6},BQ221,BR221,L221,AE221,BO221,BP221)),4))/2</f>
        <v>68.805000000000007</v>
      </c>
      <c r="BK221">
        <v>8.4498617976821802</v>
      </c>
      <c r="BL221" s="11" t="s">
        <v>6116</v>
      </c>
      <c r="BM221" s="1">
        <f>BK221*3*D221</f>
        <v>83.653631797053578</v>
      </c>
      <c r="BN221" s="1">
        <f>BM221-C221</f>
        <v>4.4536317970535748</v>
      </c>
      <c r="BO221" s="1">
        <f>GK221*3*D221</f>
        <v>38.609999999999992</v>
      </c>
      <c r="BP221" s="1">
        <f>DO221*3*D221</f>
        <v>84.149999999999991</v>
      </c>
      <c r="BQ221" s="1">
        <f>FJ221*3*D221</f>
        <v>69.3</v>
      </c>
      <c r="BR221" s="1">
        <f>GL221*3*D221</f>
        <v>34.65</v>
      </c>
      <c r="BT221">
        <v>39.630000000000003</v>
      </c>
      <c r="BU221">
        <v>8.5</v>
      </c>
      <c r="BV221" t="s">
        <v>5452</v>
      </c>
      <c r="BW221" t="s">
        <v>5453</v>
      </c>
      <c r="BX221" t="s">
        <v>5454</v>
      </c>
      <c r="BY221" t="s">
        <v>5455</v>
      </c>
      <c r="BZ221" t="s">
        <v>5456</v>
      </c>
      <c r="CA221" t="s">
        <v>3067</v>
      </c>
      <c r="CC221" t="s">
        <v>3124</v>
      </c>
      <c r="CD221" t="s">
        <v>2758</v>
      </c>
      <c r="CE221" t="s">
        <v>3089</v>
      </c>
      <c r="CG221" t="s">
        <v>3125</v>
      </c>
      <c r="CH221" t="s">
        <v>3126</v>
      </c>
      <c r="CI221" t="s">
        <v>3127</v>
      </c>
      <c r="CK221" t="s">
        <v>3128</v>
      </c>
      <c r="CL221" t="s">
        <v>3129</v>
      </c>
      <c r="CM221" t="s">
        <v>3130</v>
      </c>
      <c r="CO221" t="s">
        <v>3131</v>
      </c>
      <c r="CP221" t="s">
        <v>3132</v>
      </c>
      <c r="CQ221" t="s">
        <v>3133</v>
      </c>
      <c r="CS221" t="s">
        <v>3134</v>
      </c>
      <c r="CT221" t="s">
        <v>3135</v>
      </c>
      <c r="CV221">
        <v>8.5</v>
      </c>
      <c r="CW221">
        <v>8.5</v>
      </c>
      <c r="CX221">
        <v>8.5</v>
      </c>
      <c r="CY221">
        <v>8.5</v>
      </c>
      <c r="CZ221">
        <v>8.5</v>
      </c>
      <c r="DA221">
        <v>0.1</v>
      </c>
      <c r="DB221">
        <v>0.1</v>
      </c>
      <c r="DC221">
        <v>0.2</v>
      </c>
      <c r="DD221">
        <v>0.3</v>
      </c>
      <c r="DE221">
        <v>0.3</v>
      </c>
      <c r="DF221">
        <v>0.85</v>
      </c>
      <c r="DG221">
        <v>0.85</v>
      </c>
      <c r="DH221">
        <v>1.7</v>
      </c>
      <c r="DI221">
        <v>2.5499999999999998</v>
      </c>
      <c r="DJ221">
        <v>2.5499999999999998</v>
      </c>
      <c r="DK221">
        <v>8.5</v>
      </c>
      <c r="DL221">
        <v>0</v>
      </c>
      <c r="DM221">
        <v>8.5</v>
      </c>
      <c r="DN221">
        <v>9.4</v>
      </c>
      <c r="DO221">
        <f>AVERAGE(CV221:CZ221)</f>
        <v>8.5</v>
      </c>
      <c r="DQ221">
        <v>7</v>
      </c>
      <c r="DR221" t="s">
        <v>306</v>
      </c>
      <c r="DS221" t="s">
        <v>307</v>
      </c>
      <c r="DT221" t="s">
        <v>308</v>
      </c>
      <c r="DU221" t="s">
        <v>309</v>
      </c>
      <c r="DV221" t="s">
        <v>310</v>
      </c>
      <c r="DW221" t="s">
        <v>4472</v>
      </c>
      <c r="DX221" t="s">
        <v>4473</v>
      </c>
      <c r="DY221" t="s">
        <v>4474</v>
      </c>
      <c r="DZ221" t="s">
        <v>4475</v>
      </c>
      <c r="EA221" t="s">
        <v>4476</v>
      </c>
      <c r="EB221" t="s">
        <v>4477</v>
      </c>
      <c r="EC221" t="s">
        <v>4478</v>
      </c>
      <c r="ED221" t="s">
        <v>4479</v>
      </c>
      <c r="EE221" t="s">
        <v>4480</v>
      </c>
      <c r="EF221" t="s">
        <v>3778</v>
      </c>
      <c r="EG221" t="s">
        <v>4481</v>
      </c>
      <c r="EH221" t="s">
        <v>4482</v>
      </c>
      <c r="EI221" t="s">
        <v>3903</v>
      </c>
      <c r="EJ221" t="s">
        <v>4483</v>
      </c>
      <c r="EK221" t="s">
        <v>4484</v>
      </c>
      <c r="EL221" t="s">
        <v>4485</v>
      </c>
      <c r="EM221" t="s">
        <v>3930</v>
      </c>
      <c r="EN221" t="s">
        <v>4486</v>
      </c>
      <c r="EO221" t="s">
        <v>4487</v>
      </c>
      <c r="EP221" t="s">
        <v>4479</v>
      </c>
      <c r="EQ221">
        <v>6</v>
      </c>
      <c r="ER221">
        <v>7</v>
      </c>
      <c r="ES221">
        <v>7</v>
      </c>
      <c r="ET221">
        <v>7</v>
      </c>
      <c r="EU221">
        <v>7</v>
      </c>
      <c r="EV221">
        <v>0.1</v>
      </c>
      <c r="EW221">
        <v>0.1</v>
      </c>
      <c r="EX221">
        <v>0.2</v>
      </c>
      <c r="EY221">
        <v>0.3</v>
      </c>
      <c r="EZ221">
        <v>0.3</v>
      </c>
      <c r="FA221">
        <f>EV221*EQ221</f>
        <v>0.60000000000000009</v>
      </c>
      <c r="FB221">
        <f>EW221*ER221</f>
        <v>0.70000000000000007</v>
      </c>
      <c r="FC221">
        <f>EX221*ES221</f>
        <v>1.4000000000000001</v>
      </c>
      <c r="FD221">
        <f>EY221*ET221</f>
        <v>2.1</v>
      </c>
      <c r="FE221">
        <f>EZ221*EU221</f>
        <v>2.1</v>
      </c>
      <c r="FF221">
        <v>14</v>
      </c>
      <c r="FG221">
        <v>0</v>
      </c>
      <c r="FH221">
        <v>7</v>
      </c>
      <c r="FI221">
        <f>FA221+FB221+FC221+FD221+FE221</f>
        <v>6.9</v>
      </c>
      <c r="FJ221">
        <f>MEDIAN(EQ221:EU221)</f>
        <v>7</v>
      </c>
      <c r="FL221">
        <v>41.07</v>
      </c>
      <c r="FM221">
        <v>7.5</v>
      </c>
      <c r="FN221" t="s">
        <v>1243</v>
      </c>
      <c r="FO221" t="s">
        <v>1244</v>
      </c>
      <c r="FP221" t="s">
        <v>1245</v>
      </c>
      <c r="FQ221" t="s">
        <v>1246</v>
      </c>
      <c r="FR221" t="s">
        <v>1247</v>
      </c>
      <c r="FS221">
        <v>3.5</v>
      </c>
      <c r="FT221">
        <v>2.5</v>
      </c>
      <c r="FU221">
        <v>1.5</v>
      </c>
      <c r="FV221">
        <v>4</v>
      </c>
      <c r="FW221">
        <v>6</v>
      </c>
      <c r="FX221">
        <v>0.1</v>
      </c>
      <c r="FY221">
        <v>0.1</v>
      </c>
      <c r="FZ221">
        <v>0.2</v>
      </c>
      <c r="GA221">
        <v>0.3</v>
      </c>
      <c r="GB221">
        <v>0.3</v>
      </c>
      <c r="GC221">
        <f>FS221*FX221</f>
        <v>0.35000000000000003</v>
      </c>
      <c r="GD221">
        <f>FT221*FY221</f>
        <v>0.25</v>
      </c>
      <c r="GE221">
        <f>FU221*FZ221</f>
        <v>0.30000000000000004</v>
      </c>
      <c r="GF221">
        <f>FV221*GA221</f>
        <v>1.2</v>
      </c>
      <c r="GG221">
        <f>FW221*GB221</f>
        <v>1.7999999999999998</v>
      </c>
      <c r="GH221">
        <v>7.5</v>
      </c>
      <c r="GI221">
        <v>0</v>
      </c>
      <c r="GJ221">
        <v>7.5</v>
      </c>
      <c r="GK221">
        <f>GC221+GD221+GE221+GF221+GG221</f>
        <v>3.9</v>
      </c>
      <c r="GL221">
        <f>MEDIAN(FS221:FW221)</f>
        <v>3.5</v>
      </c>
    </row>
    <row r="222" spans="1:194" x14ac:dyDescent="0.25">
      <c r="A222">
        <v>215</v>
      </c>
      <c r="B222" t="s">
        <v>2</v>
      </c>
      <c r="C222" s="4">
        <v>67.5</v>
      </c>
      <c r="D222">
        <v>3</v>
      </c>
      <c r="E222" s="1">
        <f>C222/3/D222</f>
        <v>7.5</v>
      </c>
      <c r="G222">
        <v>39.22</v>
      </c>
      <c r="H222">
        <v>6.1</v>
      </c>
      <c r="I222">
        <f>H222*D222*3</f>
        <v>54.899999999999991</v>
      </c>
      <c r="J222">
        <v>18.43</v>
      </c>
      <c r="K222">
        <v>8.6999999999999993</v>
      </c>
      <c r="L222" s="3">
        <f>K222*3*D222</f>
        <v>78.3</v>
      </c>
      <c r="M222">
        <v>5.01</v>
      </c>
      <c r="N222">
        <v>5.5</v>
      </c>
      <c r="O222">
        <f>N222*D222*3</f>
        <v>49.5</v>
      </c>
      <c r="P222" s="5">
        <v>8.6</v>
      </c>
      <c r="Q222" s="5">
        <f>P222*D222*3</f>
        <v>77.399999999999991</v>
      </c>
      <c r="S222" t="s">
        <v>6347</v>
      </c>
      <c r="T222">
        <v>2</v>
      </c>
      <c r="U222" s="8">
        <f>T222*D222*3</f>
        <v>18</v>
      </c>
      <c r="V222">
        <v>32.270000000000003</v>
      </c>
      <c r="W222">
        <v>8.6999999999999993</v>
      </c>
      <c r="X222" s="5">
        <f>W222*D222*3</f>
        <v>78.3</v>
      </c>
      <c r="Y222">
        <v>11.97</v>
      </c>
      <c r="Z222">
        <v>7.6</v>
      </c>
      <c r="AA222">
        <f>Z222*D222*3</f>
        <v>68.399999999999991</v>
      </c>
      <c r="AC222">
        <v>46.46</v>
      </c>
      <c r="AD222">
        <v>8</v>
      </c>
      <c r="AE222" s="1">
        <f>AD222*3*D222</f>
        <v>72</v>
      </c>
      <c r="AF222">
        <v>12</v>
      </c>
      <c r="AG222" s="5">
        <v>7</v>
      </c>
      <c r="AH222" s="5">
        <f>AG222*D222*3</f>
        <v>63</v>
      </c>
      <c r="AI222" s="13"/>
      <c r="AJ222">
        <v>9</v>
      </c>
      <c r="AK222" s="8">
        <f>AJ222*D222*3</f>
        <v>81</v>
      </c>
      <c r="AL222" s="13"/>
      <c r="AM222">
        <v>30.49</v>
      </c>
      <c r="AN222">
        <v>7.5</v>
      </c>
      <c r="AO222" s="8">
        <f>AN222*D222*3</f>
        <v>67.5</v>
      </c>
      <c r="AP222">
        <v>14.58</v>
      </c>
      <c r="AQ222">
        <v>9.5</v>
      </c>
      <c r="AR222">
        <f>AQ222*D222*3</f>
        <v>85.5</v>
      </c>
      <c r="AT222">
        <v>9</v>
      </c>
      <c r="AU222">
        <f>AT222*D222*3</f>
        <v>81</v>
      </c>
      <c r="AW222">
        <v>23.2</v>
      </c>
      <c r="AX222">
        <v>9.1</v>
      </c>
      <c r="AY222">
        <f>AX222*D222*3</f>
        <v>81.899999999999991</v>
      </c>
      <c r="AZ222">
        <v>23.2</v>
      </c>
      <c r="BA222">
        <v>9</v>
      </c>
      <c r="BB222">
        <f>BA222*D222*3</f>
        <v>81</v>
      </c>
      <c r="BD222">
        <v>9</v>
      </c>
      <c r="BE222">
        <f>BD222*D222*3</f>
        <v>81</v>
      </c>
      <c r="BG222" s="10"/>
      <c r="BH222" s="1">
        <f>CHOOSE(MATCH(MIN(ABS(BP222-C222),ABS(BQ222-C222),ABS(BR222-C222)),CHOOSE({1;2;3},ABS(BP222-C222),ABS(BQ222-C222),ABS(BR222-C222)),0),BP222,BQ222,BR222)</f>
        <v>68.399999999999991</v>
      </c>
      <c r="BJ222" s="1" cm="1">
        <f t="array" ref="BJ222">(INDEX(_xlfn._xlws.SORT(CHOOSE({1;2;3;4;5;6},BQ222,BR222,L222,AE222,BO222,BP222)),3) + INDEX(_xlfn._xlws.SORT(CHOOSE({1;2;3;4;5;6},BQ222,BR222,L222,AE222,BO222,BP222)),4))/2</f>
        <v>72</v>
      </c>
      <c r="BK222">
        <v>8.1531043703378305</v>
      </c>
      <c r="BL222" s="11" t="s">
        <v>6116</v>
      </c>
      <c r="BM222" s="1">
        <f>BK222*3*D222</f>
        <v>73.377939333040473</v>
      </c>
      <c r="BN222" s="1">
        <f>BM222-C222</f>
        <v>5.877939333040473</v>
      </c>
      <c r="BO222" s="1">
        <f>GK222*3*D222</f>
        <v>70.199999999999989</v>
      </c>
      <c r="BP222" s="1">
        <f>DO222*3*D222</f>
        <v>68.399999999999991</v>
      </c>
      <c r="BQ222" s="1">
        <f>FJ222*3*D222</f>
        <v>72</v>
      </c>
      <c r="BR222" s="1">
        <f>GL222*3*D222</f>
        <v>72</v>
      </c>
      <c r="BT222">
        <v>39.22</v>
      </c>
      <c r="BU222">
        <v>6.1</v>
      </c>
      <c r="BV222" t="s">
        <v>5028</v>
      </c>
      <c r="BW222" t="s">
        <v>5695</v>
      </c>
      <c r="BX222" t="s">
        <v>5696</v>
      </c>
      <c r="BY222" t="s">
        <v>5697</v>
      </c>
      <c r="BZ222" t="s">
        <v>5698</v>
      </c>
      <c r="CA222" t="s">
        <v>2437</v>
      </c>
      <c r="CC222" t="s">
        <v>2438</v>
      </c>
      <c r="CD222" t="s">
        <v>2744</v>
      </c>
      <c r="CE222" t="s">
        <v>2440</v>
      </c>
      <c r="CG222" t="s">
        <v>2791</v>
      </c>
      <c r="CH222" t="s">
        <v>2823</v>
      </c>
      <c r="CI222" t="s">
        <v>2535</v>
      </c>
      <c r="CJ222" t="s">
        <v>2427</v>
      </c>
      <c r="CK222" t="s">
        <v>2987</v>
      </c>
      <c r="CL222" t="s">
        <v>2988</v>
      </c>
      <c r="CM222" t="s">
        <v>2446</v>
      </c>
      <c r="CN222" t="s">
        <v>3350</v>
      </c>
      <c r="CO222" t="s">
        <v>3351</v>
      </c>
      <c r="CP222" t="s">
        <v>3352</v>
      </c>
      <c r="CQ222" t="s">
        <v>3202</v>
      </c>
      <c r="CR222" t="s">
        <v>3009</v>
      </c>
      <c r="CS222" t="s">
        <v>3353</v>
      </c>
      <c r="CT222" t="s">
        <v>3354</v>
      </c>
      <c r="CV222">
        <v>9</v>
      </c>
      <c r="CW222">
        <v>9</v>
      </c>
      <c r="CX222">
        <v>7</v>
      </c>
      <c r="CY222">
        <v>8</v>
      </c>
      <c r="CZ222">
        <v>5</v>
      </c>
      <c r="DA222">
        <v>0.1</v>
      </c>
      <c r="DB222">
        <v>0.1</v>
      </c>
      <c r="DC222">
        <v>0.2</v>
      </c>
      <c r="DD222">
        <v>0.3</v>
      </c>
      <c r="DE222">
        <v>0.3</v>
      </c>
      <c r="DF222">
        <v>0.9</v>
      </c>
      <c r="DG222">
        <v>0.9</v>
      </c>
      <c r="DH222">
        <v>1.4</v>
      </c>
      <c r="DI222">
        <v>2.4</v>
      </c>
      <c r="DJ222">
        <v>1.5</v>
      </c>
      <c r="DK222">
        <v>6.1</v>
      </c>
      <c r="DL222">
        <v>0</v>
      </c>
      <c r="DM222">
        <v>6.1</v>
      </c>
      <c r="DN222">
        <v>8.6999999999999993</v>
      </c>
      <c r="DO222">
        <f>AVERAGE(CV222:CZ222)</f>
        <v>7.6</v>
      </c>
      <c r="DQ222" t="s">
        <v>27</v>
      </c>
      <c r="DR222" t="s">
        <v>65</v>
      </c>
      <c r="DS222" t="s">
        <v>66</v>
      </c>
      <c r="DT222" t="s">
        <v>67</v>
      </c>
      <c r="DU222" t="s">
        <v>68</v>
      </c>
      <c r="DV222" t="s">
        <v>97</v>
      </c>
      <c r="DW222" t="s">
        <v>3836</v>
      </c>
      <c r="DX222" t="s">
        <v>3858</v>
      </c>
      <c r="DY222" t="s">
        <v>3883</v>
      </c>
      <c r="DZ222" t="s">
        <v>3884</v>
      </c>
      <c r="EA222" t="s">
        <v>3860</v>
      </c>
      <c r="EB222" t="s">
        <v>3840</v>
      </c>
      <c r="EC222" t="s">
        <v>3898</v>
      </c>
      <c r="ED222" t="s">
        <v>4654</v>
      </c>
      <c r="EE222" t="s">
        <v>3863</v>
      </c>
      <c r="EF222" t="s">
        <v>4245</v>
      </c>
      <c r="EG222" t="s">
        <v>3901</v>
      </c>
      <c r="EH222" t="s">
        <v>4655</v>
      </c>
      <c r="EI222" t="s">
        <v>3879</v>
      </c>
      <c r="EJ222" t="s">
        <v>4247</v>
      </c>
      <c r="EK222" t="s">
        <v>3905</v>
      </c>
      <c r="EL222" t="s">
        <v>4656</v>
      </c>
      <c r="EM222" t="s">
        <v>3989</v>
      </c>
      <c r="EN222" t="s">
        <v>4302</v>
      </c>
      <c r="EO222" t="s">
        <v>3909</v>
      </c>
      <c r="EP222" t="s">
        <v>4657</v>
      </c>
      <c r="EQ222">
        <v>8</v>
      </c>
      <c r="ER222">
        <v>8</v>
      </c>
      <c r="ES222">
        <v>8</v>
      </c>
      <c r="ET222">
        <v>8</v>
      </c>
      <c r="EU222">
        <v>8</v>
      </c>
      <c r="EV222">
        <v>0.1</v>
      </c>
      <c r="EW222">
        <v>0.1</v>
      </c>
      <c r="EX222">
        <v>0.2</v>
      </c>
      <c r="EY222">
        <v>0.3</v>
      </c>
      <c r="EZ222">
        <v>0.3</v>
      </c>
      <c r="FA222">
        <f>EV222*EQ222</f>
        <v>0.8</v>
      </c>
      <c r="FB222">
        <f>EW222*ER222</f>
        <v>0.8</v>
      </c>
      <c r="FC222">
        <f>EX222*ES222</f>
        <v>1.6</v>
      </c>
      <c r="FD222">
        <f>EY222*ET222</f>
        <v>2.4</v>
      </c>
      <c r="FE222">
        <f>EZ222*EU222</f>
        <v>2.4</v>
      </c>
      <c r="FF222">
        <v>16</v>
      </c>
      <c r="FG222">
        <v>0</v>
      </c>
      <c r="FH222">
        <v>9</v>
      </c>
      <c r="FI222">
        <f>FA222+FB222+FC222+FD222+FE222</f>
        <v>8</v>
      </c>
      <c r="FJ222">
        <f>MEDIAN(EQ222:EU222)</f>
        <v>8</v>
      </c>
      <c r="FL222">
        <v>44.64</v>
      </c>
      <c r="FM222">
        <v>7.8</v>
      </c>
      <c r="FN222" t="s">
        <v>1621</v>
      </c>
      <c r="FO222" t="s">
        <v>1622</v>
      </c>
      <c r="FP222" t="s">
        <v>1623</v>
      </c>
      <c r="FQ222" t="s">
        <v>1624</v>
      </c>
      <c r="FR222" t="s">
        <v>1625</v>
      </c>
      <c r="FS222">
        <v>10</v>
      </c>
      <c r="FT222">
        <v>9.5</v>
      </c>
      <c r="FU222">
        <v>7.5</v>
      </c>
      <c r="FV222">
        <v>8</v>
      </c>
      <c r="FW222">
        <v>6.5</v>
      </c>
      <c r="FX222">
        <v>0.1</v>
      </c>
      <c r="FY222">
        <v>0.1</v>
      </c>
      <c r="FZ222">
        <v>0.2</v>
      </c>
      <c r="GA222">
        <v>0.3</v>
      </c>
      <c r="GB222">
        <v>0.3</v>
      </c>
      <c r="GC222">
        <f>FS222*FX222</f>
        <v>1</v>
      </c>
      <c r="GD222">
        <f>FT222*FY222</f>
        <v>0.95000000000000007</v>
      </c>
      <c r="GE222">
        <f>FU222*FZ222</f>
        <v>1.5</v>
      </c>
      <c r="GF222">
        <f>FV222*GA222</f>
        <v>2.4</v>
      </c>
      <c r="GG222">
        <f>FW222*GB222</f>
        <v>1.95</v>
      </c>
      <c r="GH222">
        <v>7.85</v>
      </c>
      <c r="GJ222">
        <v>7.8</v>
      </c>
      <c r="GK222">
        <f>GC222+GD222+GE222+GF222+GG222</f>
        <v>7.8</v>
      </c>
      <c r="GL222">
        <f>MEDIAN(FS222:FW222)</f>
        <v>8</v>
      </c>
    </row>
    <row r="223" spans="1:194" hidden="1" x14ac:dyDescent="0.25">
      <c r="A223">
        <v>222</v>
      </c>
      <c r="B223" t="s">
        <v>2</v>
      </c>
      <c r="C223" s="4">
        <v>83.25</v>
      </c>
      <c r="D223">
        <v>3.7</v>
      </c>
      <c r="E223" s="1">
        <f>C223/3/D223</f>
        <v>7.5</v>
      </c>
      <c r="G223">
        <v>88.82</v>
      </c>
      <c r="H223">
        <v>8</v>
      </c>
      <c r="I223">
        <f>H223*D223*3</f>
        <v>88.800000000000011</v>
      </c>
      <c r="J223">
        <v>18.579999999999998</v>
      </c>
      <c r="K223">
        <v>8.4</v>
      </c>
      <c r="L223" s="3">
        <f>K223*3*D223</f>
        <v>93.240000000000009</v>
      </c>
      <c r="M223">
        <v>4.17</v>
      </c>
      <c r="N223">
        <v>7.8</v>
      </c>
      <c r="O223">
        <f>N223*D223*3</f>
        <v>86.58</v>
      </c>
      <c r="P223" s="5">
        <v>8.1999999999999993</v>
      </c>
      <c r="Q223" s="5">
        <f>P223*D223*3</f>
        <v>91.02</v>
      </c>
      <c r="S223" t="s">
        <v>6354</v>
      </c>
      <c r="T223">
        <v>6.2</v>
      </c>
      <c r="U223" s="8">
        <f>T223*D223*3</f>
        <v>68.820000000000007</v>
      </c>
      <c r="V223">
        <v>31.08</v>
      </c>
      <c r="W223">
        <v>8.4</v>
      </c>
      <c r="X223" s="5">
        <f>W223*D223*3</f>
        <v>93.240000000000009</v>
      </c>
      <c r="Y223">
        <v>8.8699999999999992</v>
      </c>
      <c r="Z223">
        <v>6</v>
      </c>
      <c r="AA223">
        <f>Z223*D223*3</f>
        <v>66.600000000000009</v>
      </c>
      <c r="AC223">
        <v>61.52</v>
      </c>
      <c r="AD223">
        <v>5.2</v>
      </c>
      <c r="AE223" s="1">
        <f>AD223*3*D223</f>
        <v>57.720000000000006</v>
      </c>
      <c r="AF223">
        <v>11.91</v>
      </c>
      <c r="AG223" s="5">
        <v>7</v>
      </c>
      <c r="AH223" s="5">
        <f>AG223*D223*3</f>
        <v>77.7</v>
      </c>
      <c r="AI223" s="13"/>
      <c r="AJ223">
        <v>2.8</v>
      </c>
      <c r="AK223" s="8">
        <f>AJ223*D223*3</f>
        <v>31.08</v>
      </c>
      <c r="AL223" s="13"/>
      <c r="AM223">
        <v>31.09</v>
      </c>
      <c r="AN223">
        <v>7.6</v>
      </c>
      <c r="AO223" s="8">
        <f>AN223*D223*3</f>
        <v>84.36</v>
      </c>
      <c r="AP223">
        <v>11.78</v>
      </c>
      <c r="AQ223">
        <v>10</v>
      </c>
      <c r="AR223">
        <f>AQ223*D223*3</f>
        <v>111</v>
      </c>
      <c r="AT223">
        <v>9</v>
      </c>
      <c r="AU223">
        <f>AT223*D223*3</f>
        <v>99.9</v>
      </c>
      <c r="AW223">
        <v>23.05</v>
      </c>
      <c r="AX223">
        <v>9.3000000000000007</v>
      </c>
      <c r="AY223">
        <f>AX223*D223*3</f>
        <v>103.23000000000002</v>
      </c>
      <c r="AZ223">
        <v>23.05</v>
      </c>
      <c r="BA223">
        <v>8.9</v>
      </c>
      <c r="BB223">
        <f>BA223*D223*3</f>
        <v>98.789999999999992</v>
      </c>
      <c r="BD223">
        <v>9</v>
      </c>
      <c r="BE223">
        <f>BD223*D223*3</f>
        <v>99.9</v>
      </c>
      <c r="BG223" s="10"/>
      <c r="BH223" s="1">
        <f>CHOOSE(MATCH(MIN(ABS(BP223-C223),ABS(BQ223-C223),ABS(BR223-C223)),CHOOSE({1;2;3},ABS(BP223-C223),ABS(BQ223-C223),ABS(BR223-C223)),0),BP223,BQ223,BR223)</f>
        <v>88.800000000000011</v>
      </c>
      <c r="BJ223" s="1" cm="1">
        <f t="array" ref="BJ223">(INDEX(_xlfn._xlws.SORT(CHOOSE({1;2;3;4;5;6},BQ223,BR223,L223,AE223,BO223,BP223)),3) + INDEX(_xlfn._xlws.SORT(CHOOSE({1;2;3;4;5;6},BQ223,BR223,L223,AE223,BO223,BP223)),4))/2</f>
        <v>86.025000000000006</v>
      </c>
      <c r="BK223">
        <v>7.4967536024199202</v>
      </c>
      <c r="BL223" t="s">
        <v>6117</v>
      </c>
      <c r="BM223" s="1">
        <f>BK223*3*D223</f>
        <v>83.213964986861114</v>
      </c>
      <c r="BN223" s="1">
        <f>BM223-C223</f>
        <v>-3.6035013138885574E-2</v>
      </c>
      <c r="BO223" s="1">
        <f>GK223*3*D223</f>
        <v>83.249999999999986</v>
      </c>
      <c r="BP223" s="1">
        <f>DO223*3*D223</f>
        <v>99.9</v>
      </c>
      <c r="BQ223" s="1">
        <f>FJ223*3*D223</f>
        <v>55.5</v>
      </c>
      <c r="BR223" s="1">
        <f>GL223*3*D223</f>
        <v>88.800000000000011</v>
      </c>
      <c r="BT223">
        <v>88.82</v>
      </c>
      <c r="BU223">
        <v>8</v>
      </c>
      <c r="BV223" t="s">
        <v>5159</v>
      </c>
      <c r="BW223" t="s">
        <v>5720</v>
      </c>
      <c r="BX223" t="s">
        <v>5721</v>
      </c>
      <c r="BY223" t="s">
        <v>5722</v>
      </c>
      <c r="BZ223" t="s">
        <v>5723</v>
      </c>
      <c r="CA223" t="s">
        <v>2452</v>
      </c>
      <c r="CC223" t="s">
        <v>2438</v>
      </c>
      <c r="CD223" t="s">
        <v>2744</v>
      </c>
      <c r="CE223" t="s">
        <v>2698</v>
      </c>
      <c r="CG223" t="s">
        <v>2881</v>
      </c>
      <c r="CH223" t="s">
        <v>2527</v>
      </c>
      <c r="CI223" t="s">
        <v>2882</v>
      </c>
      <c r="CK223" t="s">
        <v>2883</v>
      </c>
      <c r="CL223" t="s">
        <v>2884</v>
      </c>
      <c r="CM223" t="s">
        <v>3038</v>
      </c>
      <c r="CO223" t="s">
        <v>3039</v>
      </c>
      <c r="CP223" t="s">
        <v>2863</v>
      </c>
      <c r="CQ223" t="s">
        <v>2985</v>
      </c>
      <c r="CS223" t="s">
        <v>3041</v>
      </c>
      <c r="CT223" t="s">
        <v>3042</v>
      </c>
      <c r="CV223">
        <v>9</v>
      </c>
      <c r="CW223">
        <v>9</v>
      </c>
      <c r="CX223">
        <v>9</v>
      </c>
      <c r="CY223">
        <v>9</v>
      </c>
      <c r="CZ223">
        <v>9</v>
      </c>
      <c r="DA223">
        <v>0.1</v>
      </c>
      <c r="DB223">
        <v>0.1</v>
      </c>
      <c r="DC223">
        <v>0.2</v>
      </c>
      <c r="DD223">
        <v>0.3</v>
      </c>
      <c r="DE223">
        <v>0.3</v>
      </c>
      <c r="DF223">
        <v>0.9</v>
      </c>
      <c r="DG223">
        <v>0.9</v>
      </c>
      <c r="DH223">
        <v>1.8</v>
      </c>
      <c r="DI223">
        <v>2.7</v>
      </c>
      <c r="DJ223">
        <v>2.7</v>
      </c>
      <c r="DK223">
        <v>8</v>
      </c>
      <c r="DL223">
        <v>0</v>
      </c>
      <c r="DM223">
        <v>8</v>
      </c>
      <c r="DN223">
        <v>8.4</v>
      </c>
      <c r="DO223">
        <f>AVERAGE(CV223:CZ223)</f>
        <v>9</v>
      </c>
      <c r="DQ223">
        <v>15</v>
      </c>
      <c r="DR223" t="s">
        <v>28</v>
      </c>
      <c r="DS223" t="s">
        <v>416</v>
      </c>
      <c r="DT223" t="s">
        <v>417</v>
      </c>
      <c r="DU223" t="s">
        <v>418</v>
      </c>
      <c r="DV223" t="s">
        <v>419</v>
      </c>
      <c r="DW223" t="s">
        <v>3769</v>
      </c>
      <c r="DX223" t="s">
        <v>3770</v>
      </c>
      <c r="DY223" t="s">
        <v>3963</v>
      </c>
      <c r="DZ223" t="s">
        <v>3963</v>
      </c>
      <c r="EA223" t="s">
        <v>4666</v>
      </c>
      <c r="EB223" t="s">
        <v>4667</v>
      </c>
      <c r="EC223" t="s">
        <v>4668</v>
      </c>
      <c r="ED223" t="s">
        <v>4669</v>
      </c>
      <c r="EE223" t="s">
        <v>4670</v>
      </c>
      <c r="EF223" t="s">
        <v>4671</v>
      </c>
      <c r="EG223" t="s">
        <v>4672</v>
      </c>
      <c r="EH223" t="s">
        <v>4671</v>
      </c>
      <c r="EI223" t="s">
        <v>4673</v>
      </c>
      <c r="EJ223" t="s">
        <v>4673</v>
      </c>
      <c r="EK223" t="s">
        <v>4674</v>
      </c>
      <c r="EL223" t="s">
        <v>4674</v>
      </c>
      <c r="EM223" t="s">
        <v>4675</v>
      </c>
      <c r="EN223" t="s">
        <v>4676</v>
      </c>
      <c r="EO223" t="s">
        <v>4677</v>
      </c>
      <c r="EP223" t="s">
        <v>4677</v>
      </c>
      <c r="EQ223">
        <v>7</v>
      </c>
      <c r="ER223">
        <v>5</v>
      </c>
      <c r="ES223">
        <v>5</v>
      </c>
      <c r="ET223">
        <v>5</v>
      </c>
      <c r="EU223">
        <v>5</v>
      </c>
      <c r="EV223">
        <v>0.1</v>
      </c>
      <c r="EW223">
        <v>0.1</v>
      </c>
      <c r="EX223">
        <v>0.2</v>
      </c>
      <c r="EY223">
        <v>0.3</v>
      </c>
      <c r="EZ223">
        <v>0.3</v>
      </c>
      <c r="FA223">
        <f>EV223*EQ223</f>
        <v>0.70000000000000007</v>
      </c>
      <c r="FB223">
        <f>EW223*ER223</f>
        <v>0.5</v>
      </c>
      <c r="FC223">
        <f>EX223*ES223</f>
        <v>1</v>
      </c>
      <c r="FD223">
        <f>EY223*ET223</f>
        <v>1.5</v>
      </c>
      <c r="FE223">
        <f>EZ223*EU223</f>
        <v>1.5</v>
      </c>
      <c r="FF223">
        <v>15</v>
      </c>
      <c r="FG223">
        <v>0</v>
      </c>
      <c r="FH223">
        <v>15</v>
      </c>
      <c r="FI223">
        <f>FA223+FB223+FC223+FD223+FE223</f>
        <v>5.2</v>
      </c>
      <c r="FJ223">
        <f>MEDIAN(EQ223:EU223)</f>
        <v>5</v>
      </c>
      <c r="FL223">
        <v>79.069999999999993</v>
      </c>
      <c r="FM223">
        <v>7.7</v>
      </c>
      <c r="FN223" t="s">
        <v>1656</v>
      </c>
      <c r="FO223" t="s">
        <v>1657</v>
      </c>
      <c r="FP223" t="s">
        <v>1658</v>
      </c>
      <c r="FQ223" t="s">
        <v>1659</v>
      </c>
      <c r="FR223" t="s">
        <v>1660</v>
      </c>
      <c r="FS223">
        <v>7</v>
      </c>
      <c r="FT223">
        <v>8</v>
      </c>
      <c r="FU223">
        <v>9</v>
      </c>
      <c r="FV223">
        <v>8</v>
      </c>
      <c r="FW223">
        <v>6</v>
      </c>
      <c r="FX223">
        <v>0.1</v>
      </c>
      <c r="FY223">
        <v>0.1</v>
      </c>
      <c r="FZ223">
        <v>0.2</v>
      </c>
      <c r="GA223">
        <v>0.3</v>
      </c>
      <c r="GB223">
        <v>0.3</v>
      </c>
      <c r="GC223">
        <f>FS223*FX223</f>
        <v>0.70000000000000007</v>
      </c>
      <c r="GD223">
        <f>FT223*FY223</f>
        <v>0.8</v>
      </c>
      <c r="GE223">
        <f>FU223*FZ223</f>
        <v>1.8</v>
      </c>
      <c r="GF223">
        <f>FV223*GA223</f>
        <v>2.4</v>
      </c>
      <c r="GG223">
        <f>FW223*GB223</f>
        <v>1.7999999999999998</v>
      </c>
      <c r="GH223">
        <v>7.7</v>
      </c>
      <c r="GI223">
        <v>0</v>
      </c>
      <c r="GJ223">
        <v>7.7</v>
      </c>
      <c r="GK223">
        <f>GC223+GD223+GE223+GF223+GG223</f>
        <v>7.4999999999999991</v>
      </c>
      <c r="GL223">
        <f>MEDIAN(FS223:FW223)</f>
        <v>8</v>
      </c>
    </row>
    <row r="224" spans="1:194" hidden="1" x14ac:dyDescent="0.25">
      <c r="A224">
        <v>223</v>
      </c>
      <c r="B224" t="s">
        <v>2</v>
      </c>
      <c r="C224" s="4">
        <v>67.2</v>
      </c>
      <c r="D224">
        <v>3.2</v>
      </c>
      <c r="E224" s="1">
        <f>C224/3/D224</f>
        <v>7</v>
      </c>
      <c r="G224">
        <v>36.61</v>
      </c>
      <c r="H224">
        <v>8.1999999999999993</v>
      </c>
      <c r="I224">
        <f>H224*D224*3</f>
        <v>78.72</v>
      </c>
      <c r="J224">
        <v>17.62</v>
      </c>
      <c r="K224">
        <v>9</v>
      </c>
      <c r="L224" s="3">
        <f>K224*3*D224</f>
        <v>86.4</v>
      </c>
      <c r="M224">
        <v>6.83</v>
      </c>
      <c r="N224">
        <v>4</v>
      </c>
      <c r="O224">
        <f>N224*D224*3</f>
        <v>38.400000000000006</v>
      </c>
      <c r="P224" s="5">
        <v>8.6999999999999993</v>
      </c>
      <c r="Q224" s="5">
        <f>P224*D224*3</f>
        <v>83.52</v>
      </c>
      <c r="S224" t="s">
        <v>6254</v>
      </c>
      <c r="T224">
        <v>5.3</v>
      </c>
      <c r="U224" s="8">
        <f>T224*D224*3</f>
        <v>50.88</v>
      </c>
      <c r="V224">
        <v>47.23</v>
      </c>
      <c r="W224">
        <v>8.6999999999999993</v>
      </c>
      <c r="X224" s="5">
        <f>W224*D224*3</f>
        <v>83.52</v>
      </c>
      <c r="Y224">
        <v>10.75</v>
      </c>
      <c r="Z224">
        <v>7.8</v>
      </c>
      <c r="AA224">
        <f>Z224*D224*3</f>
        <v>74.88</v>
      </c>
      <c r="AC224">
        <v>49.42</v>
      </c>
      <c r="AD224">
        <v>8</v>
      </c>
      <c r="AE224" s="1">
        <f>AD224*3*D224</f>
        <v>76.800000000000011</v>
      </c>
      <c r="AF224">
        <v>12.18</v>
      </c>
      <c r="AG224" s="5">
        <v>7</v>
      </c>
      <c r="AH224" s="5">
        <f>AG224*D224*3</f>
        <v>67.2</v>
      </c>
      <c r="AI224" s="13"/>
      <c r="AJ224">
        <v>7</v>
      </c>
      <c r="AK224" s="8">
        <f>AJ224*D224*3</f>
        <v>67.2</v>
      </c>
      <c r="AL224" s="13"/>
      <c r="AM224">
        <v>30.57</v>
      </c>
      <c r="AN224">
        <v>7.9</v>
      </c>
      <c r="AO224" s="8">
        <f>AN224*D224*3</f>
        <v>75.84</v>
      </c>
      <c r="AP224">
        <v>14.94</v>
      </c>
      <c r="AQ224">
        <v>10</v>
      </c>
      <c r="AR224">
        <f>AQ224*D224*3</f>
        <v>96</v>
      </c>
      <c r="AT224">
        <v>9</v>
      </c>
      <c r="AU224">
        <f>AT224*D224*3</f>
        <v>86.4</v>
      </c>
      <c r="AW224">
        <v>23.47</v>
      </c>
      <c r="AX224">
        <v>9.4</v>
      </c>
      <c r="AY224">
        <f>AX224*D224*3</f>
        <v>90.240000000000009</v>
      </c>
      <c r="AZ224">
        <v>23.47</v>
      </c>
      <c r="BA224">
        <v>8.4</v>
      </c>
      <c r="BB224">
        <f>BA224*D224*3</f>
        <v>80.640000000000015</v>
      </c>
      <c r="BD224">
        <v>8.1</v>
      </c>
      <c r="BE224">
        <f>BD224*D224*3</f>
        <v>77.760000000000005</v>
      </c>
      <c r="BG224" s="10"/>
      <c r="BH224" s="1">
        <f>CHOOSE(MATCH(MIN(ABS(BP224-C224),ABS(BQ224-C224),ABS(BR224-C224)),CHOOSE({1;2;3},ABS(BP224-C224),ABS(BQ224-C224),ABS(BR224-C224)),0),BP224,BQ224,BR224)</f>
        <v>76.800000000000011</v>
      </c>
      <c r="BJ224" s="1" cm="1">
        <f t="array" ref="BJ224">(INDEX(_xlfn._xlws.SORT(CHOOSE({1;2;3;4;5;6},BQ224,BR224,L224,AE224,BO224,BP224)),3) + INDEX(_xlfn._xlws.SORT(CHOOSE({1;2;3;4;5;6},BQ224,BR224,L224,AE224,BO224,BP224)),4))/2</f>
        <v>76.800000000000011</v>
      </c>
      <c r="BK224">
        <v>7.11307181484477</v>
      </c>
      <c r="BL224" t="s">
        <v>6117</v>
      </c>
      <c r="BM224" s="1">
        <f>BK224*3*D224</f>
        <v>68.285489422509798</v>
      </c>
      <c r="BN224" s="1">
        <f>BM224-C224</f>
        <v>1.0854894225097951</v>
      </c>
      <c r="BO224" s="1">
        <f>GK224*3*D224</f>
        <v>46.08</v>
      </c>
      <c r="BP224" s="1">
        <f>DO224*3*D224</f>
        <v>86.4</v>
      </c>
      <c r="BQ224" s="1">
        <f>FJ224*3*D224</f>
        <v>76.800000000000011</v>
      </c>
      <c r="BR224" s="1">
        <f>GL224*3*D224</f>
        <v>52.800000000000004</v>
      </c>
      <c r="BT224">
        <v>36.61</v>
      </c>
      <c r="BU224">
        <v>8.1999999999999993</v>
      </c>
      <c r="BV224" t="s">
        <v>5114</v>
      </c>
      <c r="BW224" t="s">
        <v>5724</v>
      </c>
      <c r="BX224" t="s">
        <v>5725</v>
      </c>
      <c r="BY224" t="s">
        <v>5726</v>
      </c>
      <c r="BZ224" t="s">
        <v>5727</v>
      </c>
      <c r="CA224" t="s">
        <v>2437</v>
      </c>
      <c r="CC224" t="s">
        <v>2518</v>
      </c>
      <c r="CD224" t="s">
        <v>2508</v>
      </c>
      <c r="CE224" t="s">
        <v>2440</v>
      </c>
      <c r="CG224" t="s">
        <v>3362</v>
      </c>
      <c r="CH224" t="s">
        <v>2510</v>
      </c>
      <c r="CI224" t="s">
        <v>2443</v>
      </c>
      <c r="CK224" t="s">
        <v>3363</v>
      </c>
      <c r="CL224" t="s">
        <v>2512</v>
      </c>
      <c r="CM224" t="s">
        <v>2446</v>
      </c>
      <c r="CO224" t="s">
        <v>3364</v>
      </c>
      <c r="CP224" t="s">
        <v>2514</v>
      </c>
      <c r="CQ224" t="s">
        <v>2449</v>
      </c>
      <c r="CS224" t="s">
        <v>3365</v>
      </c>
      <c r="CT224" t="s">
        <v>2524</v>
      </c>
      <c r="CV224">
        <v>9</v>
      </c>
      <c r="CW224">
        <v>9</v>
      </c>
      <c r="CX224">
        <v>9</v>
      </c>
      <c r="CY224">
        <v>9</v>
      </c>
      <c r="CZ224">
        <v>9</v>
      </c>
      <c r="DA224">
        <v>0.1</v>
      </c>
      <c r="DB224">
        <v>0.1</v>
      </c>
      <c r="DC224">
        <v>0.2</v>
      </c>
      <c r="DD224">
        <v>0.3</v>
      </c>
      <c r="DE224">
        <v>0.3</v>
      </c>
      <c r="DF224">
        <v>0.9</v>
      </c>
      <c r="DG224">
        <v>0.9</v>
      </c>
      <c r="DH224">
        <v>1.8</v>
      </c>
      <c r="DI224">
        <v>2.7</v>
      </c>
      <c r="DJ224">
        <v>2.7</v>
      </c>
      <c r="DK224">
        <v>8.1999999999999993</v>
      </c>
      <c r="DL224">
        <v>0</v>
      </c>
      <c r="DM224">
        <v>8.1999999999999993</v>
      </c>
      <c r="DN224">
        <v>9</v>
      </c>
      <c r="DO224">
        <f>AVERAGE(CV224:CZ224)</f>
        <v>9</v>
      </c>
      <c r="DQ224">
        <v>8</v>
      </c>
      <c r="DR224" t="s">
        <v>408</v>
      </c>
      <c r="DS224" t="s">
        <v>409</v>
      </c>
      <c r="DT224" t="s">
        <v>35</v>
      </c>
      <c r="DU224" t="s">
        <v>36</v>
      </c>
      <c r="DV224" t="s">
        <v>420</v>
      </c>
      <c r="DW224" t="s">
        <v>3788</v>
      </c>
      <c r="DX224" t="s">
        <v>3789</v>
      </c>
      <c r="DY224" t="s">
        <v>3790</v>
      </c>
      <c r="DZ224" t="s">
        <v>3791</v>
      </c>
      <c r="EA224" t="s">
        <v>3792</v>
      </c>
      <c r="EB224" t="s">
        <v>3793</v>
      </c>
      <c r="EC224" t="s">
        <v>3794</v>
      </c>
      <c r="ED224" t="s">
        <v>3795</v>
      </c>
      <c r="EE224" t="s">
        <v>3796</v>
      </c>
      <c r="EF224" t="s">
        <v>3797</v>
      </c>
      <c r="EG224" t="s">
        <v>3798</v>
      </c>
      <c r="EH224" t="s">
        <v>3798</v>
      </c>
      <c r="EI224" t="s">
        <v>3799</v>
      </c>
      <c r="EJ224" t="s">
        <v>3800</v>
      </c>
      <c r="EK224" t="s">
        <v>3801</v>
      </c>
      <c r="EL224" t="s">
        <v>3801</v>
      </c>
      <c r="EM224" t="s">
        <v>4678</v>
      </c>
      <c r="EN224" t="s">
        <v>3803</v>
      </c>
      <c r="EO224" t="s">
        <v>4679</v>
      </c>
      <c r="EP224" t="s">
        <v>4680</v>
      </c>
      <c r="EQ224">
        <v>8</v>
      </c>
      <c r="ER224">
        <v>8</v>
      </c>
      <c r="ES224">
        <v>8</v>
      </c>
      <c r="ET224">
        <v>8</v>
      </c>
      <c r="EU224">
        <v>8</v>
      </c>
      <c r="EV224">
        <v>0.1</v>
      </c>
      <c r="EW224">
        <v>0.1</v>
      </c>
      <c r="EX224">
        <v>0.2</v>
      </c>
      <c r="EY224">
        <v>0.3</v>
      </c>
      <c r="EZ224">
        <v>0.3</v>
      </c>
      <c r="FA224">
        <f>EV224*EQ224</f>
        <v>0.8</v>
      </c>
      <c r="FB224">
        <f>EW224*ER224</f>
        <v>0.8</v>
      </c>
      <c r="FC224">
        <f>EX224*ES224</f>
        <v>1.6</v>
      </c>
      <c r="FD224">
        <f>EY224*ET224</f>
        <v>2.4</v>
      </c>
      <c r="FE224">
        <f>EZ224*EU224</f>
        <v>2.4</v>
      </c>
      <c r="FF224">
        <v>17</v>
      </c>
      <c r="FG224">
        <v>0</v>
      </c>
      <c r="FH224">
        <v>8</v>
      </c>
      <c r="FI224">
        <f>FA224+FB224+FC224+FD224+FE224</f>
        <v>8</v>
      </c>
      <c r="FJ224">
        <f>MEDIAN(EQ224:EU224)</f>
        <v>8</v>
      </c>
      <c r="FL224">
        <v>41.89</v>
      </c>
      <c r="FM224">
        <v>4.8</v>
      </c>
      <c r="FN224" t="s">
        <v>1661</v>
      </c>
      <c r="FO224" t="s">
        <v>1662</v>
      </c>
      <c r="FP224" t="s">
        <v>1663</v>
      </c>
      <c r="FQ224" t="s">
        <v>1664</v>
      </c>
      <c r="FR224" t="s">
        <v>1665</v>
      </c>
      <c r="FS224">
        <v>6</v>
      </c>
      <c r="FT224">
        <v>7.5</v>
      </c>
      <c r="FU224">
        <v>4.5</v>
      </c>
      <c r="FV224">
        <v>5.5</v>
      </c>
      <c r="FW224">
        <v>3</v>
      </c>
      <c r="FX224">
        <v>0.1</v>
      </c>
      <c r="FY224">
        <v>0.1</v>
      </c>
      <c r="FZ224">
        <v>0.2</v>
      </c>
      <c r="GA224">
        <v>0.3</v>
      </c>
      <c r="GB224">
        <v>0.3</v>
      </c>
      <c r="GC224">
        <f>FS224*FX224</f>
        <v>0.60000000000000009</v>
      </c>
      <c r="GD224">
        <f>FT224*FY224</f>
        <v>0.75</v>
      </c>
      <c r="GE224">
        <f>FU224*FZ224</f>
        <v>0.9</v>
      </c>
      <c r="GF224">
        <f>FV224*GA224</f>
        <v>1.65</v>
      </c>
      <c r="GG224">
        <f>FW224*GB224</f>
        <v>0.89999999999999991</v>
      </c>
      <c r="GH224">
        <v>4.8499999999999996</v>
      </c>
      <c r="GJ224">
        <v>4.8</v>
      </c>
      <c r="GK224">
        <f>GC224+GD224+GE224+GF224+GG224</f>
        <v>4.8</v>
      </c>
      <c r="GL224">
        <f>MEDIAN(FS224:FW224)</f>
        <v>5.5</v>
      </c>
    </row>
    <row r="225" spans="1:194" hidden="1" x14ac:dyDescent="0.25">
      <c r="A225">
        <v>224</v>
      </c>
      <c r="B225" t="s">
        <v>2</v>
      </c>
      <c r="C225" s="4">
        <v>86.95</v>
      </c>
      <c r="D225">
        <v>3.7</v>
      </c>
      <c r="E225" s="1">
        <f>C225/3/D225</f>
        <v>7.833333333333333</v>
      </c>
      <c r="G225">
        <v>116.05</v>
      </c>
      <c r="H225">
        <v>8.1999999999999993</v>
      </c>
      <c r="I225">
        <f>H225*D225*3</f>
        <v>91.02</v>
      </c>
      <c r="J225">
        <v>17.78</v>
      </c>
      <c r="K225">
        <v>9</v>
      </c>
      <c r="L225" s="3">
        <f>K225*3*D225</f>
        <v>99.9</v>
      </c>
      <c r="M225">
        <v>4.08</v>
      </c>
      <c r="N225">
        <v>8.9</v>
      </c>
      <c r="O225">
        <f>N225*D225*3</f>
        <v>98.789999999999992</v>
      </c>
      <c r="P225" s="5">
        <v>8.3000000000000007</v>
      </c>
      <c r="Q225" s="5">
        <f>P225*D225*3</f>
        <v>92.13000000000001</v>
      </c>
      <c r="S225" t="s">
        <v>6355</v>
      </c>
      <c r="T225">
        <v>5.6</v>
      </c>
      <c r="U225" s="8">
        <f>T225*D225*3</f>
        <v>62.16</v>
      </c>
      <c r="V225">
        <v>37.75</v>
      </c>
      <c r="W225">
        <v>8</v>
      </c>
      <c r="X225" s="5">
        <f>W225*D225*3</f>
        <v>88.800000000000011</v>
      </c>
      <c r="Y225">
        <v>9.09</v>
      </c>
      <c r="Z225">
        <v>8</v>
      </c>
      <c r="AA225">
        <f>Z225*D225*3</f>
        <v>88.800000000000011</v>
      </c>
      <c r="AC225">
        <v>49.32</v>
      </c>
      <c r="AD225">
        <v>7.9</v>
      </c>
      <c r="AE225" s="1">
        <f>AD225*3*D225</f>
        <v>87.690000000000012</v>
      </c>
      <c r="AF225">
        <v>12.12</v>
      </c>
      <c r="AG225" s="5">
        <v>7</v>
      </c>
      <c r="AH225" s="5">
        <f>AG225*D225*3</f>
        <v>77.7</v>
      </c>
      <c r="AI225" s="13"/>
      <c r="AJ225">
        <v>28</v>
      </c>
      <c r="AK225" s="8">
        <f>AJ225*D225*3</f>
        <v>310.8</v>
      </c>
      <c r="AL225" s="13"/>
      <c r="AM225">
        <v>31.07</v>
      </c>
      <c r="AN225">
        <v>7</v>
      </c>
      <c r="AO225" s="8">
        <f>AN225*D225*3</f>
        <v>77.7</v>
      </c>
      <c r="AP225">
        <v>13.25</v>
      </c>
      <c r="AQ225">
        <v>10</v>
      </c>
      <c r="AR225">
        <f>AQ225*D225*3</f>
        <v>111</v>
      </c>
      <c r="AT225">
        <v>9</v>
      </c>
      <c r="AU225">
        <f>AT225*D225*3</f>
        <v>99.9</v>
      </c>
      <c r="AW225">
        <v>24.97</v>
      </c>
      <c r="AX225">
        <v>9.9</v>
      </c>
      <c r="AY225">
        <f>AX225*D225*3</f>
        <v>109.89000000000001</v>
      </c>
      <c r="AZ225">
        <v>24.97</v>
      </c>
      <c r="BA225">
        <v>9.4</v>
      </c>
      <c r="BB225">
        <f>BA225*D225*3</f>
        <v>104.34</v>
      </c>
      <c r="BD225">
        <v>9</v>
      </c>
      <c r="BE225">
        <f>BD225*D225*3</f>
        <v>99.9</v>
      </c>
      <c r="BG225" s="10"/>
      <c r="BH225" s="1">
        <f>CHOOSE(MATCH(MIN(ABS(BP225-C225),ABS(BQ225-C225),ABS(BR225-C225)),CHOOSE({1;2;3},ABS(BP225-C225),ABS(BQ225-C225),ABS(BR225-C225)),0),BP225,BQ225,BR225)</f>
        <v>88.800000000000011</v>
      </c>
      <c r="BJ225" s="1" cm="1">
        <f t="array" ref="BJ225">(INDEX(_xlfn._xlws.SORT(CHOOSE({1;2;3;4;5;6},BQ225,BR225,L225,AE225,BO225,BP225)),3) + INDEX(_xlfn._xlws.SORT(CHOOSE({1;2;3;4;5;6},BQ225,BR225,L225,AE225,BO225,BP225)),4))/2</f>
        <v>98.79</v>
      </c>
      <c r="BK225">
        <v>7.8520206963873402</v>
      </c>
      <c r="BL225" t="s">
        <v>6117</v>
      </c>
      <c r="BM225" s="1">
        <f>BK225*3*D225</f>
        <v>87.157429729899476</v>
      </c>
      <c r="BN225" s="1">
        <f>BM225-C225</f>
        <v>0.20742972989947361</v>
      </c>
      <c r="BO225" s="1">
        <f>GK225*3*D225</f>
        <v>97.68</v>
      </c>
      <c r="BP225" s="1">
        <f>DO225*3*D225</f>
        <v>99.9</v>
      </c>
      <c r="BQ225" s="1">
        <f>FJ225*3*D225</f>
        <v>88.800000000000011</v>
      </c>
      <c r="BR225" s="1">
        <f>GL225*3*D225</f>
        <v>111</v>
      </c>
      <c r="BT225">
        <v>116.05</v>
      </c>
      <c r="BU225">
        <v>8.1999999999999993</v>
      </c>
      <c r="BV225" t="s">
        <v>5602</v>
      </c>
      <c r="BW225" t="s">
        <v>5214</v>
      </c>
      <c r="BX225" t="s">
        <v>5728</v>
      </c>
      <c r="BY225" t="s">
        <v>5216</v>
      </c>
      <c r="BZ225" t="s">
        <v>5729</v>
      </c>
      <c r="CA225" t="s">
        <v>2437</v>
      </c>
      <c r="CC225" t="s">
        <v>2518</v>
      </c>
      <c r="CD225" t="s">
        <v>2508</v>
      </c>
      <c r="CE225" t="s">
        <v>2440</v>
      </c>
      <c r="CG225" t="s">
        <v>2509</v>
      </c>
      <c r="CH225" t="s">
        <v>2510</v>
      </c>
      <c r="CI225" t="s">
        <v>2443</v>
      </c>
      <c r="CK225" t="s">
        <v>2511</v>
      </c>
      <c r="CL225" t="s">
        <v>2512</v>
      </c>
      <c r="CM225" t="s">
        <v>2446</v>
      </c>
      <c r="CO225" t="s">
        <v>2513</v>
      </c>
      <c r="CP225" t="s">
        <v>2514</v>
      </c>
      <c r="CQ225" t="s">
        <v>2449</v>
      </c>
      <c r="CS225" t="s">
        <v>2523</v>
      </c>
      <c r="CT225" t="s">
        <v>2524</v>
      </c>
      <c r="CV225">
        <v>9</v>
      </c>
      <c r="CW225">
        <v>9</v>
      </c>
      <c r="CX225">
        <v>9</v>
      </c>
      <c r="CY225">
        <v>9</v>
      </c>
      <c r="CZ225">
        <v>9</v>
      </c>
      <c r="DA225">
        <v>0.1</v>
      </c>
      <c r="DB225">
        <v>0.1</v>
      </c>
      <c r="DC225">
        <v>0.2</v>
      </c>
      <c r="DD225">
        <v>0.3</v>
      </c>
      <c r="DE225">
        <v>0.3</v>
      </c>
      <c r="DF225">
        <v>0.9</v>
      </c>
      <c r="DG225">
        <v>0.9</v>
      </c>
      <c r="DH225">
        <v>1.8</v>
      </c>
      <c r="DI225">
        <v>2.7</v>
      </c>
      <c r="DJ225">
        <v>2.7</v>
      </c>
      <c r="DK225">
        <v>8.1999999999999993</v>
      </c>
      <c r="DL225">
        <v>0</v>
      </c>
      <c r="DM225">
        <v>8.1999999999999993</v>
      </c>
      <c r="DN225">
        <v>9</v>
      </c>
      <c r="DO225">
        <f>AVERAGE(CV225:CZ225)</f>
        <v>9</v>
      </c>
      <c r="DQ225">
        <v>8</v>
      </c>
      <c r="DR225" t="s">
        <v>28</v>
      </c>
      <c r="DS225" t="s">
        <v>43</v>
      </c>
      <c r="DT225" t="s">
        <v>227</v>
      </c>
      <c r="DU225" t="s">
        <v>228</v>
      </c>
      <c r="DV225" t="s">
        <v>229</v>
      </c>
      <c r="DW225" t="s">
        <v>3805</v>
      </c>
      <c r="DX225" t="s">
        <v>3770</v>
      </c>
      <c r="DY225" t="s">
        <v>3771</v>
      </c>
      <c r="DZ225" t="s">
        <v>3772</v>
      </c>
      <c r="EA225" t="s">
        <v>3806</v>
      </c>
      <c r="EB225" t="s">
        <v>3807</v>
      </c>
      <c r="EC225" t="s">
        <v>3775</v>
      </c>
      <c r="ED225" t="s">
        <v>3776</v>
      </c>
      <c r="EE225" t="s">
        <v>4240</v>
      </c>
      <c r="EF225" t="s">
        <v>3809</v>
      </c>
      <c r="EG225" t="s">
        <v>3810</v>
      </c>
      <c r="EH225" t="s">
        <v>3811</v>
      </c>
      <c r="EI225" t="s">
        <v>4468</v>
      </c>
      <c r="EJ225" t="s">
        <v>3813</v>
      </c>
      <c r="EK225" t="s">
        <v>4469</v>
      </c>
      <c r="EL225" t="s">
        <v>3815</v>
      </c>
      <c r="EM225" t="s">
        <v>4470</v>
      </c>
      <c r="EN225" t="s">
        <v>3809</v>
      </c>
      <c r="EO225" t="s">
        <v>4589</v>
      </c>
      <c r="EP225" t="s">
        <v>3818</v>
      </c>
      <c r="EQ225">
        <v>7</v>
      </c>
      <c r="ER225">
        <v>8</v>
      </c>
      <c r="ES225">
        <v>8</v>
      </c>
      <c r="ET225">
        <v>8</v>
      </c>
      <c r="EU225">
        <v>8</v>
      </c>
      <c r="EV225">
        <v>0.1</v>
      </c>
      <c r="EW225">
        <v>0.1</v>
      </c>
      <c r="EX225">
        <v>0.2</v>
      </c>
      <c r="EY225">
        <v>0.3</v>
      </c>
      <c r="EZ225">
        <v>0.3</v>
      </c>
      <c r="FA225">
        <f>EV225*EQ225</f>
        <v>0.70000000000000007</v>
      </c>
      <c r="FB225">
        <f>EW225*ER225</f>
        <v>0.8</v>
      </c>
      <c r="FC225">
        <f>EX225*ES225</f>
        <v>1.6</v>
      </c>
      <c r="FD225">
        <f>EY225*ET225</f>
        <v>2.4</v>
      </c>
      <c r="FE225">
        <f>EZ225*EU225</f>
        <v>2.4</v>
      </c>
      <c r="FF225">
        <v>15</v>
      </c>
      <c r="FG225">
        <v>0</v>
      </c>
      <c r="FH225">
        <v>15</v>
      </c>
      <c r="FI225">
        <f>FA225+FB225+FC225+FD225+FE225</f>
        <v>7.9</v>
      </c>
      <c r="FJ225">
        <f>MEDIAN(EQ225:EU225)</f>
        <v>8</v>
      </c>
      <c r="FL225">
        <v>88.09</v>
      </c>
      <c r="FM225">
        <v>10</v>
      </c>
      <c r="FN225" t="s">
        <v>1666</v>
      </c>
      <c r="FO225" t="s">
        <v>1667</v>
      </c>
      <c r="FP225" t="s">
        <v>1668</v>
      </c>
      <c r="FQ225" t="s">
        <v>1669</v>
      </c>
      <c r="FR225" t="s">
        <v>1670</v>
      </c>
      <c r="FS225">
        <v>10</v>
      </c>
      <c r="FT225">
        <v>10</v>
      </c>
      <c r="FU225">
        <v>10</v>
      </c>
      <c r="FV225">
        <v>8.5</v>
      </c>
      <c r="FW225">
        <v>7.5</v>
      </c>
      <c r="FX225">
        <v>0.1</v>
      </c>
      <c r="FY225">
        <v>0.1</v>
      </c>
      <c r="FZ225">
        <v>0.2</v>
      </c>
      <c r="GA225">
        <v>0.3</v>
      </c>
      <c r="GB225">
        <v>0.3</v>
      </c>
      <c r="GC225">
        <f>FS225*FX225</f>
        <v>1</v>
      </c>
      <c r="GD225">
        <f>FT225*FY225</f>
        <v>1</v>
      </c>
      <c r="GE225">
        <f>FU225*FZ225</f>
        <v>2</v>
      </c>
      <c r="GF225">
        <f>FV225*GA225</f>
        <v>2.5499999999999998</v>
      </c>
      <c r="GG225">
        <f>FW225*GB225</f>
        <v>2.25</v>
      </c>
      <c r="GH225">
        <v>9.85</v>
      </c>
      <c r="GI225">
        <v>0.15</v>
      </c>
      <c r="GJ225">
        <v>10</v>
      </c>
      <c r="GK225">
        <f>GC225+GD225+GE225+GF225+GG225</f>
        <v>8.8000000000000007</v>
      </c>
      <c r="GL225">
        <f>MEDIAN(FS225:FW225)</f>
        <v>10</v>
      </c>
    </row>
    <row r="226" spans="1:194" hidden="1" x14ac:dyDescent="0.25">
      <c r="A226">
        <v>225</v>
      </c>
      <c r="B226" t="s">
        <v>2</v>
      </c>
      <c r="C226" s="4">
        <v>81.7</v>
      </c>
      <c r="D226">
        <v>3.8</v>
      </c>
      <c r="E226" s="1">
        <f>C226/3/D226</f>
        <v>7.166666666666667</v>
      </c>
      <c r="G226">
        <v>37.17</v>
      </c>
      <c r="H226">
        <v>8.6999999999999993</v>
      </c>
      <c r="I226">
        <f>H226*D226*3</f>
        <v>99.179999999999978</v>
      </c>
      <c r="J226">
        <v>17.489999999999998</v>
      </c>
      <c r="K226">
        <v>9</v>
      </c>
      <c r="L226" s="3">
        <f>K226*3*D226</f>
        <v>102.6</v>
      </c>
      <c r="M226">
        <v>3.84</v>
      </c>
      <c r="N226">
        <v>8</v>
      </c>
      <c r="O226">
        <f>N226*D226*3</f>
        <v>91.199999999999989</v>
      </c>
      <c r="P226" s="5">
        <v>6.5</v>
      </c>
      <c r="Q226" s="5">
        <f>P226*D226*3</f>
        <v>74.099999999999994</v>
      </c>
      <c r="S226" t="s">
        <v>6356</v>
      </c>
      <c r="T226">
        <v>6.6</v>
      </c>
      <c r="U226" s="8">
        <f>T226*D226*3</f>
        <v>75.239999999999995</v>
      </c>
      <c r="V226">
        <v>35.04</v>
      </c>
      <c r="W226">
        <v>8.4</v>
      </c>
      <c r="X226" s="5">
        <f>W226*D226*3</f>
        <v>95.759999999999991</v>
      </c>
      <c r="Y226">
        <v>11.27</v>
      </c>
      <c r="Z226">
        <v>7.5</v>
      </c>
      <c r="AA226">
        <f>Z226*D226*3</f>
        <v>85.5</v>
      </c>
      <c r="AC226">
        <v>46.08</v>
      </c>
      <c r="AD226">
        <v>8</v>
      </c>
      <c r="AE226" s="1">
        <f>AD226*3*D226</f>
        <v>91.199999999999989</v>
      </c>
      <c r="AF226">
        <v>12.53</v>
      </c>
      <c r="AG226" s="5">
        <v>7</v>
      </c>
      <c r="AH226" s="5">
        <f>AG226*D226*3</f>
        <v>79.8</v>
      </c>
      <c r="AI226" s="13"/>
      <c r="AJ226">
        <v>25.5</v>
      </c>
      <c r="AK226" s="8">
        <f>AJ226*D226*3</f>
        <v>290.7</v>
      </c>
      <c r="AL226" s="13"/>
      <c r="AM226">
        <v>32.770000000000003</v>
      </c>
      <c r="AN226">
        <v>7.3</v>
      </c>
      <c r="AO226" s="8">
        <f>AN226*D226*3</f>
        <v>83.22</v>
      </c>
      <c r="AP226">
        <v>12.8</v>
      </c>
      <c r="AQ226">
        <v>9.5</v>
      </c>
      <c r="AR226">
        <f>AQ226*D226*3</f>
        <v>108.30000000000001</v>
      </c>
      <c r="AT226">
        <v>8.6</v>
      </c>
      <c r="AU226">
        <f>AT226*D226*3</f>
        <v>98.039999999999992</v>
      </c>
      <c r="AW226">
        <v>24</v>
      </c>
      <c r="AX226">
        <v>9.1999999999999993</v>
      </c>
      <c r="AY226">
        <f>AX226*D226*3</f>
        <v>104.87999999999998</v>
      </c>
      <c r="AZ226">
        <v>24</v>
      </c>
      <c r="BA226">
        <v>8.4</v>
      </c>
      <c r="BB226">
        <f>BA226*D226*3</f>
        <v>95.759999999999991</v>
      </c>
      <c r="BD226">
        <v>8.9</v>
      </c>
      <c r="BE226">
        <f>BD226*D226*3</f>
        <v>101.46000000000001</v>
      </c>
      <c r="BG226" s="10"/>
      <c r="BH226" s="1">
        <f>CHOOSE(MATCH(MIN(ABS(BP226-C226),ABS(BQ226-C226),ABS(BR226-C226)),CHOOSE({1;2;3},ABS(BP226-C226),ABS(BQ226-C226),ABS(BR226-C226)),0),BP226,BQ226,BR226)</f>
        <v>91.199999999999989</v>
      </c>
      <c r="BJ226" s="1" cm="1">
        <f t="array" ref="BJ226">(INDEX(_xlfn._xlws.SORT(CHOOSE({1;2;3;4;5;6},BQ226,BR226,L226,AE226,BO226,BP226)),3) + INDEX(_xlfn._xlws.SORT(CHOOSE({1;2;3;4;5;6},BQ226,BR226,L226,AE226,BO226,BP226)),4))/2</f>
        <v>91.199999999999989</v>
      </c>
      <c r="BK226">
        <v>7.2134726662802402</v>
      </c>
      <c r="BL226" t="s">
        <v>6117</v>
      </c>
      <c r="BM226" s="1">
        <f>BK226*3*D226</f>
        <v>82.233588395594737</v>
      </c>
      <c r="BN226" s="1">
        <f>BM226-C226</f>
        <v>0.53358839559473381</v>
      </c>
      <c r="BO226" s="1">
        <f>GK226*3*D226</f>
        <v>62.70000000000001</v>
      </c>
      <c r="BP226" s="1">
        <f>DO226*3*D226</f>
        <v>100.32000000000001</v>
      </c>
      <c r="BQ226" s="1">
        <f>FJ226*3*D226</f>
        <v>91.199999999999989</v>
      </c>
      <c r="BR226" s="1">
        <f>GL226*3*D226</f>
        <v>68.399999999999991</v>
      </c>
      <c r="BT226">
        <v>37.17</v>
      </c>
      <c r="BU226">
        <v>8.6999999999999993</v>
      </c>
      <c r="BV226" t="s">
        <v>5730</v>
      </c>
      <c r="BW226" t="s">
        <v>5731</v>
      </c>
      <c r="BX226" t="s">
        <v>5732</v>
      </c>
      <c r="BY226" t="s">
        <v>5733</v>
      </c>
      <c r="BZ226" t="s">
        <v>5734</v>
      </c>
      <c r="CA226" t="s">
        <v>2506</v>
      </c>
      <c r="CC226" t="s">
        <v>2507</v>
      </c>
      <c r="CD226" t="s">
        <v>2508</v>
      </c>
      <c r="CE226" t="s">
        <v>2440</v>
      </c>
      <c r="CG226" t="s">
        <v>2509</v>
      </c>
      <c r="CH226" t="s">
        <v>2510</v>
      </c>
      <c r="CI226" t="s">
        <v>2443</v>
      </c>
      <c r="CK226" t="s">
        <v>2511</v>
      </c>
      <c r="CL226" t="s">
        <v>2512</v>
      </c>
      <c r="CM226" t="s">
        <v>2446</v>
      </c>
      <c r="CO226" t="s">
        <v>2513</v>
      </c>
      <c r="CP226" t="s">
        <v>2514</v>
      </c>
      <c r="CQ226" t="s">
        <v>2666</v>
      </c>
      <c r="CR226" t="s">
        <v>2515</v>
      </c>
      <c r="CS226" t="s">
        <v>3366</v>
      </c>
      <c r="CT226" t="s">
        <v>3367</v>
      </c>
      <c r="CV226">
        <v>9</v>
      </c>
      <c r="CW226">
        <v>9</v>
      </c>
      <c r="CX226">
        <v>9</v>
      </c>
      <c r="CY226">
        <v>9</v>
      </c>
      <c r="CZ226">
        <v>8</v>
      </c>
      <c r="DA226">
        <v>0.1</v>
      </c>
      <c r="DB226">
        <v>0.1</v>
      </c>
      <c r="DC226">
        <v>0.2</v>
      </c>
      <c r="DD226">
        <v>0.3</v>
      </c>
      <c r="DE226">
        <v>0.3</v>
      </c>
      <c r="DF226">
        <v>0.9</v>
      </c>
      <c r="DG226">
        <v>0.9</v>
      </c>
      <c r="DH226">
        <v>1.8</v>
      </c>
      <c r="DI226">
        <v>2.7</v>
      </c>
      <c r="DJ226">
        <v>2.4</v>
      </c>
      <c r="DK226">
        <v>8.6999999999999993</v>
      </c>
      <c r="DL226">
        <v>0</v>
      </c>
      <c r="DM226">
        <v>8.6999999999999993</v>
      </c>
      <c r="DN226">
        <v>9</v>
      </c>
      <c r="DO226">
        <f>AVERAGE(CV226:CZ226)</f>
        <v>8.8000000000000007</v>
      </c>
      <c r="DQ226">
        <v>8</v>
      </c>
      <c r="DR226" t="s">
        <v>33</v>
      </c>
      <c r="DS226" t="s">
        <v>82</v>
      </c>
      <c r="DT226" t="s">
        <v>83</v>
      </c>
      <c r="DU226" t="s">
        <v>84</v>
      </c>
      <c r="DV226" t="s">
        <v>85</v>
      </c>
      <c r="DW226" t="s">
        <v>3788</v>
      </c>
      <c r="DX226" t="s">
        <v>3789</v>
      </c>
      <c r="DY226" t="s">
        <v>3790</v>
      </c>
      <c r="DZ226" t="s">
        <v>3933</v>
      </c>
      <c r="EA226" t="s">
        <v>3934</v>
      </c>
      <c r="EB226" t="s">
        <v>3793</v>
      </c>
      <c r="EC226" t="s">
        <v>3935</v>
      </c>
      <c r="ED226" t="s">
        <v>3936</v>
      </c>
      <c r="EE226" t="s">
        <v>3937</v>
      </c>
      <c r="EF226" t="s">
        <v>3797</v>
      </c>
      <c r="EG226" t="s">
        <v>3938</v>
      </c>
      <c r="EH226" t="s">
        <v>3939</v>
      </c>
      <c r="EI226" t="s">
        <v>4068</v>
      </c>
      <c r="EJ226" t="s">
        <v>3800</v>
      </c>
      <c r="EK226" t="s">
        <v>3941</v>
      </c>
      <c r="EL226" t="s">
        <v>4681</v>
      </c>
      <c r="EM226" t="s">
        <v>3943</v>
      </c>
      <c r="EN226" t="s">
        <v>3803</v>
      </c>
      <c r="EO226" t="s">
        <v>3944</v>
      </c>
      <c r="EP226" t="s">
        <v>3945</v>
      </c>
      <c r="EQ226">
        <v>8</v>
      </c>
      <c r="ER226">
        <v>8</v>
      </c>
      <c r="ES226">
        <v>8</v>
      </c>
      <c r="ET226">
        <v>8</v>
      </c>
      <c r="EU226">
        <v>8</v>
      </c>
      <c r="EV226">
        <v>0.1</v>
      </c>
      <c r="EW226">
        <v>0.1</v>
      </c>
      <c r="EX226">
        <v>0.2</v>
      </c>
      <c r="EY226">
        <v>0.3</v>
      </c>
      <c r="EZ226">
        <v>0.3</v>
      </c>
      <c r="FA226">
        <f>EV226*EQ226</f>
        <v>0.8</v>
      </c>
      <c r="FB226">
        <f>EW226*ER226</f>
        <v>0.8</v>
      </c>
      <c r="FC226">
        <f>EX226*ES226</f>
        <v>1.6</v>
      </c>
      <c r="FD226">
        <f>EY226*ET226</f>
        <v>2.4</v>
      </c>
      <c r="FE226">
        <f>EZ226*EU226</f>
        <v>2.4</v>
      </c>
      <c r="FF226">
        <v>16</v>
      </c>
      <c r="FG226">
        <v>0</v>
      </c>
      <c r="FH226">
        <v>8</v>
      </c>
      <c r="FI226">
        <f>FA226+FB226+FC226+FD226+FE226</f>
        <v>8</v>
      </c>
      <c r="FJ226">
        <f>MEDIAN(EQ226:EU226)</f>
        <v>8</v>
      </c>
      <c r="FL226">
        <v>38.19</v>
      </c>
      <c r="FM226">
        <v>4</v>
      </c>
      <c r="FN226" t="s">
        <v>607</v>
      </c>
      <c r="FO226" t="s">
        <v>1671</v>
      </c>
      <c r="FP226" t="s">
        <v>1672</v>
      </c>
      <c r="FQ226" t="s">
        <v>1673</v>
      </c>
      <c r="FR226" t="s">
        <v>1674</v>
      </c>
      <c r="FS226">
        <v>8</v>
      </c>
      <c r="FT226">
        <v>6</v>
      </c>
      <c r="FU226">
        <v>7</v>
      </c>
      <c r="FV226">
        <v>5</v>
      </c>
      <c r="FW226">
        <v>4</v>
      </c>
      <c r="FX226">
        <v>0.1</v>
      </c>
      <c r="FY226">
        <v>0.1</v>
      </c>
      <c r="FZ226">
        <v>0.2</v>
      </c>
      <c r="GA226">
        <v>0.3</v>
      </c>
      <c r="GB226">
        <v>0.3</v>
      </c>
      <c r="GC226">
        <f>FS226*FX226</f>
        <v>0.8</v>
      </c>
      <c r="GD226">
        <f>FT226*FY226</f>
        <v>0.60000000000000009</v>
      </c>
      <c r="GE226">
        <f>FU226*FZ226</f>
        <v>1.4000000000000001</v>
      </c>
      <c r="GF226">
        <f>FV226*GA226</f>
        <v>1.5</v>
      </c>
      <c r="GG226">
        <f>FW226*GB226</f>
        <v>1.2</v>
      </c>
      <c r="GH226">
        <v>5.0999999999999996</v>
      </c>
      <c r="GI226">
        <v>-0.1</v>
      </c>
      <c r="GJ226">
        <v>4</v>
      </c>
      <c r="GK226">
        <f>GC226+GD226+GE226+GF226+GG226</f>
        <v>5.5000000000000009</v>
      </c>
      <c r="GL226">
        <f>MEDIAN(FS226:FW226)</f>
        <v>6</v>
      </c>
    </row>
    <row r="227" spans="1:194" hidden="1" x14ac:dyDescent="0.25">
      <c r="A227">
        <v>226</v>
      </c>
      <c r="B227" t="s">
        <v>2</v>
      </c>
      <c r="C227" s="4">
        <v>79.2</v>
      </c>
      <c r="D227">
        <v>3.6</v>
      </c>
      <c r="E227" s="1">
        <f>C227/3/D227</f>
        <v>7.3333333333333339</v>
      </c>
      <c r="G227">
        <v>40.22</v>
      </c>
      <c r="H227">
        <v>8.6999999999999993</v>
      </c>
      <c r="I227">
        <f>H227*D227*3</f>
        <v>93.96</v>
      </c>
      <c r="J227">
        <v>16.670000000000002</v>
      </c>
      <c r="K227">
        <v>9</v>
      </c>
      <c r="L227" s="3">
        <f>K227*3*D227</f>
        <v>97.2</v>
      </c>
      <c r="M227">
        <v>5.12</v>
      </c>
      <c r="N227">
        <v>5</v>
      </c>
      <c r="O227">
        <f>N227*D227*3</f>
        <v>54</v>
      </c>
      <c r="P227" s="5">
        <v>7.9</v>
      </c>
      <c r="Q227" s="5">
        <f>P227*D227*3</f>
        <v>85.320000000000007</v>
      </c>
      <c r="S227" t="s">
        <v>6357</v>
      </c>
      <c r="T227">
        <v>4.9000000000000004</v>
      </c>
      <c r="U227" s="8">
        <f>T227*D227*3</f>
        <v>52.92</v>
      </c>
      <c r="V227">
        <v>35.5</v>
      </c>
      <c r="W227">
        <v>8.4</v>
      </c>
      <c r="X227" s="5">
        <f>W227*D227*3</f>
        <v>90.72</v>
      </c>
      <c r="Y227">
        <v>11.27</v>
      </c>
      <c r="Z227">
        <v>7.8</v>
      </c>
      <c r="AA227">
        <f>Z227*D227*3</f>
        <v>84.24</v>
      </c>
      <c r="AC227">
        <v>47.05</v>
      </c>
      <c r="AD227">
        <v>7.9</v>
      </c>
      <c r="AE227" s="1">
        <f>AD227*3*D227</f>
        <v>85.320000000000007</v>
      </c>
      <c r="AF227">
        <v>11.83</v>
      </c>
      <c r="AG227" s="5">
        <v>7</v>
      </c>
      <c r="AH227" s="5">
        <f>AG227*D227*3</f>
        <v>75.599999999999994</v>
      </c>
      <c r="AI227" s="13"/>
      <c r="AJ227">
        <v>8.1999999999999993</v>
      </c>
      <c r="AK227" s="8">
        <f>AJ227*D227*3</f>
        <v>88.56</v>
      </c>
      <c r="AL227" s="13"/>
      <c r="AM227">
        <v>30.65</v>
      </c>
      <c r="AN227">
        <v>7.2</v>
      </c>
      <c r="AO227" s="8">
        <f>AN227*D227*3</f>
        <v>77.760000000000005</v>
      </c>
      <c r="AP227">
        <v>12.84</v>
      </c>
      <c r="AQ227">
        <v>10</v>
      </c>
      <c r="AR227">
        <f>AQ227*D227*3</f>
        <v>108</v>
      </c>
      <c r="AT227">
        <v>9</v>
      </c>
      <c r="AU227">
        <f>AT227*D227*3</f>
        <v>97.199999999999989</v>
      </c>
      <c r="AW227">
        <v>25.09</v>
      </c>
      <c r="AX227">
        <v>8.6</v>
      </c>
      <c r="AY227">
        <f>AX227*D227*3</f>
        <v>92.88</v>
      </c>
      <c r="AZ227">
        <v>25.09</v>
      </c>
      <c r="BA227">
        <v>8.4</v>
      </c>
      <c r="BB227">
        <f>BA227*D227*3</f>
        <v>90.72</v>
      </c>
      <c r="BD227">
        <v>8.9</v>
      </c>
      <c r="BE227">
        <f>BD227*D227*3</f>
        <v>96.12</v>
      </c>
      <c r="BG227" s="10"/>
      <c r="BH227" s="1">
        <f>CHOOSE(MATCH(MIN(ABS(BP227-C227),ABS(BQ227-C227),ABS(BR227-C227)),CHOOSE({1;2;3},ABS(BP227-C227),ABS(BQ227-C227),ABS(BR227-C227)),0),BP227,BQ227,BR227)</f>
        <v>86.4</v>
      </c>
      <c r="BJ227" s="1" cm="1">
        <f t="array" ref="BJ227">(INDEX(_xlfn._xlws.SORT(CHOOSE({1;2;3;4;5;6},BQ227,BR227,L227,AE227,BO227,BP227)),3) + INDEX(_xlfn._xlws.SORT(CHOOSE({1;2;3;4;5;6},BQ227,BR227,L227,AE227,BO227,BP227)),4))/2</f>
        <v>94.230000000000018</v>
      </c>
      <c r="BK227">
        <v>7.3388896672140902</v>
      </c>
      <c r="BL227" t="s">
        <v>6117</v>
      </c>
      <c r="BM227" s="1">
        <f>BK227*3*D227</f>
        <v>79.260008405912174</v>
      </c>
      <c r="BN227" s="1">
        <f>BM227-C227</f>
        <v>6.000840591217127E-2</v>
      </c>
      <c r="BO227" s="1">
        <f>GK227*3*D227</f>
        <v>93.420000000000016</v>
      </c>
      <c r="BP227" s="1">
        <f>DO227*3*D227</f>
        <v>95.04</v>
      </c>
      <c r="BQ227" s="1">
        <f>FJ227*3*D227</f>
        <v>86.4</v>
      </c>
      <c r="BR227" s="1">
        <f>GL227*3*D227</f>
        <v>108</v>
      </c>
      <c r="BT227">
        <v>40.22</v>
      </c>
      <c r="BU227">
        <v>8.6999999999999993</v>
      </c>
      <c r="BV227" t="s">
        <v>5032</v>
      </c>
      <c r="BW227" t="s">
        <v>5218</v>
      </c>
      <c r="BX227" t="s">
        <v>5219</v>
      </c>
      <c r="BY227" t="s">
        <v>5735</v>
      </c>
      <c r="BZ227" t="s">
        <v>5736</v>
      </c>
      <c r="CA227" t="s">
        <v>2437</v>
      </c>
      <c r="CC227" t="s">
        <v>2438</v>
      </c>
      <c r="CD227" t="s">
        <v>2439</v>
      </c>
      <c r="CE227" t="s">
        <v>2440</v>
      </c>
      <c r="CG227" t="s">
        <v>2647</v>
      </c>
      <c r="CH227" t="s">
        <v>2648</v>
      </c>
      <c r="CI227" t="s">
        <v>2535</v>
      </c>
      <c r="CK227" t="s">
        <v>2649</v>
      </c>
      <c r="CL227" t="s">
        <v>2650</v>
      </c>
      <c r="CM227" t="s">
        <v>2446</v>
      </c>
      <c r="CO227" t="s">
        <v>2651</v>
      </c>
      <c r="CP227" t="s">
        <v>2652</v>
      </c>
      <c r="CQ227" t="s">
        <v>3368</v>
      </c>
      <c r="CR227" t="s">
        <v>2434</v>
      </c>
      <c r="CS227" t="s">
        <v>3369</v>
      </c>
      <c r="CT227" t="s">
        <v>3370</v>
      </c>
      <c r="CV227">
        <v>9</v>
      </c>
      <c r="CW227">
        <v>9</v>
      </c>
      <c r="CX227">
        <v>9</v>
      </c>
      <c r="CY227">
        <v>9</v>
      </c>
      <c r="CZ227">
        <v>8</v>
      </c>
      <c r="DA227">
        <v>0.1</v>
      </c>
      <c r="DB227">
        <v>0.1</v>
      </c>
      <c r="DC227">
        <v>0.2</v>
      </c>
      <c r="DD227">
        <v>0.3</v>
      </c>
      <c r="DE227">
        <v>0.3</v>
      </c>
      <c r="DF227">
        <v>0.9</v>
      </c>
      <c r="DG227">
        <v>0.9</v>
      </c>
      <c r="DH227">
        <v>1.8</v>
      </c>
      <c r="DI227">
        <v>2.7</v>
      </c>
      <c r="DJ227">
        <v>2.4</v>
      </c>
      <c r="DK227">
        <v>8.6999999999999993</v>
      </c>
      <c r="DL227">
        <v>0</v>
      </c>
      <c r="DM227">
        <v>8.6999999999999993</v>
      </c>
      <c r="DN227">
        <v>9</v>
      </c>
      <c r="DO227">
        <f>AVERAGE(CV227:CZ227)</f>
        <v>8.8000000000000007</v>
      </c>
      <c r="DQ227">
        <v>8</v>
      </c>
      <c r="DR227" t="s">
        <v>38</v>
      </c>
      <c r="DS227" t="s">
        <v>29</v>
      </c>
      <c r="DT227" t="s">
        <v>214</v>
      </c>
      <c r="DU227" t="s">
        <v>215</v>
      </c>
      <c r="DV227" t="s">
        <v>216</v>
      </c>
      <c r="DW227" t="s">
        <v>3836</v>
      </c>
      <c r="DX227" t="s">
        <v>3770</v>
      </c>
      <c r="DY227" t="s">
        <v>3771</v>
      </c>
      <c r="DZ227" t="s">
        <v>3772</v>
      </c>
      <c r="EA227" t="s">
        <v>3860</v>
      </c>
      <c r="EB227" t="s">
        <v>3807</v>
      </c>
      <c r="EC227" t="s">
        <v>3775</v>
      </c>
      <c r="ED227" t="s">
        <v>3776</v>
      </c>
      <c r="EE227" t="s">
        <v>3946</v>
      </c>
      <c r="EF227" t="s">
        <v>3809</v>
      </c>
      <c r="EG227" t="s">
        <v>3810</v>
      </c>
      <c r="EH227" t="s">
        <v>3811</v>
      </c>
      <c r="EI227" t="s">
        <v>3947</v>
      </c>
      <c r="EJ227" t="s">
        <v>3813</v>
      </c>
      <c r="EK227" t="s">
        <v>3948</v>
      </c>
      <c r="EL227" t="s">
        <v>3815</v>
      </c>
      <c r="EM227" t="s">
        <v>3949</v>
      </c>
      <c r="EN227" t="s">
        <v>3809</v>
      </c>
      <c r="EO227" t="s">
        <v>4252</v>
      </c>
      <c r="EP227" t="s">
        <v>3811</v>
      </c>
      <c r="EQ227">
        <v>7</v>
      </c>
      <c r="ER227">
        <v>8</v>
      </c>
      <c r="ES227">
        <v>8</v>
      </c>
      <c r="ET227">
        <v>8</v>
      </c>
      <c r="EU227">
        <v>8</v>
      </c>
      <c r="EV227">
        <v>0.1</v>
      </c>
      <c r="EW227">
        <v>0.1</v>
      </c>
      <c r="EX227">
        <v>0.2</v>
      </c>
      <c r="EY227">
        <v>0.3</v>
      </c>
      <c r="EZ227">
        <v>0.3</v>
      </c>
      <c r="FA227">
        <f>EV227*EQ227</f>
        <v>0.70000000000000007</v>
      </c>
      <c r="FB227">
        <f>EW227*ER227</f>
        <v>0.8</v>
      </c>
      <c r="FC227">
        <f>EX227*ES227</f>
        <v>1.6</v>
      </c>
      <c r="FD227">
        <f>EY227*ET227</f>
        <v>2.4</v>
      </c>
      <c r="FE227">
        <f>EZ227*EU227</f>
        <v>2.4</v>
      </c>
      <c r="FF227">
        <v>15</v>
      </c>
      <c r="FG227">
        <v>0</v>
      </c>
      <c r="FH227">
        <v>8</v>
      </c>
      <c r="FI227">
        <f>FA227+FB227+FC227+FD227+FE227</f>
        <v>7.9</v>
      </c>
      <c r="FJ227">
        <f>MEDIAN(EQ227:EU227)</f>
        <v>8</v>
      </c>
      <c r="FL227">
        <v>39.020000000000003</v>
      </c>
      <c r="FM227">
        <v>10.1</v>
      </c>
      <c r="FN227" t="s">
        <v>1675</v>
      </c>
      <c r="FO227" t="s">
        <v>1676</v>
      </c>
      <c r="FP227" t="s">
        <v>1677</v>
      </c>
      <c r="FQ227" t="s">
        <v>1678</v>
      </c>
      <c r="FR227" t="s">
        <v>1679</v>
      </c>
      <c r="FS227">
        <v>10</v>
      </c>
      <c r="FT227">
        <v>10</v>
      </c>
      <c r="FU227">
        <v>10</v>
      </c>
      <c r="FV227">
        <v>8.5</v>
      </c>
      <c r="FW227">
        <v>7</v>
      </c>
      <c r="FX227">
        <v>0.1</v>
      </c>
      <c r="FY227">
        <v>0.1</v>
      </c>
      <c r="FZ227">
        <v>0.2</v>
      </c>
      <c r="GA227">
        <v>0.3</v>
      </c>
      <c r="GB227">
        <v>0.3</v>
      </c>
      <c r="GC227">
        <f>FS227*FX227</f>
        <v>1</v>
      </c>
      <c r="GD227">
        <f>FT227*FY227</f>
        <v>1</v>
      </c>
      <c r="GE227">
        <f>FU227*FZ227</f>
        <v>2</v>
      </c>
      <c r="GF227">
        <f>FV227*GA227</f>
        <v>2.5499999999999998</v>
      </c>
      <c r="GG227">
        <f>FW227*GB227</f>
        <v>2.1</v>
      </c>
      <c r="GH227">
        <v>9.65</v>
      </c>
      <c r="GI227">
        <v>0.45</v>
      </c>
      <c r="GJ227">
        <v>10.1</v>
      </c>
      <c r="GK227">
        <f>GC227+GD227+GE227+GF227+GG227</f>
        <v>8.65</v>
      </c>
      <c r="GL227">
        <f>MEDIAN(FS227:FW227)</f>
        <v>10</v>
      </c>
    </row>
    <row r="228" spans="1:194" hidden="1" x14ac:dyDescent="0.25">
      <c r="A228">
        <v>227</v>
      </c>
      <c r="B228" t="s">
        <v>2</v>
      </c>
      <c r="C228" s="4">
        <v>74.25</v>
      </c>
      <c r="D228">
        <v>3.3</v>
      </c>
      <c r="E228" s="1">
        <f>C228/3/D228</f>
        <v>7.5</v>
      </c>
      <c r="G228">
        <v>37.42</v>
      </c>
      <c r="H228">
        <v>8</v>
      </c>
      <c r="I228">
        <f>H228*D228*3</f>
        <v>79.199999999999989</v>
      </c>
      <c r="J228">
        <v>16.59</v>
      </c>
      <c r="K228">
        <v>8.4</v>
      </c>
      <c r="L228" s="3">
        <f>K228*3*D228</f>
        <v>83.160000000000011</v>
      </c>
      <c r="M228">
        <v>5.08</v>
      </c>
      <c r="N228">
        <v>3</v>
      </c>
      <c r="O228">
        <f>N228*D228*3</f>
        <v>29.699999999999996</v>
      </c>
      <c r="P228" s="5">
        <v>7.5</v>
      </c>
      <c r="Q228" s="5">
        <f>P228*D228*3</f>
        <v>74.25</v>
      </c>
      <c r="S228" t="s">
        <v>6358</v>
      </c>
      <c r="T228">
        <v>8.1999999999999993</v>
      </c>
      <c r="U228" s="8">
        <f>T228*D228*3</f>
        <v>81.179999999999978</v>
      </c>
      <c r="V228">
        <v>34.159999999999997</v>
      </c>
      <c r="W228">
        <v>8</v>
      </c>
      <c r="X228" s="5">
        <f>W228*D228*3</f>
        <v>79.199999999999989</v>
      </c>
      <c r="Y228">
        <v>9.91</v>
      </c>
      <c r="Z228">
        <v>7.5</v>
      </c>
      <c r="AA228">
        <f>Z228*D228*3</f>
        <v>74.25</v>
      </c>
      <c r="AC228">
        <v>49.27</v>
      </c>
      <c r="AD228">
        <v>8</v>
      </c>
      <c r="AE228" s="1">
        <f>AD228*3*D228</f>
        <v>79.199999999999989</v>
      </c>
      <c r="AF228">
        <v>11.99</v>
      </c>
      <c r="AG228" s="5">
        <v>7</v>
      </c>
      <c r="AH228" s="5">
        <f>AG228*D228*3</f>
        <v>69.3</v>
      </c>
      <c r="AI228" s="13"/>
      <c r="AJ228">
        <v>2.7</v>
      </c>
      <c r="AK228" s="8">
        <f>AJ228*D228*3</f>
        <v>26.73</v>
      </c>
      <c r="AL228" s="13"/>
      <c r="AM228">
        <v>29.5</v>
      </c>
      <c r="AN228">
        <v>7.5</v>
      </c>
      <c r="AO228" s="8">
        <f>AN228*D228*3</f>
        <v>74.25</v>
      </c>
      <c r="AP228">
        <v>12.27</v>
      </c>
      <c r="AQ228">
        <v>10</v>
      </c>
      <c r="AR228">
        <f>AQ228*D228*3</f>
        <v>99</v>
      </c>
      <c r="AT228">
        <v>8.8000000000000007</v>
      </c>
      <c r="AU228">
        <f>AT228*D228*3</f>
        <v>87.12</v>
      </c>
      <c r="AW228">
        <v>23.97</v>
      </c>
      <c r="AX228">
        <v>8.5</v>
      </c>
      <c r="AY228">
        <f>AX228*D228*3</f>
        <v>84.149999999999991</v>
      </c>
      <c r="AZ228">
        <v>23.97</v>
      </c>
      <c r="BA228">
        <v>9</v>
      </c>
      <c r="BB228">
        <f>BA228*D228*3</f>
        <v>89.1</v>
      </c>
      <c r="BD228">
        <v>8.9</v>
      </c>
      <c r="BE228">
        <f>BD228*D228*3</f>
        <v>88.11</v>
      </c>
      <c r="BG228" s="10"/>
      <c r="BH228" s="1">
        <f>CHOOSE(MATCH(MIN(ABS(BP228-C228),ABS(BQ228-C228),ABS(BR228-C228)),CHOOSE({1;2;3},ABS(BP228-C228),ABS(BQ228-C228),ABS(BR228-C228)),0),BP228,BQ228,BR228)</f>
        <v>79.199999999999989</v>
      </c>
      <c r="BJ228" s="1" cm="1">
        <f t="array" ref="BJ228">(INDEX(_xlfn._xlws.SORT(CHOOSE({1;2;3;4;5;6},BQ228,BR228,L228,AE228,BO228,BP228)),3) + INDEX(_xlfn._xlws.SORT(CHOOSE({1;2;3;4;5;6},BQ228,BR228,L228,AE228,BO228,BP228)),4))/2</f>
        <v>79.199999999999989</v>
      </c>
      <c r="BK228">
        <v>7.5143694000590804</v>
      </c>
      <c r="BL228" t="s">
        <v>6117</v>
      </c>
      <c r="BM228" s="1">
        <f>BK228*3*D228</f>
        <v>74.392257060584882</v>
      </c>
      <c r="BN228" s="1">
        <f>BM228-C228</f>
        <v>0.14225706058488186</v>
      </c>
      <c r="BO228" s="1">
        <f>GK228*3*D228</f>
        <v>48.51</v>
      </c>
      <c r="BP228" s="1">
        <f>DO228*3*D228</f>
        <v>89.1</v>
      </c>
      <c r="BQ228" s="1">
        <f>FJ228*3*D228</f>
        <v>79.199999999999989</v>
      </c>
      <c r="BR228" s="1">
        <f>GL228*3*D228</f>
        <v>49.5</v>
      </c>
      <c r="BT228">
        <v>37.42</v>
      </c>
      <c r="BU228">
        <v>8</v>
      </c>
      <c r="BV228" t="s">
        <v>5737</v>
      </c>
      <c r="BW228" t="s">
        <v>5738</v>
      </c>
      <c r="BX228" t="s">
        <v>5739</v>
      </c>
      <c r="BY228" t="s">
        <v>5740</v>
      </c>
      <c r="BZ228" t="s">
        <v>5741</v>
      </c>
      <c r="CA228" t="s">
        <v>2723</v>
      </c>
      <c r="CC228" t="s">
        <v>2438</v>
      </c>
      <c r="CD228" t="s">
        <v>2533</v>
      </c>
      <c r="CE228" t="s">
        <v>2440</v>
      </c>
      <c r="CG228" t="s">
        <v>2441</v>
      </c>
      <c r="CH228" t="s">
        <v>2534</v>
      </c>
      <c r="CI228" t="s">
        <v>2535</v>
      </c>
      <c r="CK228" t="s">
        <v>2444</v>
      </c>
      <c r="CL228" t="s">
        <v>2536</v>
      </c>
      <c r="CM228" t="s">
        <v>2446</v>
      </c>
      <c r="CO228" t="s">
        <v>2447</v>
      </c>
      <c r="CP228" t="s">
        <v>2537</v>
      </c>
      <c r="CQ228" t="s">
        <v>2538</v>
      </c>
      <c r="CS228" t="s">
        <v>2450</v>
      </c>
      <c r="CT228" t="s">
        <v>2539</v>
      </c>
      <c r="CV228">
        <v>9</v>
      </c>
      <c r="CW228">
        <v>9</v>
      </c>
      <c r="CX228">
        <v>9</v>
      </c>
      <c r="CY228">
        <v>9</v>
      </c>
      <c r="CZ228">
        <v>9</v>
      </c>
      <c r="DA228">
        <v>0.1</v>
      </c>
      <c r="DB228">
        <v>0.1</v>
      </c>
      <c r="DC228">
        <v>0.2</v>
      </c>
      <c r="DD228">
        <v>0.3</v>
      </c>
      <c r="DE228">
        <v>0.3</v>
      </c>
      <c r="DF228">
        <v>0.9</v>
      </c>
      <c r="DG228">
        <v>0.9</v>
      </c>
      <c r="DH228">
        <v>1.8</v>
      </c>
      <c r="DI228">
        <v>2.7</v>
      </c>
      <c r="DJ228">
        <v>2.7</v>
      </c>
      <c r="DK228">
        <v>8</v>
      </c>
      <c r="DL228">
        <v>0</v>
      </c>
      <c r="DM228">
        <v>8</v>
      </c>
      <c r="DN228">
        <v>8.4</v>
      </c>
      <c r="DO228">
        <f>AVERAGE(CV228:CZ228)</f>
        <v>9</v>
      </c>
      <c r="DQ228">
        <v>8</v>
      </c>
      <c r="DR228" t="s">
        <v>408</v>
      </c>
      <c r="DS228" t="s">
        <v>409</v>
      </c>
      <c r="DT228" t="s">
        <v>35</v>
      </c>
      <c r="DU228" t="s">
        <v>36</v>
      </c>
      <c r="DV228" t="s">
        <v>421</v>
      </c>
      <c r="DW228" t="s">
        <v>3788</v>
      </c>
      <c r="DX228" t="s">
        <v>3789</v>
      </c>
      <c r="DY228" t="s">
        <v>3790</v>
      </c>
      <c r="DZ228" t="s">
        <v>3791</v>
      </c>
      <c r="EA228" t="s">
        <v>3792</v>
      </c>
      <c r="EB228" t="s">
        <v>3793</v>
      </c>
      <c r="EC228" t="s">
        <v>3794</v>
      </c>
      <c r="ED228" t="s">
        <v>3795</v>
      </c>
      <c r="EE228" t="s">
        <v>3796</v>
      </c>
      <c r="EF228" t="s">
        <v>3797</v>
      </c>
      <c r="EG228" t="s">
        <v>3798</v>
      </c>
      <c r="EH228" t="s">
        <v>3798</v>
      </c>
      <c r="EI228" t="s">
        <v>3799</v>
      </c>
      <c r="EJ228" t="s">
        <v>3800</v>
      </c>
      <c r="EK228" t="s">
        <v>3801</v>
      </c>
      <c r="EL228" t="s">
        <v>3801</v>
      </c>
      <c r="EM228" t="s">
        <v>4678</v>
      </c>
      <c r="EN228" t="s">
        <v>3803</v>
      </c>
      <c r="EO228" t="s">
        <v>4682</v>
      </c>
      <c r="EP228" t="s">
        <v>4680</v>
      </c>
      <c r="EQ228">
        <v>8</v>
      </c>
      <c r="ER228">
        <v>8</v>
      </c>
      <c r="ES228">
        <v>8</v>
      </c>
      <c r="ET228">
        <v>8</v>
      </c>
      <c r="EU228">
        <v>8</v>
      </c>
      <c r="EV228">
        <v>0.1</v>
      </c>
      <c r="EW228">
        <v>0.1</v>
      </c>
      <c r="EX228">
        <v>0.2</v>
      </c>
      <c r="EY228">
        <v>0.3</v>
      </c>
      <c r="EZ228">
        <v>0.3</v>
      </c>
      <c r="FA228">
        <f>EV228*EQ228</f>
        <v>0.8</v>
      </c>
      <c r="FB228">
        <f>EW228*ER228</f>
        <v>0.8</v>
      </c>
      <c r="FC228">
        <f>EX228*ES228</f>
        <v>1.6</v>
      </c>
      <c r="FD228">
        <f>EY228*ET228</f>
        <v>2.4</v>
      </c>
      <c r="FE228">
        <f>EZ228*EU228</f>
        <v>2.4</v>
      </c>
      <c r="FF228">
        <v>18</v>
      </c>
      <c r="FG228">
        <v>0</v>
      </c>
      <c r="FH228">
        <v>8</v>
      </c>
      <c r="FI228">
        <f>FA228+FB228+FC228+FD228+FE228</f>
        <v>8</v>
      </c>
      <c r="FJ228">
        <f>MEDIAN(EQ228:EU228)</f>
        <v>8</v>
      </c>
      <c r="FL228">
        <v>39.78</v>
      </c>
      <c r="FM228">
        <v>9.1999999999999993</v>
      </c>
      <c r="FN228" t="s">
        <v>1680</v>
      </c>
      <c r="FO228" t="s">
        <v>1681</v>
      </c>
      <c r="FP228" t="s">
        <v>1682</v>
      </c>
      <c r="FQ228" t="s">
        <v>1683</v>
      </c>
      <c r="FR228" t="s">
        <v>1684</v>
      </c>
      <c r="FS228">
        <v>5</v>
      </c>
      <c r="FT228">
        <v>6</v>
      </c>
      <c r="FU228">
        <v>4</v>
      </c>
      <c r="FV228">
        <v>7</v>
      </c>
      <c r="FW228">
        <v>3</v>
      </c>
      <c r="FX228">
        <v>0.1</v>
      </c>
      <c r="FY228">
        <v>0.1</v>
      </c>
      <c r="FZ228">
        <v>0.2</v>
      </c>
      <c r="GA228">
        <v>0.3</v>
      </c>
      <c r="GB228">
        <v>0.3</v>
      </c>
      <c r="GC228">
        <f>FS228*FX228</f>
        <v>0.5</v>
      </c>
      <c r="GD228">
        <f>FT228*FY228</f>
        <v>0.60000000000000009</v>
      </c>
      <c r="GE228">
        <f>FU228*FZ228</f>
        <v>0.8</v>
      </c>
      <c r="GF228">
        <f>FV228*GA228</f>
        <v>2.1</v>
      </c>
      <c r="GG228">
        <f>FW228*GB228</f>
        <v>0.89999999999999991</v>
      </c>
      <c r="GH228">
        <v>9.1999999999999993</v>
      </c>
      <c r="GI228">
        <v>0</v>
      </c>
      <c r="GJ228">
        <v>9.1999999999999993</v>
      </c>
      <c r="GK228">
        <f>GC228+GD228+GE228+GF228+GG228</f>
        <v>4.9000000000000004</v>
      </c>
      <c r="GL228">
        <f>MEDIAN(FS228:FW228)</f>
        <v>5</v>
      </c>
    </row>
    <row r="229" spans="1:194" hidden="1" x14ac:dyDescent="0.25">
      <c r="A229">
        <v>228</v>
      </c>
      <c r="B229" t="s">
        <v>2</v>
      </c>
      <c r="C229" s="4">
        <v>72</v>
      </c>
      <c r="D229">
        <v>3</v>
      </c>
      <c r="E229" s="1">
        <f>C229/3/D229</f>
        <v>8</v>
      </c>
      <c r="G229">
        <v>85.7</v>
      </c>
      <c r="H229">
        <v>8.1999999999999993</v>
      </c>
      <c r="I229">
        <f>H229*D229*3</f>
        <v>73.8</v>
      </c>
      <c r="J229">
        <v>17.18</v>
      </c>
      <c r="K229">
        <v>9</v>
      </c>
      <c r="L229" s="3">
        <f>K229*3*D229</f>
        <v>81</v>
      </c>
      <c r="M229">
        <v>5.26</v>
      </c>
      <c r="N229">
        <v>5.5</v>
      </c>
      <c r="O229">
        <f>N229*D229*3</f>
        <v>49.5</v>
      </c>
      <c r="P229" s="5">
        <v>7</v>
      </c>
      <c r="Q229" s="5">
        <f>P229*D229*3</f>
        <v>63</v>
      </c>
      <c r="S229" t="s">
        <v>6359</v>
      </c>
      <c r="T229">
        <v>5.5</v>
      </c>
      <c r="U229" s="8">
        <f>T229*D229*3</f>
        <v>49.5</v>
      </c>
      <c r="V229">
        <v>37.659999999999997</v>
      </c>
      <c r="W229">
        <v>8</v>
      </c>
      <c r="X229" s="5">
        <f>W229*D229*3</f>
        <v>72</v>
      </c>
      <c r="Y229">
        <v>9.82</v>
      </c>
      <c r="Z229">
        <v>7.5</v>
      </c>
      <c r="AA229">
        <f>Z229*D229*3</f>
        <v>67.5</v>
      </c>
      <c r="AC229">
        <v>46.21</v>
      </c>
      <c r="AD229">
        <v>7.9</v>
      </c>
      <c r="AE229" s="1">
        <f>AD229*3*D229</f>
        <v>71.100000000000009</v>
      </c>
      <c r="AF229">
        <v>13.63</v>
      </c>
      <c r="AH229" s="5">
        <f>AG229*D229*3</f>
        <v>0</v>
      </c>
      <c r="AI229" s="13"/>
      <c r="AJ229">
        <v>28</v>
      </c>
      <c r="AK229" s="8">
        <f>AJ229*D229*3</f>
        <v>252</v>
      </c>
      <c r="AL229" s="13"/>
      <c r="AM229">
        <v>30.22</v>
      </c>
      <c r="AN229">
        <v>7.6</v>
      </c>
      <c r="AO229" s="8">
        <f>AN229*D229*3</f>
        <v>68.399999999999991</v>
      </c>
      <c r="AP229">
        <v>13.99</v>
      </c>
      <c r="AQ229">
        <v>10</v>
      </c>
      <c r="AR229">
        <f>AQ229*D229*3</f>
        <v>90</v>
      </c>
      <c r="AT229">
        <v>9</v>
      </c>
      <c r="AU229">
        <f>AT229*D229*3</f>
        <v>81</v>
      </c>
      <c r="AW229">
        <v>23.17</v>
      </c>
      <c r="AX229">
        <v>9.5</v>
      </c>
      <c r="AY229">
        <f>AX229*D229*3</f>
        <v>85.5</v>
      </c>
      <c r="AZ229">
        <v>23.17</v>
      </c>
      <c r="BA229">
        <v>8.6</v>
      </c>
      <c r="BB229">
        <f>BA229*D229*3</f>
        <v>77.399999999999991</v>
      </c>
      <c r="BD229">
        <v>8.6999999999999993</v>
      </c>
      <c r="BE229">
        <f>BD229*D229*3</f>
        <v>78.3</v>
      </c>
      <c r="BG229" s="10"/>
      <c r="BH229" s="1">
        <f>CHOOSE(MATCH(MIN(ABS(BP229-C229),ABS(BQ229-C229),ABS(BR229-C229)),CHOOSE({1;2;3},ABS(BP229-C229),ABS(BQ229-C229),ABS(BR229-C229)),0),BP229,BQ229,BR229)</f>
        <v>72</v>
      </c>
      <c r="BJ229" s="1" cm="1">
        <f t="array" ref="BJ229">(INDEX(_xlfn._xlws.SORT(CHOOSE({1;2;3;4;5;6},BQ229,BR229,L229,AE229,BO229,BP229)),3) + INDEX(_xlfn._xlws.SORT(CHOOSE({1;2;3;4;5;6},BQ229,BR229,L229,AE229,BO229,BP229)),4))/2</f>
        <v>71.550000000000011</v>
      </c>
      <c r="BK229">
        <v>7.9840313640741902</v>
      </c>
      <c r="BL229" t="s">
        <v>6117</v>
      </c>
      <c r="BM229" s="1">
        <f>BK229*3*D229</f>
        <v>71.856282276667713</v>
      </c>
      <c r="BN229" s="1">
        <f>BM229-C229</f>
        <v>-0.14371772333228705</v>
      </c>
      <c r="BO229" s="1">
        <f>GK229*3*D229</f>
        <v>46.8</v>
      </c>
      <c r="BP229" s="1">
        <f>DO229*3*D229</f>
        <v>81</v>
      </c>
      <c r="BQ229" s="1">
        <f>FJ229*3*D229</f>
        <v>72</v>
      </c>
      <c r="BR229" s="1">
        <f>GL229*3*D229</f>
        <v>36</v>
      </c>
      <c r="BT229">
        <v>85.7</v>
      </c>
      <c r="BU229">
        <v>8.1999999999999993</v>
      </c>
      <c r="BV229" t="s">
        <v>5310</v>
      </c>
      <c r="BW229" t="s">
        <v>5742</v>
      </c>
      <c r="BX229" t="s">
        <v>5743</v>
      </c>
      <c r="BY229" t="s">
        <v>5744</v>
      </c>
      <c r="BZ229" t="s">
        <v>5745</v>
      </c>
      <c r="CA229" t="s">
        <v>2469</v>
      </c>
      <c r="CC229" t="s">
        <v>2470</v>
      </c>
      <c r="CD229" t="s">
        <v>2470</v>
      </c>
      <c r="CE229" t="s">
        <v>2603</v>
      </c>
      <c r="CG229" t="s">
        <v>3371</v>
      </c>
      <c r="CH229" t="s">
        <v>3371</v>
      </c>
      <c r="CI229" t="s">
        <v>3372</v>
      </c>
      <c r="CK229" t="s">
        <v>3373</v>
      </c>
      <c r="CL229" t="s">
        <v>3373</v>
      </c>
      <c r="CM229" t="s">
        <v>3374</v>
      </c>
      <c r="CO229" t="s">
        <v>2596</v>
      </c>
      <c r="CP229" t="s">
        <v>2596</v>
      </c>
      <c r="CQ229" t="s">
        <v>3375</v>
      </c>
      <c r="CS229" t="s">
        <v>3376</v>
      </c>
      <c r="CT229" t="s">
        <v>3376</v>
      </c>
      <c r="CV229">
        <v>9</v>
      </c>
      <c r="CW229">
        <v>9</v>
      </c>
      <c r="CX229">
        <v>9</v>
      </c>
      <c r="CY229">
        <v>9</v>
      </c>
      <c r="CZ229">
        <v>9</v>
      </c>
      <c r="DA229">
        <v>0.1</v>
      </c>
      <c r="DB229">
        <v>0.1</v>
      </c>
      <c r="DC229">
        <v>0.2</v>
      </c>
      <c r="DD229">
        <v>0.3</v>
      </c>
      <c r="DE229">
        <v>0.3</v>
      </c>
      <c r="DF229">
        <v>0.9</v>
      </c>
      <c r="DG229">
        <v>0.9</v>
      </c>
      <c r="DH229">
        <v>1.8</v>
      </c>
      <c r="DI229">
        <v>2.7</v>
      </c>
      <c r="DJ229">
        <v>2.7</v>
      </c>
      <c r="DK229">
        <v>8.1999999999999993</v>
      </c>
      <c r="DL229">
        <v>0</v>
      </c>
      <c r="DM229">
        <v>8.1999999999999993</v>
      </c>
      <c r="DN229">
        <v>9</v>
      </c>
      <c r="DO229">
        <f>AVERAGE(CV229:CZ229)</f>
        <v>9</v>
      </c>
      <c r="DQ229">
        <v>9</v>
      </c>
      <c r="DR229" t="s">
        <v>65</v>
      </c>
      <c r="DS229" t="s">
        <v>66</v>
      </c>
      <c r="DT229" t="s">
        <v>373</v>
      </c>
      <c r="DU229" t="s">
        <v>252</v>
      </c>
      <c r="DV229" t="s">
        <v>124</v>
      </c>
      <c r="DW229" t="s">
        <v>3836</v>
      </c>
      <c r="DX229" t="s">
        <v>3770</v>
      </c>
      <c r="DY229" t="s">
        <v>3771</v>
      </c>
      <c r="DZ229" t="s">
        <v>3772</v>
      </c>
      <c r="EA229" t="s">
        <v>3860</v>
      </c>
      <c r="EB229" t="s">
        <v>3807</v>
      </c>
      <c r="EC229" t="s">
        <v>3775</v>
      </c>
      <c r="ED229" t="s">
        <v>3776</v>
      </c>
      <c r="EE229" t="s">
        <v>4240</v>
      </c>
      <c r="EF229" t="s">
        <v>3809</v>
      </c>
      <c r="EG229" t="s">
        <v>4588</v>
      </c>
      <c r="EH229" t="s">
        <v>3811</v>
      </c>
      <c r="EI229" t="s">
        <v>4468</v>
      </c>
      <c r="EJ229" t="s">
        <v>3813</v>
      </c>
      <c r="EK229" t="s">
        <v>4469</v>
      </c>
      <c r="EL229" t="s">
        <v>3815</v>
      </c>
      <c r="EM229" t="s">
        <v>4470</v>
      </c>
      <c r="EN229" t="s">
        <v>3809</v>
      </c>
      <c r="EO229" t="s">
        <v>4589</v>
      </c>
      <c r="EP229" t="s">
        <v>3818</v>
      </c>
      <c r="EQ229">
        <v>7</v>
      </c>
      <c r="ER229">
        <v>8</v>
      </c>
      <c r="ES229">
        <v>8</v>
      </c>
      <c r="ET229">
        <v>8</v>
      </c>
      <c r="EU229">
        <v>8</v>
      </c>
      <c r="EV229">
        <v>0.1</v>
      </c>
      <c r="EW229">
        <v>0.1</v>
      </c>
      <c r="EX229">
        <v>0.2</v>
      </c>
      <c r="EY229">
        <v>0.3</v>
      </c>
      <c r="EZ229">
        <v>0.3</v>
      </c>
      <c r="FA229">
        <f>EV229*EQ229</f>
        <v>0.70000000000000007</v>
      </c>
      <c r="FB229">
        <f>EW229*ER229</f>
        <v>0.8</v>
      </c>
      <c r="FC229">
        <f>EX229*ES229</f>
        <v>1.6</v>
      </c>
      <c r="FD229">
        <f>EY229*ET229</f>
        <v>2.4</v>
      </c>
      <c r="FE229">
        <f>EZ229*EU229</f>
        <v>2.4</v>
      </c>
      <c r="FF229">
        <v>19</v>
      </c>
      <c r="FG229">
        <v>0</v>
      </c>
      <c r="FH229">
        <v>9</v>
      </c>
      <c r="FI229">
        <f>FA229+FB229+FC229+FD229+FE229</f>
        <v>7.9</v>
      </c>
      <c r="FJ229">
        <f>MEDIAN(EQ229:EU229)</f>
        <v>8</v>
      </c>
      <c r="FL229">
        <v>72.97</v>
      </c>
      <c r="FM229">
        <v>9</v>
      </c>
      <c r="FN229" t="s">
        <v>1685</v>
      </c>
      <c r="FO229" t="s">
        <v>1686</v>
      </c>
      <c r="FP229" t="s">
        <v>1687</v>
      </c>
      <c r="FQ229" t="s">
        <v>1688</v>
      </c>
      <c r="FR229" t="s">
        <v>1689</v>
      </c>
      <c r="FS229">
        <v>2</v>
      </c>
      <c r="FT229">
        <v>3</v>
      </c>
      <c r="FU229">
        <v>4</v>
      </c>
      <c r="FV229">
        <v>6</v>
      </c>
      <c r="FW229">
        <v>7</v>
      </c>
      <c r="FX229">
        <v>0.1</v>
      </c>
      <c r="FY229">
        <v>0.1</v>
      </c>
      <c r="FZ229">
        <v>0.2</v>
      </c>
      <c r="GA229">
        <v>0.3</v>
      </c>
      <c r="GB229">
        <v>0.3</v>
      </c>
      <c r="GC229">
        <f>FS229*FX229</f>
        <v>0.2</v>
      </c>
      <c r="GD229">
        <f>FT229*FY229</f>
        <v>0.30000000000000004</v>
      </c>
      <c r="GE229">
        <f>FU229*FZ229</f>
        <v>0.8</v>
      </c>
      <c r="GF229">
        <f>FV229*GA229</f>
        <v>1.7999999999999998</v>
      </c>
      <c r="GG229">
        <f>FW229*GB229</f>
        <v>2.1</v>
      </c>
      <c r="GH229">
        <v>9</v>
      </c>
      <c r="GI229">
        <v>0</v>
      </c>
      <c r="GJ229">
        <v>9</v>
      </c>
      <c r="GK229">
        <f>GC229+GD229+GE229+GF229+GG229</f>
        <v>5.1999999999999993</v>
      </c>
      <c r="GL229">
        <f>MEDIAN(FS229:FW229)</f>
        <v>4</v>
      </c>
    </row>
    <row r="230" spans="1:194" hidden="1" x14ac:dyDescent="0.25">
      <c r="A230">
        <v>229</v>
      </c>
      <c r="B230" t="s">
        <v>2</v>
      </c>
      <c r="C230" s="4">
        <v>76.5</v>
      </c>
      <c r="D230">
        <v>3</v>
      </c>
      <c r="E230" s="1">
        <f>C230/3/D230</f>
        <v>8.5</v>
      </c>
      <c r="G230">
        <v>87.04</v>
      </c>
      <c r="H230">
        <v>8</v>
      </c>
      <c r="I230">
        <f>H230*D230*3</f>
        <v>72</v>
      </c>
      <c r="J230">
        <v>17.760000000000002</v>
      </c>
      <c r="K230">
        <v>8.4</v>
      </c>
      <c r="L230" s="3">
        <f>K230*3*D230</f>
        <v>75.600000000000009</v>
      </c>
      <c r="M230">
        <v>5.04</v>
      </c>
      <c r="N230">
        <v>5</v>
      </c>
      <c r="O230">
        <f>N230*D230*3</f>
        <v>45</v>
      </c>
      <c r="P230" s="5">
        <v>8.5</v>
      </c>
      <c r="Q230" s="5">
        <f>P230*D230*3</f>
        <v>76.5</v>
      </c>
      <c r="S230" t="s">
        <v>6360</v>
      </c>
      <c r="T230">
        <v>5.4</v>
      </c>
      <c r="U230" s="8">
        <f>T230*D230*3</f>
        <v>48.600000000000009</v>
      </c>
      <c r="V230">
        <v>35.299999999999997</v>
      </c>
      <c r="W230">
        <v>8</v>
      </c>
      <c r="X230" s="5">
        <f>W230*D230*3</f>
        <v>72</v>
      </c>
      <c r="Y230">
        <v>9.67</v>
      </c>
      <c r="Z230">
        <v>8.5</v>
      </c>
      <c r="AA230">
        <f>Z230*D230*3</f>
        <v>76.5</v>
      </c>
      <c r="AC230">
        <v>45.79</v>
      </c>
      <c r="AD230">
        <v>6.2</v>
      </c>
      <c r="AE230" s="1">
        <f>AD230*3*D230</f>
        <v>55.800000000000004</v>
      </c>
      <c r="AF230">
        <v>11.87</v>
      </c>
      <c r="AG230" s="5">
        <v>7</v>
      </c>
      <c r="AH230" s="5">
        <f>AG230*D230*3</f>
        <v>63</v>
      </c>
      <c r="AI230" s="13"/>
      <c r="AJ230">
        <v>7.5</v>
      </c>
      <c r="AK230" s="8">
        <f>AJ230*D230*3</f>
        <v>67.5</v>
      </c>
      <c r="AL230" s="13"/>
      <c r="AM230">
        <v>30.78</v>
      </c>
      <c r="AN230">
        <v>7.6</v>
      </c>
      <c r="AO230" s="8">
        <f>AN230*D230*3</f>
        <v>68.399999999999991</v>
      </c>
      <c r="AP230">
        <v>13.29</v>
      </c>
      <c r="AQ230">
        <v>10</v>
      </c>
      <c r="AR230">
        <f>AQ230*D230*3</f>
        <v>90</v>
      </c>
      <c r="AT230">
        <v>8.6</v>
      </c>
      <c r="AU230">
        <f>AT230*D230*3</f>
        <v>77.399999999999991</v>
      </c>
      <c r="AW230">
        <v>24.11</v>
      </c>
      <c r="AX230">
        <v>8.8000000000000007</v>
      </c>
      <c r="AY230">
        <f>AX230*D230*3</f>
        <v>79.2</v>
      </c>
      <c r="AZ230">
        <v>24.11</v>
      </c>
      <c r="BA230">
        <v>9</v>
      </c>
      <c r="BB230">
        <f>BA230*D230*3</f>
        <v>81</v>
      </c>
      <c r="BD230">
        <v>9</v>
      </c>
      <c r="BE230">
        <f>BD230*D230*3</f>
        <v>81</v>
      </c>
      <c r="BG230" s="10"/>
      <c r="BH230" s="1">
        <f>CHOOSE(MATCH(MIN(ABS(BP230-C230),ABS(BQ230-C230),ABS(BR230-C230)),CHOOSE({1;2;3},ABS(BP230-C230),ABS(BQ230-C230),ABS(BR230-C230)),0),BP230,BQ230,BR230)</f>
        <v>81</v>
      </c>
      <c r="BJ230" s="1" cm="1">
        <f t="array" ref="BJ230">(INDEX(_xlfn._xlws.SORT(CHOOSE({1;2;3;4;5;6},BQ230,BR230,L230,AE230,BO230,BP230)),3) + INDEX(_xlfn._xlws.SORT(CHOOSE({1;2;3;4;5;6},BQ230,BR230,L230,AE230,BO230,BP230)),4))/2</f>
        <v>60.75</v>
      </c>
      <c r="BK230">
        <v>8.4571206599987807</v>
      </c>
      <c r="BL230" t="s">
        <v>6117</v>
      </c>
      <c r="BM230" s="1">
        <f>BK230*3*D230</f>
        <v>76.114085939989025</v>
      </c>
      <c r="BN230" s="1">
        <f>BM230-C230</f>
        <v>-0.38591406001097539</v>
      </c>
      <c r="BO230" s="1">
        <f>GK230*3*D230</f>
        <v>58.5</v>
      </c>
      <c r="BP230" s="1">
        <f>DO230*3*D230</f>
        <v>81</v>
      </c>
      <c r="BQ230" s="1">
        <f>FJ230*3*D230</f>
        <v>54</v>
      </c>
      <c r="BR230" s="1">
        <f>GL230*3*D230</f>
        <v>63</v>
      </c>
      <c r="BT230">
        <v>87.04</v>
      </c>
      <c r="BU230">
        <v>8</v>
      </c>
      <c r="BV230" t="s">
        <v>5746</v>
      </c>
      <c r="BW230" t="s">
        <v>5747</v>
      </c>
      <c r="BX230" t="s">
        <v>5748</v>
      </c>
      <c r="BY230" t="s">
        <v>5749</v>
      </c>
      <c r="BZ230" t="s">
        <v>5750</v>
      </c>
      <c r="CA230" t="s">
        <v>2452</v>
      </c>
      <c r="CC230" t="s">
        <v>2585</v>
      </c>
      <c r="CD230" t="s">
        <v>2453</v>
      </c>
      <c r="CE230" t="s">
        <v>3233</v>
      </c>
      <c r="CG230" t="s">
        <v>2455</v>
      </c>
      <c r="CH230" t="s">
        <v>2456</v>
      </c>
      <c r="CI230" t="s">
        <v>2457</v>
      </c>
      <c r="CK230" t="s">
        <v>3235</v>
      </c>
      <c r="CL230" t="s">
        <v>2460</v>
      </c>
      <c r="CM230" t="s">
        <v>3377</v>
      </c>
      <c r="CO230" t="s">
        <v>2447</v>
      </c>
      <c r="CP230" t="s">
        <v>2464</v>
      </c>
      <c r="CQ230" t="s">
        <v>3378</v>
      </c>
      <c r="CS230" t="s">
        <v>2450</v>
      </c>
      <c r="CT230" t="s">
        <v>2468</v>
      </c>
      <c r="CV230">
        <v>9</v>
      </c>
      <c r="CW230">
        <v>9</v>
      </c>
      <c r="CX230">
        <v>9</v>
      </c>
      <c r="CY230">
        <v>9</v>
      </c>
      <c r="CZ230">
        <v>9</v>
      </c>
      <c r="DA230">
        <v>0.1</v>
      </c>
      <c r="DB230">
        <v>0.1</v>
      </c>
      <c r="DC230">
        <v>0.2</v>
      </c>
      <c r="DD230">
        <v>0.3</v>
      </c>
      <c r="DE230">
        <v>0.3</v>
      </c>
      <c r="DF230">
        <v>0.9</v>
      </c>
      <c r="DG230">
        <v>0.9</v>
      </c>
      <c r="DH230">
        <v>1.8</v>
      </c>
      <c r="DI230">
        <v>2.7</v>
      </c>
      <c r="DJ230">
        <v>2.7</v>
      </c>
      <c r="DK230">
        <v>8</v>
      </c>
      <c r="DL230">
        <v>0</v>
      </c>
      <c r="DM230">
        <v>8</v>
      </c>
      <c r="DN230">
        <v>8.4</v>
      </c>
      <c r="DO230">
        <f>AVERAGE(CV230:CZ230)</f>
        <v>9</v>
      </c>
      <c r="DQ230">
        <v>6</v>
      </c>
      <c r="DR230" t="s">
        <v>352</v>
      </c>
      <c r="DS230" t="s">
        <v>353</v>
      </c>
      <c r="DT230" t="s">
        <v>422</v>
      </c>
      <c r="DU230" t="s">
        <v>423</v>
      </c>
      <c r="DV230" t="s">
        <v>424</v>
      </c>
      <c r="DW230" t="s">
        <v>3911</v>
      </c>
      <c r="DX230" t="s">
        <v>4160</v>
      </c>
      <c r="DY230" t="s">
        <v>4161</v>
      </c>
      <c r="DZ230" t="s">
        <v>4419</v>
      </c>
      <c r="EA230" t="s">
        <v>4178</v>
      </c>
      <c r="EB230" t="s">
        <v>4179</v>
      </c>
      <c r="EE230" t="s">
        <v>4683</v>
      </c>
      <c r="EF230" t="s">
        <v>4550</v>
      </c>
      <c r="EH230" t="s">
        <v>4551</v>
      </c>
      <c r="EI230" t="s">
        <v>4684</v>
      </c>
      <c r="EJ230" t="s">
        <v>4684</v>
      </c>
      <c r="EL230" t="s">
        <v>4685</v>
      </c>
      <c r="EM230" t="s">
        <v>4522</v>
      </c>
      <c r="EN230" t="s">
        <v>4522</v>
      </c>
      <c r="EP230" t="s">
        <v>4686</v>
      </c>
      <c r="EQ230">
        <v>4</v>
      </c>
      <c r="ER230">
        <v>8</v>
      </c>
      <c r="ES230">
        <v>7</v>
      </c>
      <c r="ET230">
        <v>6</v>
      </c>
      <c r="EU230">
        <v>6</v>
      </c>
      <c r="EV230">
        <v>0.1</v>
      </c>
      <c r="EW230">
        <v>0.1</v>
      </c>
      <c r="EX230">
        <v>0.2</v>
      </c>
      <c r="EY230">
        <v>0.3</v>
      </c>
      <c r="EZ230">
        <v>0.3</v>
      </c>
      <c r="FA230">
        <f>EV230*EQ230</f>
        <v>0.4</v>
      </c>
      <c r="FB230">
        <f>EW230*ER230</f>
        <v>0.8</v>
      </c>
      <c r="FC230">
        <f>EX230*ES230</f>
        <v>1.4000000000000001</v>
      </c>
      <c r="FD230">
        <f>EY230*ET230</f>
        <v>1.7999999999999998</v>
      </c>
      <c r="FE230">
        <f>EZ230*EU230</f>
        <v>1.7999999999999998</v>
      </c>
      <c r="FF230">
        <v>16</v>
      </c>
      <c r="FG230">
        <v>0</v>
      </c>
      <c r="FH230">
        <v>16</v>
      </c>
      <c r="FI230">
        <f>FA230+FB230+FC230+FD230+FE230</f>
        <v>6.2</v>
      </c>
      <c r="FJ230">
        <f>MEDIAN(EQ230:EU230)</f>
        <v>6</v>
      </c>
      <c r="FL230">
        <v>78.78</v>
      </c>
      <c r="FM230">
        <v>5</v>
      </c>
      <c r="FN230" t="s">
        <v>1690</v>
      </c>
      <c r="FO230" t="s">
        <v>1691</v>
      </c>
      <c r="FP230" t="s">
        <v>1692</v>
      </c>
      <c r="FQ230" t="s">
        <v>1693</v>
      </c>
      <c r="FR230" t="s">
        <v>1694</v>
      </c>
      <c r="FS230">
        <v>7</v>
      </c>
      <c r="FT230">
        <v>9</v>
      </c>
      <c r="FU230">
        <v>8</v>
      </c>
      <c r="FV230">
        <v>6</v>
      </c>
      <c r="FW230">
        <v>5</v>
      </c>
      <c r="FX230">
        <v>0.1</v>
      </c>
      <c r="FY230">
        <v>0.1</v>
      </c>
      <c r="FZ230">
        <v>0.2</v>
      </c>
      <c r="GA230">
        <v>0.3</v>
      </c>
      <c r="GB230">
        <v>0.3</v>
      </c>
      <c r="GC230">
        <f>FS230*FX230</f>
        <v>0.70000000000000007</v>
      </c>
      <c r="GD230">
        <f>FT230*FY230</f>
        <v>0.9</v>
      </c>
      <c r="GE230">
        <f>FU230*FZ230</f>
        <v>1.6</v>
      </c>
      <c r="GF230">
        <f>FV230*GA230</f>
        <v>1.7999999999999998</v>
      </c>
      <c r="GG230">
        <f>FW230*GB230</f>
        <v>1.5</v>
      </c>
      <c r="GH230">
        <v>4.9000000000000004</v>
      </c>
      <c r="GI230">
        <v>0.1</v>
      </c>
      <c r="GJ230">
        <v>5</v>
      </c>
      <c r="GK230">
        <f>GC230+GD230+GE230+GF230+GG230</f>
        <v>6.5</v>
      </c>
      <c r="GL230">
        <f>MEDIAN(FS230:FW230)</f>
        <v>7</v>
      </c>
    </row>
    <row r="231" spans="1:194" hidden="1" x14ac:dyDescent="0.25">
      <c r="A231">
        <v>230</v>
      </c>
      <c r="B231" t="s">
        <v>2</v>
      </c>
      <c r="C231" s="4">
        <v>76.8</v>
      </c>
      <c r="D231">
        <v>3.2</v>
      </c>
      <c r="E231" s="1">
        <f>C231/3/D231</f>
        <v>7.9999999999999991</v>
      </c>
      <c r="G231">
        <v>40.14</v>
      </c>
      <c r="H231">
        <v>7.4</v>
      </c>
      <c r="I231">
        <f>H231*D231*3</f>
        <v>71.040000000000006</v>
      </c>
      <c r="J231">
        <v>18.190000000000001</v>
      </c>
      <c r="K231">
        <v>9</v>
      </c>
      <c r="L231" s="3">
        <f>K231*3*D231</f>
        <v>86.4</v>
      </c>
      <c r="M231">
        <v>4.8</v>
      </c>
      <c r="N231">
        <v>5</v>
      </c>
      <c r="O231">
        <f>N231*D231*3</f>
        <v>48</v>
      </c>
      <c r="P231" s="5">
        <v>7</v>
      </c>
      <c r="Q231" s="5">
        <f>P231*D231*3</f>
        <v>67.2</v>
      </c>
      <c r="S231" t="s">
        <v>6361</v>
      </c>
      <c r="T231">
        <v>5.2</v>
      </c>
      <c r="U231" s="8">
        <f>T231*D231*3</f>
        <v>49.92</v>
      </c>
      <c r="V231">
        <v>33.82</v>
      </c>
      <c r="W231">
        <v>8.4</v>
      </c>
      <c r="X231" s="5">
        <f>W231*D231*3</f>
        <v>80.640000000000015</v>
      </c>
      <c r="Y231">
        <v>11.17</v>
      </c>
      <c r="Z231">
        <v>7.6</v>
      </c>
      <c r="AA231">
        <f>Z231*D231*3</f>
        <v>72.960000000000008</v>
      </c>
      <c r="AC231">
        <v>46.88</v>
      </c>
      <c r="AD231">
        <v>8</v>
      </c>
      <c r="AE231" s="1">
        <f>AD231*3*D231</f>
        <v>76.800000000000011</v>
      </c>
      <c r="AF231">
        <v>12.24</v>
      </c>
      <c r="AG231" s="5">
        <v>7</v>
      </c>
      <c r="AH231" s="5">
        <f>AG231*D231*3</f>
        <v>67.2</v>
      </c>
      <c r="AI231" s="13"/>
      <c r="AK231" s="8">
        <f>AJ231*D231*3</f>
        <v>0</v>
      </c>
      <c r="AL231" s="13"/>
      <c r="AM231">
        <v>30.87</v>
      </c>
      <c r="AN231">
        <v>7.2</v>
      </c>
      <c r="AO231" s="8">
        <f>AN231*D231*3</f>
        <v>69.12</v>
      </c>
      <c r="AP231">
        <v>14.55</v>
      </c>
      <c r="AQ231">
        <v>8.8000000000000007</v>
      </c>
      <c r="AR231">
        <f>AQ231*D231*3</f>
        <v>84.480000000000018</v>
      </c>
      <c r="AT231">
        <v>8.8000000000000007</v>
      </c>
      <c r="AU231">
        <f>AT231*D231*3</f>
        <v>84.480000000000018</v>
      </c>
      <c r="AW231">
        <v>24.93</v>
      </c>
      <c r="AX231">
        <v>9.4</v>
      </c>
      <c r="AY231">
        <f>AX231*D231*3</f>
        <v>90.240000000000009</v>
      </c>
      <c r="AZ231">
        <v>24.93</v>
      </c>
      <c r="BA231">
        <v>8.4</v>
      </c>
      <c r="BB231">
        <f>BA231*D231*3</f>
        <v>80.640000000000015</v>
      </c>
      <c r="BD231">
        <v>8.6</v>
      </c>
      <c r="BE231">
        <f>BD231*D231*3</f>
        <v>82.56</v>
      </c>
      <c r="BG231" s="10"/>
      <c r="BH231" s="1">
        <f>CHOOSE(MATCH(MIN(ABS(BP231-C231),ABS(BQ231-C231),ABS(BR231-C231)),CHOOSE({1;2;3},ABS(BP231-C231),ABS(BQ231-C231),ABS(BR231-C231)),0),BP231,BQ231,BR231)</f>
        <v>76.800000000000011</v>
      </c>
      <c r="BJ231" s="1" cm="1">
        <f t="array" ref="BJ231">(INDEX(_xlfn._xlws.SORT(CHOOSE({1;2;3;4;5;6},BQ231,BR231,L231,AE231,BO231,BP231)),3) + INDEX(_xlfn._xlws.SORT(CHOOSE({1;2;3;4;5;6},BQ231,BR231,L231,AE231,BO231,BP231)),4))/2</f>
        <v>75.84</v>
      </c>
      <c r="BK231">
        <v>7.9781636171297103</v>
      </c>
      <c r="BL231" t="s">
        <v>6117</v>
      </c>
      <c r="BM231" s="1">
        <f>BK231*3*D231</f>
        <v>76.590370724445222</v>
      </c>
      <c r="BN231" s="1">
        <f>BM231-C231</f>
        <v>-0.20962927555477506</v>
      </c>
      <c r="BO231" s="1">
        <f>GK231*3*D231</f>
        <v>51.840000000000011</v>
      </c>
      <c r="BP231" s="1">
        <f>DO231*3*D231</f>
        <v>74.88</v>
      </c>
      <c r="BQ231" s="1">
        <f>FJ231*3*D231</f>
        <v>76.800000000000011</v>
      </c>
      <c r="BR231" s="1">
        <f>GL231*3*D231</f>
        <v>48</v>
      </c>
      <c r="BT231">
        <v>40.14</v>
      </c>
      <c r="BU231">
        <v>7.4</v>
      </c>
      <c r="BV231" t="s">
        <v>5633</v>
      </c>
      <c r="BW231" t="s">
        <v>5724</v>
      </c>
      <c r="BX231" t="s">
        <v>5751</v>
      </c>
      <c r="BY231" t="s">
        <v>5605</v>
      </c>
      <c r="BZ231" t="s">
        <v>5752</v>
      </c>
      <c r="CA231" t="s">
        <v>2437</v>
      </c>
      <c r="CC231" t="s">
        <v>2438</v>
      </c>
      <c r="CD231" t="s">
        <v>2439</v>
      </c>
      <c r="CE231" t="s">
        <v>2440</v>
      </c>
      <c r="CG231" t="s">
        <v>2647</v>
      </c>
      <c r="CH231" t="s">
        <v>2648</v>
      </c>
      <c r="CI231" t="s">
        <v>2535</v>
      </c>
      <c r="CJ231" t="s">
        <v>2427</v>
      </c>
      <c r="CK231" t="s">
        <v>3004</v>
      </c>
      <c r="CL231" t="s">
        <v>3005</v>
      </c>
      <c r="CM231" t="s">
        <v>2658</v>
      </c>
      <c r="CN231" t="s">
        <v>2659</v>
      </c>
      <c r="CO231" t="s">
        <v>3379</v>
      </c>
      <c r="CP231" t="s">
        <v>3380</v>
      </c>
      <c r="CQ231" t="s">
        <v>2662</v>
      </c>
      <c r="CR231" t="s">
        <v>2663</v>
      </c>
      <c r="CS231" t="s">
        <v>3381</v>
      </c>
      <c r="CT231" t="s">
        <v>3382</v>
      </c>
      <c r="CV231">
        <v>9</v>
      </c>
      <c r="CW231">
        <v>9</v>
      </c>
      <c r="CX231">
        <v>7</v>
      </c>
      <c r="CY231">
        <v>8</v>
      </c>
      <c r="CZ231">
        <v>6</v>
      </c>
      <c r="DA231">
        <v>0.1</v>
      </c>
      <c r="DB231">
        <v>0.1</v>
      </c>
      <c r="DC231">
        <v>0.2</v>
      </c>
      <c r="DD231">
        <v>0.3</v>
      </c>
      <c r="DE231">
        <v>0.3</v>
      </c>
      <c r="DF231">
        <v>0.9</v>
      </c>
      <c r="DG231">
        <v>0.9</v>
      </c>
      <c r="DH231">
        <v>1.4</v>
      </c>
      <c r="DI231">
        <v>2.4</v>
      </c>
      <c r="DJ231">
        <v>1.8</v>
      </c>
      <c r="DK231">
        <v>7.4</v>
      </c>
      <c r="DL231">
        <v>0</v>
      </c>
      <c r="DM231">
        <v>7.4</v>
      </c>
      <c r="DN231">
        <v>9</v>
      </c>
      <c r="DO231">
        <f>AVERAGE(CV231:CZ231)</f>
        <v>7.8</v>
      </c>
      <c r="DQ231">
        <v>8</v>
      </c>
      <c r="DR231" t="s">
        <v>33</v>
      </c>
      <c r="DS231" t="s">
        <v>375</v>
      </c>
      <c r="DT231" t="s">
        <v>425</v>
      </c>
      <c r="DU231" t="s">
        <v>426</v>
      </c>
      <c r="DV231" t="s">
        <v>427</v>
      </c>
      <c r="DW231" t="s">
        <v>3788</v>
      </c>
      <c r="DX231" t="s">
        <v>3789</v>
      </c>
      <c r="DY231" t="s">
        <v>4004</v>
      </c>
      <c r="DZ231" t="s">
        <v>4005</v>
      </c>
      <c r="EA231" t="s">
        <v>4006</v>
      </c>
      <c r="EB231" t="s">
        <v>3793</v>
      </c>
      <c r="EC231" t="s">
        <v>4007</v>
      </c>
      <c r="ED231" t="s">
        <v>4005</v>
      </c>
      <c r="EE231" t="s">
        <v>4687</v>
      </c>
      <c r="EF231" t="s">
        <v>3797</v>
      </c>
      <c r="EG231" t="s">
        <v>4688</v>
      </c>
      <c r="EH231" t="s">
        <v>4005</v>
      </c>
      <c r="EI231" t="s">
        <v>4689</v>
      </c>
      <c r="EJ231" t="s">
        <v>3800</v>
      </c>
      <c r="EK231" t="s">
        <v>4690</v>
      </c>
      <c r="EL231" t="s">
        <v>4005</v>
      </c>
      <c r="EM231" t="s">
        <v>4691</v>
      </c>
      <c r="EN231" t="s">
        <v>3803</v>
      </c>
      <c r="EO231" t="s">
        <v>4692</v>
      </c>
      <c r="EP231" t="s">
        <v>4005</v>
      </c>
      <c r="EQ231">
        <v>8</v>
      </c>
      <c r="ER231">
        <v>8</v>
      </c>
      <c r="ES231">
        <v>8</v>
      </c>
      <c r="ET231">
        <v>8</v>
      </c>
      <c r="EU231">
        <v>8</v>
      </c>
      <c r="EV231">
        <v>0.1</v>
      </c>
      <c r="EW231">
        <v>0.1</v>
      </c>
      <c r="EX231">
        <v>0.2</v>
      </c>
      <c r="EY231">
        <v>0.3</v>
      </c>
      <c r="EZ231">
        <v>0.3</v>
      </c>
      <c r="FA231">
        <f>EV231*EQ231</f>
        <v>0.8</v>
      </c>
      <c r="FB231">
        <f>EW231*ER231</f>
        <v>0.8</v>
      </c>
      <c r="FC231">
        <f>EX231*ES231</f>
        <v>1.6</v>
      </c>
      <c r="FD231">
        <f>EY231*ET231</f>
        <v>2.4</v>
      </c>
      <c r="FE231">
        <f>EZ231*EU231</f>
        <v>2.4</v>
      </c>
      <c r="FF231">
        <v>16</v>
      </c>
      <c r="FG231">
        <v>0</v>
      </c>
      <c r="FH231">
        <v>8</v>
      </c>
      <c r="FI231">
        <f>FA231+FB231+FC231+FD231+FE231</f>
        <v>8</v>
      </c>
      <c r="FJ231">
        <f>MEDIAN(EQ231:EU231)</f>
        <v>8</v>
      </c>
      <c r="FL231">
        <v>38.18</v>
      </c>
      <c r="FM231">
        <v>9</v>
      </c>
      <c r="FN231" t="s">
        <v>1695</v>
      </c>
      <c r="FO231" t="s">
        <v>721</v>
      </c>
      <c r="FP231" t="s">
        <v>1696</v>
      </c>
      <c r="FQ231" t="s">
        <v>1697</v>
      </c>
      <c r="FR231" t="s">
        <v>1698</v>
      </c>
      <c r="FS231">
        <v>5</v>
      </c>
      <c r="FT231">
        <v>4</v>
      </c>
      <c r="FU231">
        <v>3</v>
      </c>
      <c r="FV231">
        <v>6</v>
      </c>
      <c r="FW231">
        <v>7</v>
      </c>
      <c r="FX231">
        <v>0.1</v>
      </c>
      <c r="FY231">
        <v>0.1</v>
      </c>
      <c r="FZ231">
        <v>0.2</v>
      </c>
      <c r="GA231">
        <v>0.3</v>
      </c>
      <c r="GB231">
        <v>0.3</v>
      </c>
      <c r="GC231">
        <f>FS231*FX231</f>
        <v>0.5</v>
      </c>
      <c r="GD231">
        <f>FT231*FY231</f>
        <v>0.4</v>
      </c>
      <c r="GE231">
        <f>FU231*FZ231</f>
        <v>0.60000000000000009</v>
      </c>
      <c r="GF231">
        <f>FV231*GA231</f>
        <v>1.7999999999999998</v>
      </c>
      <c r="GG231">
        <f>FW231*GB231</f>
        <v>2.1</v>
      </c>
      <c r="GH231">
        <v>9</v>
      </c>
      <c r="GI231">
        <v>0</v>
      </c>
      <c r="GJ231">
        <v>9</v>
      </c>
      <c r="GK231">
        <f>GC231+GD231+GE231+GF231+GG231</f>
        <v>5.4</v>
      </c>
      <c r="GL231">
        <f>MEDIAN(FS231:FW231)</f>
        <v>5</v>
      </c>
    </row>
    <row r="232" spans="1:194" hidden="1" x14ac:dyDescent="0.25">
      <c r="A232">
        <v>231</v>
      </c>
      <c r="B232" t="s">
        <v>2</v>
      </c>
      <c r="C232" s="4">
        <v>62.4</v>
      </c>
      <c r="D232">
        <v>3.2</v>
      </c>
      <c r="E232" s="1">
        <f>C232/3/D232</f>
        <v>6.5</v>
      </c>
      <c r="G232">
        <v>37.630000000000003</v>
      </c>
      <c r="H232">
        <v>8.6999999999999993</v>
      </c>
      <c r="I232">
        <f>H232*D232*3</f>
        <v>83.52</v>
      </c>
      <c r="J232">
        <v>18.260000000000002</v>
      </c>
      <c r="K232">
        <v>9</v>
      </c>
      <c r="L232" s="3">
        <f>K232*3*D232</f>
        <v>86.4</v>
      </c>
      <c r="M232">
        <v>4.92</v>
      </c>
      <c r="N232">
        <v>4</v>
      </c>
      <c r="O232">
        <f>N232*D232*3</f>
        <v>38.400000000000006</v>
      </c>
      <c r="P232" s="5">
        <v>8.6999999999999993</v>
      </c>
      <c r="Q232" s="5">
        <f>P232*D232*3</f>
        <v>83.52</v>
      </c>
      <c r="S232" t="s">
        <v>6362</v>
      </c>
      <c r="T232">
        <v>7.5</v>
      </c>
      <c r="U232" s="8">
        <f>T232*D232*3</f>
        <v>72</v>
      </c>
      <c r="V232">
        <v>34.909999999999997</v>
      </c>
      <c r="W232">
        <v>8.4</v>
      </c>
      <c r="X232" s="5">
        <f>W232*D232*3</f>
        <v>80.640000000000015</v>
      </c>
      <c r="Y232">
        <v>11.08</v>
      </c>
      <c r="Z232">
        <v>7.5</v>
      </c>
      <c r="AA232">
        <f>Z232*D232*3</f>
        <v>72</v>
      </c>
      <c r="AC232">
        <v>47.89</v>
      </c>
      <c r="AD232">
        <v>8</v>
      </c>
      <c r="AE232" s="1">
        <f>AD232*3*D232</f>
        <v>76.800000000000011</v>
      </c>
      <c r="AF232">
        <v>11.83</v>
      </c>
      <c r="AG232" s="5">
        <v>7</v>
      </c>
      <c r="AH232" s="5">
        <f>AG232*D232*3</f>
        <v>67.2</v>
      </c>
      <c r="AI232" s="13"/>
      <c r="AJ232">
        <v>36.5</v>
      </c>
      <c r="AK232" s="8">
        <f>AJ232*D232*3</f>
        <v>350.40000000000003</v>
      </c>
      <c r="AL232" s="13"/>
      <c r="AM232">
        <v>31.71</v>
      </c>
      <c r="AN232">
        <v>7.7</v>
      </c>
      <c r="AO232" s="8">
        <f>AN232*D232*3</f>
        <v>73.92</v>
      </c>
      <c r="AP232">
        <v>15.07</v>
      </c>
      <c r="AQ232">
        <v>10</v>
      </c>
      <c r="AR232">
        <f>AQ232*D232*3</f>
        <v>96</v>
      </c>
      <c r="AT232">
        <v>9.1999999999999993</v>
      </c>
      <c r="AU232">
        <f>AT232*D232*3</f>
        <v>88.32</v>
      </c>
      <c r="AW232">
        <v>26.63</v>
      </c>
      <c r="AX232">
        <v>9.4</v>
      </c>
      <c r="AY232">
        <f>AX232*D232*3</f>
        <v>90.240000000000009</v>
      </c>
      <c r="AZ232">
        <v>26.63</v>
      </c>
      <c r="BA232">
        <v>7.9</v>
      </c>
      <c r="BB232">
        <f>BA232*D232*3</f>
        <v>75.84</v>
      </c>
      <c r="BD232">
        <v>9</v>
      </c>
      <c r="BE232">
        <f>BD232*D232*3</f>
        <v>86.4</v>
      </c>
      <c r="BG232" s="10"/>
      <c r="BH232" s="1">
        <f>CHOOSE(MATCH(MIN(ABS(BP232-C232),ABS(BQ232-C232),ABS(BR232-C232)),CHOOSE({1;2;3},ABS(BP232-C232),ABS(BQ232-C232),ABS(BR232-C232)),0),BP232,BQ232,BR232)</f>
        <v>57.6</v>
      </c>
      <c r="BJ232" s="1" cm="1">
        <f t="array" ref="BJ232">(INDEX(_xlfn._xlws.SORT(CHOOSE({1;2;3;4;5;6},BQ232,BR232,L232,AE232,BO232,BP232)),3) + INDEX(_xlfn._xlws.SORT(CHOOSE({1;2;3;4;5;6},BQ232,BR232,L232,AE232,BO232,BP232)),4))/2</f>
        <v>76.800000000000011</v>
      </c>
      <c r="BK232">
        <v>6.6049745728679898</v>
      </c>
      <c r="BL232" t="s">
        <v>6117</v>
      </c>
      <c r="BM232" s="1">
        <f>BK232*3*D232</f>
        <v>63.40775589953271</v>
      </c>
      <c r="BN232" s="1">
        <f>BM232-C232</f>
        <v>1.0077558995327109</v>
      </c>
      <c r="BO232" s="1">
        <f>GK232*3*D232</f>
        <v>54.720000000000006</v>
      </c>
      <c r="BP232" s="1">
        <f>DO232*3*D232</f>
        <v>84.480000000000018</v>
      </c>
      <c r="BQ232" s="1">
        <f>FJ232*3*D232</f>
        <v>76.800000000000011</v>
      </c>
      <c r="BR232" s="1">
        <f>GL232*3*D232</f>
        <v>57.6</v>
      </c>
      <c r="BT232">
        <v>37.630000000000003</v>
      </c>
      <c r="BU232">
        <v>8.6999999999999993</v>
      </c>
      <c r="BV232" t="s">
        <v>5753</v>
      </c>
      <c r="BW232" t="s">
        <v>5754</v>
      </c>
      <c r="BX232" t="s">
        <v>5095</v>
      </c>
      <c r="BY232" t="s">
        <v>5755</v>
      </c>
      <c r="BZ232" t="s">
        <v>5756</v>
      </c>
      <c r="CA232" t="s">
        <v>2437</v>
      </c>
      <c r="CC232" t="s">
        <v>2694</v>
      </c>
      <c r="CD232" t="s">
        <v>2508</v>
      </c>
      <c r="CE232" t="s">
        <v>2440</v>
      </c>
      <c r="CG232" t="s">
        <v>2509</v>
      </c>
      <c r="CH232" t="s">
        <v>2510</v>
      </c>
      <c r="CI232" t="s">
        <v>2443</v>
      </c>
      <c r="CK232" t="s">
        <v>2511</v>
      </c>
      <c r="CL232" t="s">
        <v>2512</v>
      </c>
      <c r="CM232" t="s">
        <v>2446</v>
      </c>
      <c r="CO232" t="s">
        <v>3383</v>
      </c>
      <c r="CP232" t="s">
        <v>2514</v>
      </c>
      <c r="CQ232" t="s">
        <v>2449</v>
      </c>
      <c r="CR232" t="s">
        <v>2515</v>
      </c>
      <c r="CS232" t="s">
        <v>2516</v>
      </c>
      <c r="CT232" t="s">
        <v>3014</v>
      </c>
      <c r="CV232">
        <v>9</v>
      </c>
      <c r="CW232">
        <v>9</v>
      </c>
      <c r="CX232">
        <v>9</v>
      </c>
      <c r="CY232">
        <v>9</v>
      </c>
      <c r="CZ232">
        <v>8</v>
      </c>
      <c r="DA232">
        <v>0.1</v>
      </c>
      <c r="DB232">
        <v>0.1</v>
      </c>
      <c r="DC232">
        <v>0.2</v>
      </c>
      <c r="DD232">
        <v>0.3</v>
      </c>
      <c r="DE232">
        <v>0.3</v>
      </c>
      <c r="DF232">
        <v>0.9</v>
      </c>
      <c r="DG232">
        <v>0.9</v>
      </c>
      <c r="DH232">
        <v>1.8</v>
      </c>
      <c r="DI232">
        <v>2.7</v>
      </c>
      <c r="DJ232">
        <v>2.4</v>
      </c>
      <c r="DK232">
        <v>8.6999999999999993</v>
      </c>
      <c r="DL232">
        <v>0</v>
      </c>
      <c r="DM232">
        <v>8.6999999999999993</v>
      </c>
      <c r="DN232">
        <v>9</v>
      </c>
      <c r="DO232">
        <f>AVERAGE(CV232:CZ232)</f>
        <v>8.8000000000000007</v>
      </c>
      <c r="DQ232">
        <v>8</v>
      </c>
      <c r="DR232" t="s">
        <v>33</v>
      </c>
      <c r="DS232" t="s">
        <v>284</v>
      </c>
      <c r="DT232" t="s">
        <v>224</v>
      </c>
      <c r="DU232" t="s">
        <v>225</v>
      </c>
      <c r="DV232" t="s">
        <v>407</v>
      </c>
      <c r="DW232" t="s">
        <v>3788</v>
      </c>
      <c r="DX232" t="s">
        <v>3789</v>
      </c>
      <c r="DY232" t="s">
        <v>3790</v>
      </c>
      <c r="DZ232" t="s">
        <v>3933</v>
      </c>
      <c r="EA232" t="s">
        <v>3934</v>
      </c>
      <c r="EB232" t="s">
        <v>3793</v>
      </c>
      <c r="EC232" t="s">
        <v>3935</v>
      </c>
      <c r="ED232" t="s">
        <v>4693</v>
      </c>
      <c r="EE232" t="s">
        <v>3978</v>
      </c>
      <c r="EF232" t="s">
        <v>3797</v>
      </c>
      <c r="EG232" t="s">
        <v>4263</v>
      </c>
      <c r="EH232" t="s">
        <v>4694</v>
      </c>
      <c r="EI232" t="s">
        <v>4265</v>
      </c>
      <c r="EJ232" t="s">
        <v>3800</v>
      </c>
      <c r="EK232" t="s">
        <v>4266</v>
      </c>
      <c r="EL232" t="s">
        <v>4695</v>
      </c>
      <c r="EM232" t="s">
        <v>3943</v>
      </c>
      <c r="EN232" t="s">
        <v>3803</v>
      </c>
      <c r="EO232" t="s">
        <v>4651</v>
      </c>
      <c r="EP232" t="s">
        <v>4696</v>
      </c>
      <c r="EQ232">
        <v>8</v>
      </c>
      <c r="ER232">
        <v>8</v>
      </c>
      <c r="ES232">
        <v>8</v>
      </c>
      <c r="ET232">
        <v>8</v>
      </c>
      <c r="EU232">
        <v>8</v>
      </c>
      <c r="EV232">
        <v>0.1</v>
      </c>
      <c r="EW232">
        <v>0.1</v>
      </c>
      <c r="EX232">
        <v>0.2</v>
      </c>
      <c r="EY232">
        <v>0.3</v>
      </c>
      <c r="EZ232">
        <v>0.3</v>
      </c>
      <c r="FA232">
        <f>EV232*EQ232</f>
        <v>0.8</v>
      </c>
      <c r="FB232">
        <f>EW232*ER232</f>
        <v>0.8</v>
      </c>
      <c r="FC232">
        <f>EX232*ES232</f>
        <v>1.6</v>
      </c>
      <c r="FD232">
        <f>EY232*ET232</f>
        <v>2.4</v>
      </c>
      <c r="FE232">
        <f>EZ232*EU232</f>
        <v>2.4</v>
      </c>
      <c r="FF232">
        <v>17</v>
      </c>
      <c r="FG232">
        <v>0</v>
      </c>
      <c r="FH232">
        <v>8</v>
      </c>
      <c r="FI232">
        <f>FA232+FB232+FC232+FD232+FE232</f>
        <v>8</v>
      </c>
      <c r="FJ232">
        <f>MEDIAN(EQ232:EU232)</f>
        <v>8</v>
      </c>
      <c r="FL232">
        <v>42.13</v>
      </c>
      <c r="FM232">
        <v>5.7</v>
      </c>
      <c r="FN232" t="s">
        <v>1699</v>
      </c>
      <c r="FO232" t="s">
        <v>1700</v>
      </c>
      <c r="FP232" t="s">
        <v>1701</v>
      </c>
      <c r="FQ232" t="s">
        <v>1702</v>
      </c>
      <c r="FR232" t="s">
        <v>1703</v>
      </c>
      <c r="FS232">
        <v>6</v>
      </c>
      <c r="FT232">
        <v>8</v>
      </c>
      <c r="FU232">
        <v>5</v>
      </c>
      <c r="FV232">
        <v>7</v>
      </c>
      <c r="FW232">
        <v>4</v>
      </c>
      <c r="FX232">
        <v>0.1</v>
      </c>
      <c r="FY232">
        <v>0.1</v>
      </c>
      <c r="FZ232">
        <v>0.2</v>
      </c>
      <c r="GA232">
        <v>0.3</v>
      </c>
      <c r="GB232">
        <v>0.3</v>
      </c>
      <c r="GC232">
        <f>FS232*FX232</f>
        <v>0.60000000000000009</v>
      </c>
      <c r="GD232">
        <f>FT232*FY232</f>
        <v>0.8</v>
      </c>
      <c r="GE232">
        <f>FU232*FZ232</f>
        <v>1</v>
      </c>
      <c r="GF232">
        <f>FV232*GA232</f>
        <v>2.1</v>
      </c>
      <c r="GG232">
        <f>FW232*GB232</f>
        <v>1.2</v>
      </c>
      <c r="GH232">
        <v>5.7</v>
      </c>
      <c r="GJ232">
        <v>5.7</v>
      </c>
      <c r="GK232">
        <f>GC232+GD232+GE232+GF232+GG232</f>
        <v>5.7</v>
      </c>
      <c r="GL232">
        <f>MEDIAN(FS232:FW232)</f>
        <v>6</v>
      </c>
    </row>
    <row r="233" spans="1:194" x14ac:dyDescent="0.25">
      <c r="A233">
        <v>159</v>
      </c>
      <c r="B233" t="s">
        <v>2</v>
      </c>
      <c r="C233" s="4">
        <v>86.4</v>
      </c>
      <c r="D233">
        <v>3.6</v>
      </c>
      <c r="E233" s="1">
        <f>C233/3/D233</f>
        <v>8</v>
      </c>
      <c r="G233">
        <v>38.58</v>
      </c>
      <c r="H233">
        <v>8</v>
      </c>
      <c r="I233">
        <f>H233*D233*3</f>
        <v>86.4</v>
      </c>
      <c r="J233">
        <v>16.66</v>
      </c>
      <c r="K233">
        <v>8.4</v>
      </c>
      <c r="L233" s="3">
        <f>K233*3*D233</f>
        <v>90.720000000000013</v>
      </c>
      <c r="M233">
        <v>4.78</v>
      </c>
      <c r="N233">
        <v>5.7</v>
      </c>
      <c r="O233">
        <f>N233*D233*3</f>
        <v>61.56</v>
      </c>
      <c r="P233" s="5">
        <v>7</v>
      </c>
      <c r="Q233" s="5">
        <f>P233*D233*3</f>
        <v>75.599999999999994</v>
      </c>
      <c r="S233" t="s">
        <v>6293</v>
      </c>
      <c r="T233">
        <v>7.4</v>
      </c>
      <c r="U233" s="8">
        <f>T233*D233*3</f>
        <v>79.92</v>
      </c>
      <c r="V233">
        <v>33.56</v>
      </c>
      <c r="W233">
        <v>8.4</v>
      </c>
      <c r="X233" s="5">
        <f>W233*D233*3</f>
        <v>90.72</v>
      </c>
      <c r="Y233">
        <v>11.22</v>
      </c>
      <c r="Z233">
        <v>6.5</v>
      </c>
      <c r="AA233">
        <f>Z233*D233*3</f>
        <v>70.2</v>
      </c>
      <c r="AC233">
        <v>46.82</v>
      </c>
      <c r="AD233">
        <v>7.9</v>
      </c>
      <c r="AE233" s="1">
        <f>AD233*3*D233</f>
        <v>85.320000000000007</v>
      </c>
      <c r="AF233">
        <v>12.32</v>
      </c>
      <c r="AG233" s="5">
        <v>7</v>
      </c>
      <c r="AH233" s="5">
        <f>AG233*D233*3</f>
        <v>75.599999999999994</v>
      </c>
      <c r="AI233" s="13"/>
      <c r="AJ233">
        <v>26.5</v>
      </c>
      <c r="AK233" s="8">
        <f>AJ233*D233*3</f>
        <v>286.20000000000005</v>
      </c>
      <c r="AL233" s="13"/>
      <c r="AM233">
        <v>30.43</v>
      </c>
      <c r="AN233">
        <v>7.2</v>
      </c>
      <c r="AO233" s="8">
        <f>AN233*D233*3</f>
        <v>77.760000000000005</v>
      </c>
      <c r="AP233">
        <v>14.63</v>
      </c>
      <c r="AQ233">
        <v>10</v>
      </c>
      <c r="AR233">
        <f>AQ233*D233*3</f>
        <v>108</v>
      </c>
      <c r="AT233">
        <v>9</v>
      </c>
      <c r="AU233">
        <f>AT233*D233*3</f>
        <v>97.199999999999989</v>
      </c>
      <c r="AW233">
        <v>24.33</v>
      </c>
      <c r="AX233">
        <v>9.9</v>
      </c>
      <c r="AY233">
        <f>AX233*D233*3</f>
        <v>106.92</v>
      </c>
      <c r="AZ233">
        <v>24.33</v>
      </c>
      <c r="BA233">
        <v>9</v>
      </c>
      <c r="BB233">
        <f>BA233*D233*3</f>
        <v>97.199999999999989</v>
      </c>
      <c r="BD233">
        <v>8.6</v>
      </c>
      <c r="BE233">
        <f>BD233*D233*3</f>
        <v>92.88</v>
      </c>
      <c r="BG233" s="10"/>
      <c r="BH233" s="1">
        <f>CHOOSE(MATCH(MIN(ABS(BP233-C233),ABS(BQ233-C233),ABS(BR233-C233)),CHOOSE({1;2;3},ABS(BP233-C233),ABS(BQ233-C233),ABS(BR233-C233)),0),BP233,BQ233,BR233)</f>
        <v>86.4</v>
      </c>
      <c r="BJ233" s="1" cm="1">
        <f t="array" ref="BJ233">(INDEX(_xlfn._xlws.SORT(CHOOSE({1;2;3;4;5;6},BQ233,BR233,L233,AE233,BO233,BP233)),3) + INDEX(_xlfn._xlws.SORT(CHOOSE({1;2;3;4;5;6},BQ233,BR233,L233,AE233,BO233,BP233)),4))/2</f>
        <v>85.860000000000014</v>
      </c>
      <c r="BK233">
        <v>8.6606389320097392</v>
      </c>
      <c r="BL233" s="11" t="s">
        <v>6116</v>
      </c>
      <c r="BM233" s="1">
        <f>BK233*3*D233</f>
        <v>93.534900465705192</v>
      </c>
      <c r="BN233" s="1">
        <f>BM233-C233</f>
        <v>7.1349004657051864</v>
      </c>
      <c r="BO233" s="1">
        <f>GK233*3*D233</f>
        <v>56.16</v>
      </c>
      <c r="BP233" s="1">
        <f>DO233*3*D233</f>
        <v>97.2</v>
      </c>
      <c r="BQ233" s="1">
        <f>FJ233*3*D233</f>
        <v>86.4</v>
      </c>
      <c r="BR233" s="1">
        <f>GL233*3*D233</f>
        <v>43.2</v>
      </c>
      <c r="BT233">
        <v>38.58</v>
      </c>
      <c r="BU233">
        <v>8</v>
      </c>
      <c r="BV233" t="s">
        <v>5315</v>
      </c>
      <c r="BW233" t="s">
        <v>5056</v>
      </c>
      <c r="BX233" t="s">
        <v>5057</v>
      </c>
      <c r="BY233" t="s">
        <v>5523</v>
      </c>
      <c r="BZ233" t="s">
        <v>5059</v>
      </c>
      <c r="CA233" t="s">
        <v>2437</v>
      </c>
      <c r="CC233" t="s">
        <v>2438</v>
      </c>
      <c r="CD233" t="s">
        <v>2439</v>
      </c>
      <c r="CE233" t="s">
        <v>2440</v>
      </c>
      <c r="CG233" t="s">
        <v>2647</v>
      </c>
      <c r="CH233" t="s">
        <v>2648</v>
      </c>
      <c r="CI233" t="s">
        <v>2535</v>
      </c>
      <c r="CK233" t="s">
        <v>2649</v>
      </c>
      <c r="CL233" t="s">
        <v>2650</v>
      </c>
      <c r="CM233" t="s">
        <v>2658</v>
      </c>
      <c r="CO233" t="s">
        <v>3140</v>
      </c>
      <c r="CP233" t="s">
        <v>3141</v>
      </c>
      <c r="CQ233" t="s">
        <v>2666</v>
      </c>
      <c r="CS233" t="s">
        <v>3142</v>
      </c>
      <c r="CT233" t="s">
        <v>3143</v>
      </c>
      <c r="CV233">
        <v>9</v>
      </c>
      <c r="CW233">
        <v>9</v>
      </c>
      <c r="CX233">
        <v>9</v>
      </c>
      <c r="CY233">
        <v>9</v>
      </c>
      <c r="CZ233">
        <v>9</v>
      </c>
      <c r="DA233">
        <v>0.1</v>
      </c>
      <c r="DB233">
        <v>0.1</v>
      </c>
      <c r="DC233">
        <v>0.2</v>
      </c>
      <c r="DD233">
        <v>0.3</v>
      </c>
      <c r="DE233">
        <v>0.3</v>
      </c>
      <c r="DF233">
        <v>0.9</v>
      </c>
      <c r="DG233">
        <v>0.9</v>
      </c>
      <c r="DH233">
        <v>1.8</v>
      </c>
      <c r="DI233">
        <v>2.7</v>
      </c>
      <c r="DJ233">
        <v>2.7</v>
      </c>
      <c r="DK233">
        <v>8</v>
      </c>
      <c r="DL233">
        <v>0</v>
      </c>
      <c r="DM233">
        <v>8</v>
      </c>
      <c r="DN233">
        <v>8.4</v>
      </c>
      <c r="DO233">
        <f>AVERAGE(CV233:CZ233)</f>
        <v>9</v>
      </c>
      <c r="DQ233">
        <v>8</v>
      </c>
      <c r="DR233" t="s">
        <v>28</v>
      </c>
      <c r="DS233" t="s">
        <v>43</v>
      </c>
      <c r="DT233" t="s">
        <v>337</v>
      </c>
      <c r="DU233" t="s">
        <v>283</v>
      </c>
      <c r="DV233" t="s">
        <v>158</v>
      </c>
      <c r="DW233" t="s">
        <v>3769</v>
      </c>
      <c r="DX233" t="s">
        <v>3770</v>
      </c>
      <c r="DY233" t="s">
        <v>3771</v>
      </c>
      <c r="DZ233" t="s">
        <v>3772</v>
      </c>
      <c r="EA233" t="s">
        <v>3806</v>
      </c>
      <c r="EB233" t="s">
        <v>3807</v>
      </c>
      <c r="EC233" t="s">
        <v>3775</v>
      </c>
      <c r="ED233" t="s">
        <v>3776</v>
      </c>
      <c r="EE233" t="s">
        <v>4240</v>
      </c>
      <c r="EF233" t="s">
        <v>3809</v>
      </c>
      <c r="EG233" t="s">
        <v>4200</v>
      </c>
      <c r="EH233" t="s">
        <v>4201</v>
      </c>
      <c r="EI233" t="s">
        <v>4523</v>
      </c>
      <c r="EJ233" t="s">
        <v>3813</v>
      </c>
      <c r="EK233" t="s">
        <v>4049</v>
      </c>
      <c r="EL233" t="s">
        <v>3815</v>
      </c>
      <c r="EM233" t="s">
        <v>3816</v>
      </c>
      <c r="EN233" t="s">
        <v>4050</v>
      </c>
      <c r="EO233" t="s">
        <v>4203</v>
      </c>
      <c r="EP233" t="s">
        <v>3818</v>
      </c>
      <c r="EQ233">
        <v>7</v>
      </c>
      <c r="ER233">
        <v>8</v>
      </c>
      <c r="ES233">
        <v>8</v>
      </c>
      <c r="ET233">
        <v>8</v>
      </c>
      <c r="EU233">
        <v>8</v>
      </c>
      <c r="EV233">
        <v>0.1</v>
      </c>
      <c r="EW233">
        <v>0.1</v>
      </c>
      <c r="EX233">
        <v>0.2</v>
      </c>
      <c r="EY233">
        <v>0.3</v>
      </c>
      <c r="EZ233">
        <v>0.3</v>
      </c>
      <c r="FA233">
        <f>EV233*EQ233</f>
        <v>0.70000000000000007</v>
      </c>
      <c r="FB233">
        <f>EW233*ER233</f>
        <v>0.8</v>
      </c>
      <c r="FC233">
        <f>EX233*ES233</f>
        <v>1.6</v>
      </c>
      <c r="FD233">
        <f>EY233*ET233</f>
        <v>2.4</v>
      </c>
      <c r="FE233">
        <f>EZ233*EU233</f>
        <v>2.4</v>
      </c>
      <c r="FF233">
        <v>15</v>
      </c>
      <c r="FG233">
        <v>0</v>
      </c>
      <c r="FH233">
        <v>15</v>
      </c>
      <c r="FI233">
        <f>FA233+FB233+FC233+FD233+FE233</f>
        <v>7.9</v>
      </c>
      <c r="FJ233">
        <f>MEDIAN(EQ233:EU233)</f>
        <v>8</v>
      </c>
      <c r="FL233">
        <v>39.32</v>
      </c>
      <c r="FM233">
        <v>9</v>
      </c>
      <c r="FN233" t="s">
        <v>1354</v>
      </c>
      <c r="FO233" t="s">
        <v>1018</v>
      </c>
      <c r="FP233" t="s">
        <v>1355</v>
      </c>
      <c r="FQ233" t="s">
        <v>1356</v>
      </c>
      <c r="FR233" t="s">
        <v>1357</v>
      </c>
      <c r="FS233">
        <v>2</v>
      </c>
      <c r="FT233">
        <v>3</v>
      </c>
      <c r="FU233">
        <v>4</v>
      </c>
      <c r="FV233">
        <v>6</v>
      </c>
      <c r="FW233">
        <v>7</v>
      </c>
      <c r="FX233">
        <v>0.1</v>
      </c>
      <c r="FY233">
        <v>0.1</v>
      </c>
      <c r="FZ233">
        <v>0.2</v>
      </c>
      <c r="GA233">
        <v>0.3</v>
      </c>
      <c r="GB233">
        <v>0.3</v>
      </c>
      <c r="GC233">
        <f>FS233*FX233</f>
        <v>0.2</v>
      </c>
      <c r="GD233">
        <f>FT233*FY233</f>
        <v>0.30000000000000004</v>
      </c>
      <c r="GE233">
        <f>FU233*FZ233</f>
        <v>0.8</v>
      </c>
      <c r="GF233">
        <f>FV233*GA233</f>
        <v>1.7999999999999998</v>
      </c>
      <c r="GG233">
        <f>FW233*GB233</f>
        <v>2.1</v>
      </c>
      <c r="GH233">
        <v>9</v>
      </c>
      <c r="GI233">
        <v>0</v>
      </c>
      <c r="GJ233">
        <v>9</v>
      </c>
      <c r="GK233">
        <f>GC233+GD233+GE233+GF233+GG233</f>
        <v>5.1999999999999993</v>
      </c>
      <c r="GL233">
        <f>MEDIAN(FS233:FW233)</f>
        <v>4</v>
      </c>
    </row>
    <row r="234" spans="1:194" hidden="1" x14ac:dyDescent="0.25">
      <c r="A234">
        <v>233</v>
      </c>
      <c r="B234" t="s">
        <v>2</v>
      </c>
      <c r="C234" s="4">
        <v>85.8</v>
      </c>
      <c r="D234">
        <v>3.3</v>
      </c>
      <c r="E234" s="1">
        <f>C234/3/D234</f>
        <v>8.6666666666666661</v>
      </c>
      <c r="G234">
        <v>38.51</v>
      </c>
      <c r="H234">
        <v>8.1</v>
      </c>
      <c r="I234">
        <f>H234*D234*3</f>
        <v>80.19</v>
      </c>
      <c r="J234">
        <v>16.64</v>
      </c>
      <c r="K234">
        <v>9</v>
      </c>
      <c r="L234" s="3">
        <f>K234*3*D234</f>
        <v>89.1</v>
      </c>
      <c r="M234">
        <v>4.88</v>
      </c>
      <c r="N234">
        <v>5.4</v>
      </c>
      <c r="O234">
        <f>N234*D234*3</f>
        <v>53.46</v>
      </c>
      <c r="P234" s="5">
        <v>7.2</v>
      </c>
      <c r="Q234" s="5">
        <f>P234*D234*3</f>
        <v>71.28</v>
      </c>
      <c r="S234" t="s">
        <v>6364</v>
      </c>
      <c r="T234">
        <v>4.3</v>
      </c>
      <c r="U234" s="8">
        <f>T234*D234*3</f>
        <v>42.57</v>
      </c>
      <c r="V234">
        <v>35.11</v>
      </c>
      <c r="W234">
        <v>8.4</v>
      </c>
      <c r="X234" s="5">
        <f>W234*D234*3</f>
        <v>83.16</v>
      </c>
      <c r="Y234">
        <v>8.76</v>
      </c>
      <c r="Z234">
        <v>6</v>
      </c>
      <c r="AA234">
        <f>Z234*D234*3</f>
        <v>59.399999999999991</v>
      </c>
      <c r="AC234">
        <v>48.53</v>
      </c>
      <c r="AD234">
        <v>7.4</v>
      </c>
      <c r="AE234" s="1">
        <f>AD234*3*D234</f>
        <v>73.260000000000005</v>
      </c>
      <c r="AF234">
        <v>12.01</v>
      </c>
      <c r="AG234" s="5">
        <v>7</v>
      </c>
      <c r="AH234" s="5">
        <f>AG234*D234*3</f>
        <v>69.3</v>
      </c>
      <c r="AI234" s="13"/>
      <c r="AK234" s="8">
        <f>AJ234*D234*3</f>
        <v>0</v>
      </c>
      <c r="AL234" s="13"/>
      <c r="AM234">
        <v>29.99</v>
      </c>
      <c r="AN234">
        <v>7.5</v>
      </c>
      <c r="AO234" s="8">
        <f>AN234*D234*3</f>
        <v>74.25</v>
      </c>
      <c r="AP234">
        <v>12.8</v>
      </c>
      <c r="AQ234">
        <v>9.5</v>
      </c>
      <c r="AR234">
        <f>AQ234*D234*3</f>
        <v>94.05</v>
      </c>
      <c r="AT234">
        <v>8.1999999999999993</v>
      </c>
      <c r="AU234">
        <f>AT234*D234*3</f>
        <v>81.179999999999978</v>
      </c>
      <c r="AW234">
        <v>23.97</v>
      </c>
      <c r="AX234">
        <v>8.1999999999999993</v>
      </c>
      <c r="AY234">
        <f>AX234*D234*3</f>
        <v>81.179999999999978</v>
      </c>
      <c r="AZ234">
        <v>23.97</v>
      </c>
      <c r="BA234">
        <v>9.1</v>
      </c>
      <c r="BB234">
        <f>BA234*D234*3</f>
        <v>90.089999999999989</v>
      </c>
      <c r="BD234">
        <v>8.9</v>
      </c>
      <c r="BE234">
        <f>BD234*D234*3</f>
        <v>88.11</v>
      </c>
      <c r="BG234" s="10"/>
      <c r="BH234" s="1">
        <f>CHOOSE(MATCH(MIN(ABS(BP234-C234),ABS(BQ234-C234),ABS(BR234-C234)),CHOOSE({1;2;3},ABS(BP234-C234),ABS(BQ234-C234),ABS(BR234-C234)),0),BP234,BQ234,BR234)</f>
        <v>87.12</v>
      </c>
      <c r="BJ234" s="1" cm="1">
        <f t="array" ref="BJ234">(INDEX(_xlfn._xlws.SORT(CHOOSE({1;2;3;4;5;6},BQ234,BR234,L234,AE234,BO234,BP234)),3) + INDEX(_xlfn._xlws.SORT(CHOOSE({1;2;3;4;5;6},BQ234,BR234,L234,AE234,BO234,BP234)),4))/2</f>
        <v>71.28</v>
      </c>
      <c r="BK234">
        <v>8.6623240329708207</v>
      </c>
      <c r="BL234" t="s">
        <v>6117</v>
      </c>
      <c r="BM234" s="1">
        <f>BK234*3*D234</f>
        <v>85.75700792641112</v>
      </c>
      <c r="BN234" s="1">
        <f>BM234-C234</f>
        <v>-4.2992073588877133E-2</v>
      </c>
      <c r="BO234" s="1">
        <f>GK234*3*D234</f>
        <v>45.045000000000002</v>
      </c>
      <c r="BP234" s="1">
        <f>DO234*3*D234</f>
        <v>87.12</v>
      </c>
      <c r="BQ234" s="1">
        <f>FJ234*3*D234</f>
        <v>69.3</v>
      </c>
      <c r="BR234" s="1">
        <f>GL234*3*D234</f>
        <v>49.5</v>
      </c>
      <c r="BT234">
        <v>38.51</v>
      </c>
      <c r="BU234">
        <v>8.1</v>
      </c>
      <c r="BV234" t="s">
        <v>4991</v>
      </c>
      <c r="BW234" t="s">
        <v>4999</v>
      </c>
      <c r="BX234" t="s">
        <v>5060</v>
      </c>
      <c r="BY234" t="s">
        <v>5061</v>
      </c>
      <c r="BZ234" t="s">
        <v>5758</v>
      </c>
      <c r="CA234" t="s">
        <v>2420</v>
      </c>
      <c r="CC234" t="s">
        <v>2491</v>
      </c>
      <c r="CD234" t="s">
        <v>2492</v>
      </c>
      <c r="CE234" t="s">
        <v>2572</v>
      </c>
      <c r="CG234" t="s">
        <v>2494</v>
      </c>
      <c r="CH234" t="s">
        <v>2574</v>
      </c>
      <c r="CI234" t="s">
        <v>2575</v>
      </c>
      <c r="CJ234" t="s">
        <v>2427</v>
      </c>
      <c r="CK234" t="s">
        <v>2609</v>
      </c>
      <c r="CL234" t="s">
        <v>2610</v>
      </c>
      <c r="CM234" t="s">
        <v>3112</v>
      </c>
      <c r="CO234" t="s">
        <v>3113</v>
      </c>
      <c r="CP234" t="s">
        <v>3114</v>
      </c>
      <c r="CQ234" t="s">
        <v>2613</v>
      </c>
      <c r="CR234" t="s">
        <v>3384</v>
      </c>
      <c r="CS234" t="s">
        <v>3385</v>
      </c>
      <c r="CT234" t="s">
        <v>3386</v>
      </c>
      <c r="CV234">
        <v>9</v>
      </c>
      <c r="CW234">
        <v>9</v>
      </c>
      <c r="CX234">
        <v>8</v>
      </c>
      <c r="CY234">
        <v>9</v>
      </c>
      <c r="CZ234">
        <v>9</v>
      </c>
      <c r="DA234">
        <v>0.1</v>
      </c>
      <c r="DB234">
        <v>0.1</v>
      </c>
      <c r="DC234">
        <v>0.2</v>
      </c>
      <c r="DD234">
        <v>0.3</v>
      </c>
      <c r="DE234">
        <v>0.3</v>
      </c>
      <c r="DF234">
        <v>0.9</v>
      </c>
      <c r="DG234">
        <v>0.9</v>
      </c>
      <c r="DH234">
        <v>1.6</v>
      </c>
      <c r="DI234">
        <v>2.7</v>
      </c>
      <c r="DJ234">
        <v>2.7</v>
      </c>
      <c r="DK234">
        <v>8.1</v>
      </c>
      <c r="DL234">
        <v>0</v>
      </c>
      <c r="DM234">
        <v>8.1</v>
      </c>
      <c r="DN234">
        <v>9</v>
      </c>
      <c r="DO234">
        <f>AVERAGE(CV234:CZ234)</f>
        <v>8.8000000000000007</v>
      </c>
      <c r="DQ234">
        <v>8</v>
      </c>
      <c r="DR234" t="s">
        <v>28</v>
      </c>
      <c r="DS234" t="s">
        <v>43</v>
      </c>
      <c r="DT234" t="s">
        <v>44</v>
      </c>
      <c r="DU234" t="s">
        <v>45</v>
      </c>
      <c r="DV234" t="s">
        <v>326</v>
      </c>
      <c r="DW234" t="s">
        <v>3769</v>
      </c>
      <c r="DX234" t="s">
        <v>3770</v>
      </c>
      <c r="DY234" t="s">
        <v>3771</v>
      </c>
      <c r="DZ234" t="s">
        <v>3772</v>
      </c>
      <c r="EA234" t="s">
        <v>3806</v>
      </c>
      <c r="EB234" t="s">
        <v>3807</v>
      </c>
      <c r="EC234" t="s">
        <v>3775</v>
      </c>
      <c r="ED234" t="s">
        <v>3776</v>
      </c>
      <c r="EE234" t="s">
        <v>3819</v>
      </c>
      <c r="EF234" t="s">
        <v>3809</v>
      </c>
      <c r="EG234" t="s">
        <v>4048</v>
      </c>
      <c r="EH234" t="s">
        <v>4015</v>
      </c>
      <c r="EI234" t="s">
        <v>3820</v>
      </c>
      <c r="EJ234" t="s">
        <v>3813</v>
      </c>
      <c r="EK234" t="s">
        <v>4049</v>
      </c>
      <c r="EL234" t="s">
        <v>3815</v>
      </c>
      <c r="EM234" t="s">
        <v>3816</v>
      </c>
      <c r="EN234" t="s">
        <v>4050</v>
      </c>
      <c r="EO234" t="s">
        <v>4018</v>
      </c>
      <c r="EP234" t="s">
        <v>4051</v>
      </c>
      <c r="EQ234">
        <v>7</v>
      </c>
      <c r="ER234">
        <v>8</v>
      </c>
      <c r="ES234">
        <v>7</v>
      </c>
      <c r="ET234">
        <v>7</v>
      </c>
      <c r="EU234">
        <v>8</v>
      </c>
      <c r="EV234">
        <v>0.1</v>
      </c>
      <c r="EW234">
        <v>0.1</v>
      </c>
      <c r="EX234">
        <v>0.2</v>
      </c>
      <c r="EY234">
        <v>0.3</v>
      </c>
      <c r="EZ234">
        <v>0.3</v>
      </c>
      <c r="FA234">
        <f>EV234*EQ234</f>
        <v>0.70000000000000007</v>
      </c>
      <c r="FB234">
        <f>EW234*ER234</f>
        <v>0.8</v>
      </c>
      <c r="FC234">
        <f>EX234*ES234</f>
        <v>1.4000000000000001</v>
      </c>
      <c r="FD234">
        <f>EY234*ET234</f>
        <v>2.1</v>
      </c>
      <c r="FE234">
        <f>EZ234*EU234</f>
        <v>2.4</v>
      </c>
      <c r="FF234">
        <v>21</v>
      </c>
      <c r="FG234">
        <v>0</v>
      </c>
      <c r="FH234">
        <v>8</v>
      </c>
      <c r="FI234">
        <f>FA234+FB234+FC234+FD234+FE234</f>
        <v>7.4</v>
      </c>
      <c r="FJ234">
        <f>MEDIAN(EQ234:EU234)</f>
        <v>7</v>
      </c>
      <c r="FL234">
        <v>38.6</v>
      </c>
      <c r="FM234">
        <v>5</v>
      </c>
      <c r="FN234" t="s">
        <v>1709</v>
      </c>
      <c r="FO234" t="s">
        <v>1710</v>
      </c>
      <c r="FP234" t="s">
        <v>1711</v>
      </c>
      <c r="FQ234" t="s">
        <v>1712</v>
      </c>
      <c r="FR234" t="s">
        <v>1713</v>
      </c>
      <c r="FS234">
        <v>5</v>
      </c>
      <c r="FT234">
        <v>7.5</v>
      </c>
      <c r="FU234">
        <v>6</v>
      </c>
      <c r="FV234">
        <v>4</v>
      </c>
      <c r="FW234">
        <v>3</v>
      </c>
      <c r="FX234">
        <v>0.1</v>
      </c>
      <c r="FY234">
        <v>0.1</v>
      </c>
      <c r="FZ234">
        <v>0.2</v>
      </c>
      <c r="GA234">
        <v>0.3</v>
      </c>
      <c r="GB234">
        <v>0.3</v>
      </c>
      <c r="GC234">
        <f>FS234*FX234</f>
        <v>0.5</v>
      </c>
      <c r="GD234">
        <f>FT234*FY234</f>
        <v>0.75</v>
      </c>
      <c r="GE234">
        <f>FU234*FZ234</f>
        <v>1.2000000000000002</v>
      </c>
      <c r="GF234">
        <f>FV234*GA234</f>
        <v>1.2</v>
      </c>
      <c r="GG234">
        <f>FW234*GB234</f>
        <v>0.89999999999999991</v>
      </c>
      <c r="GH234">
        <v>4.8</v>
      </c>
      <c r="GI234">
        <v>0.2</v>
      </c>
      <c r="GJ234">
        <v>5</v>
      </c>
      <c r="GK234">
        <f>GC234+GD234+GE234+GF234+GG234</f>
        <v>4.5500000000000007</v>
      </c>
      <c r="GL234">
        <f>MEDIAN(FS234:FW234)</f>
        <v>5</v>
      </c>
    </row>
    <row r="235" spans="1:194" hidden="1" x14ac:dyDescent="0.25">
      <c r="A235">
        <v>234</v>
      </c>
      <c r="B235" t="s">
        <v>2</v>
      </c>
      <c r="C235" s="4">
        <v>81.599999999999994</v>
      </c>
      <c r="D235">
        <v>3.2</v>
      </c>
      <c r="E235" s="1">
        <f>C235/3/D235</f>
        <v>8.5</v>
      </c>
      <c r="G235">
        <v>36.700000000000003</v>
      </c>
      <c r="H235">
        <v>8</v>
      </c>
      <c r="I235">
        <f>H235*D235*3</f>
        <v>76.800000000000011</v>
      </c>
      <c r="J235">
        <v>17.98</v>
      </c>
      <c r="K235">
        <v>8.6999999999999993</v>
      </c>
      <c r="L235" s="3">
        <f>K235*3*D235</f>
        <v>83.52</v>
      </c>
      <c r="M235">
        <v>16.7</v>
      </c>
      <c r="O235">
        <f>N235*D235*3</f>
        <v>0</v>
      </c>
      <c r="P235" s="5">
        <v>8.9</v>
      </c>
      <c r="Q235" s="5">
        <f>P235*D235*3</f>
        <v>85.440000000000012</v>
      </c>
      <c r="S235" t="s">
        <v>6365</v>
      </c>
      <c r="T235">
        <v>8.1999999999999993</v>
      </c>
      <c r="U235" s="8">
        <f>T235*D235*3</f>
        <v>78.72</v>
      </c>
      <c r="V235">
        <v>34.67</v>
      </c>
      <c r="W235">
        <v>8.4</v>
      </c>
      <c r="X235" s="5">
        <f>W235*D235*3</f>
        <v>80.640000000000015</v>
      </c>
      <c r="Y235">
        <v>10.88</v>
      </c>
      <c r="Z235">
        <v>7.8</v>
      </c>
      <c r="AA235">
        <f>Z235*D235*3</f>
        <v>74.88</v>
      </c>
      <c r="AC235">
        <v>49.16</v>
      </c>
      <c r="AD235">
        <v>8</v>
      </c>
      <c r="AE235" s="1">
        <f>AD235*3*D235</f>
        <v>76.800000000000011</v>
      </c>
      <c r="AF235">
        <v>12</v>
      </c>
      <c r="AG235" s="5">
        <v>7</v>
      </c>
      <c r="AH235" s="5">
        <f>AG235*D235*3</f>
        <v>67.2</v>
      </c>
      <c r="AI235" s="13"/>
      <c r="AJ235">
        <v>7.2</v>
      </c>
      <c r="AK235" s="8">
        <f>AJ235*D235*3</f>
        <v>69.12</v>
      </c>
      <c r="AL235" s="13"/>
      <c r="AM235">
        <v>32.1</v>
      </c>
      <c r="AN235">
        <v>7.1</v>
      </c>
      <c r="AO235" s="8">
        <f>AN235*D235*3</f>
        <v>68.16</v>
      </c>
      <c r="AP235">
        <v>14.7</v>
      </c>
      <c r="AQ235">
        <v>9.5</v>
      </c>
      <c r="AR235">
        <f>AQ235*D235*3</f>
        <v>91.2</v>
      </c>
      <c r="AT235">
        <v>9.3000000000000007</v>
      </c>
      <c r="AU235">
        <f>AT235*D235*3</f>
        <v>89.280000000000015</v>
      </c>
      <c r="AW235">
        <v>24.04</v>
      </c>
      <c r="AX235">
        <v>9.6</v>
      </c>
      <c r="AY235">
        <f>AX235*D235*3</f>
        <v>92.16</v>
      </c>
      <c r="AZ235">
        <v>24.04</v>
      </c>
      <c r="BA235">
        <v>9.1</v>
      </c>
      <c r="BB235">
        <f>BA235*D235*3</f>
        <v>87.36</v>
      </c>
      <c r="BD235">
        <v>9</v>
      </c>
      <c r="BE235">
        <f>BD235*D235*3</f>
        <v>86.4</v>
      </c>
      <c r="BG235" s="10"/>
      <c r="BH235" s="1">
        <f>CHOOSE(MATCH(MIN(ABS(BP235-C235),ABS(BQ235-C235),ABS(BR235-C235)),CHOOSE({1;2;3},ABS(BP235-C235),ABS(BQ235-C235),ABS(BR235-C235)),0),BP235,BQ235,BR235)</f>
        <v>76.800000000000011</v>
      </c>
      <c r="BJ235" s="1" cm="1">
        <f t="array" ref="BJ235">(INDEX(_xlfn._xlws.SORT(CHOOSE({1;2;3;4;5;6},BQ235,BR235,L235,AE235,BO235,BP235)),3) + INDEX(_xlfn._xlws.SORT(CHOOSE({1;2;3;4;5;6},BQ235,BR235,L235,AE235,BO235,BP235)),4))/2</f>
        <v>76.800000000000011</v>
      </c>
      <c r="BK235">
        <v>8.4905998775393101</v>
      </c>
      <c r="BL235" t="s">
        <v>6117</v>
      </c>
      <c r="BM235" s="1">
        <f>BK235*3*D235</f>
        <v>81.509758824377386</v>
      </c>
      <c r="BN235" s="1">
        <f>BM235-C235</f>
        <v>-9.0241175622608694E-2</v>
      </c>
      <c r="BO235" s="1">
        <f>GK235*3*D235</f>
        <v>51.840000000000011</v>
      </c>
      <c r="BP235" s="1">
        <f>DO235*3*D235</f>
        <v>86.4</v>
      </c>
      <c r="BQ235" s="1">
        <f>FJ235*3*D235</f>
        <v>76.800000000000011</v>
      </c>
      <c r="BR235" s="1">
        <f>GL235*3*D235</f>
        <v>48</v>
      </c>
      <c r="BT235">
        <v>36.700000000000003</v>
      </c>
      <c r="BU235">
        <v>8</v>
      </c>
      <c r="BV235" t="s">
        <v>5134</v>
      </c>
      <c r="BW235" t="s">
        <v>5759</v>
      </c>
      <c r="BX235" t="s">
        <v>5760</v>
      </c>
      <c r="BY235" t="s">
        <v>5165</v>
      </c>
      <c r="BZ235" t="s">
        <v>5761</v>
      </c>
      <c r="CA235" t="s">
        <v>2437</v>
      </c>
      <c r="CC235" t="s">
        <v>2438</v>
      </c>
      <c r="CD235" t="s">
        <v>2439</v>
      </c>
      <c r="CE235" t="s">
        <v>2440</v>
      </c>
      <c r="CG235" t="s">
        <v>2441</v>
      </c>
      <c r="CH235" t="s">
        <v>2442</v>
      </c>
      <c r="CI235" t="s">
        <v>2535</v>
      </c>
      <c r="CK235" t="s">
        <v>2444</v>
      </c>
      <c r="CL235" t="s">
        <v>2445</v>
      </c>
      <c r="CM235" t="s">
        <v>2446</v>
      </c>
      <c r="CO235" t="s">
        <v>2447</v>
      </c>
      <c r="CP235" t="s">
        <v>2448</v>
      </c>
      <c r="CQ235" t="s">
        <v>2666</v>
      </c>
      <c r="CS235" t="s">
        <v>2450</v>
      </c>
      <c r="CT235" t="s">
        <v>2451</v>
      </c>
      <c r="CV235">
        <v>9</v>
      </c>
      <c r="CW235">
        <v>9</v>
      </c>
      <c r="CX235">
        <v>9</v>
      </c>
      <c r="CY235">
        <v>9</v>
      </c>
      <c r="CZ235">
        <v>9</v>
      </c>
      <c r="DA235">
        <v>0.1</v>
      </c>
      <c r="DB235">
        <v>0.1</v>
      </c>
      <c r="DC235">
        <v>0.2</v>
      </c>
      <c r="DD235">
        <v>0.3</v>
      </c>
      <c r="DE235">
        <v>0.3</v>
      </c>
      <c r="DF235">
        <v>0.9</v>
      </c>
      <c r="DG235">
        <v>0.9</v>
      </c>
      <c r="DH235">
        <v>1.8</v>
      </c>
      <c r="DI235">
        <v>2.7</v>
      </c>
      <c r="DJ235">
        <v>2.7</v>
      </c>
      <c r="DK235">
        <v>8</v>
      </c>
      <c r="DL235">
        <v>0</v>
      </c>
      <c r="DM235">
        <v>8</v>
      </c>
      <c r="DN235">
        <v>8.6999999999999993</v>
      </c>
      <c r="DO235">
        <f>AVERAGE(CV235:CZ235)</f>
        <v>9</v>
      </c>
      <c r="DQ235" t="s">
        <v>27</v>
      </c>
      <c r="DR235" t="s">
        <v>52</v>
      </c>
      <c r="DS235" t="s">
        <v>61</v>
      </c>
      <c r="DT235" t="s">
        <v>159</v>
      </c>
      <c r="DU235" t="s">
        <v>71</v>
      </c>
      <c r="DV235" t="s">
        <v>160</v>
      </c>
      <c r="DW235" t="s">
        <v>3836</v>
      </c>
      <c r="DX235" t="s">
        <v>3858</v>
      </c>
      <c r="DY235" t="s">
        <v>4119</v>
      </c>
      <c r="DZ235" t="s">
        <v>4120</v>
      </c>
      <c r="EA235" t="s">
        <v>3860</v>
      </c>
      <c r="EB235" t="s">
        <v>4121</v>
      </c>
      <c r="EC235" t="s">
        <v>4122</v>
      </c>
      <c r="ED235" t="s">
        <v>4123</v>
      </c>
      <c r="EE235" t="s">
        <v>3863</v>
      </c>
      <c r="EF235" t="s">
        <v>4124</v>
      </c>
      <c r="EG235" t="s">
        <v>4125</v>
      </c>
      <c r="EH235" t="s">
        <v>4126</v>
      </c>
      <c r="EI235" t="s">
        <v>3879</v>
      </c>
      <c r="EJ235" t="s">
        <v>4127</v>
      </c>
      <c r="EK235" t="s">
        <v>4128</v>
      </c>
      <c r="EL235" t="s">
        <v>4129</v>
      </c>
      <c r="EM235" t="s">
        <v>3907</v>
      </c>
      <c r="EN235" t="s">
        <v>4130</v>
      </c>
      <c r="EO235" t="s">
        <v>4131</v>
      </c>
      <c r="EP235" t="s">
        <v>4132</v>
      </c>
      <c r="EQ235">
        <v>8</v>
      </c>
      <c r="ER235">
        <v>8</v>
      </c>
      <c r="ES235">
        <v>8</v>
      </c>
      <c r="ET235">
        <v>8</v>
      </c>
      <c r="EU235">
        <v>8</v>
      </c>
      <c r="EV235">
        <v>0.1</v>
      </c>
      <c r="EW235">
        <v>0.1</v>
      </c>
      <c r="EX235">
        <v>0.2</v>
      </c>
      <c r="EY235">
        <v>0.3</v>
      </c>
      <c r="EZ235">
        <v>0.3</v>
      </c>
      <c r="FA235">
        <f>EV235*EQ235</f>
        <v>0.8</v>
      </c>
      <c r="FB235">
        <f>EW235*ER235</f>
        <v>0.8</v>
      </c>
      <c r="FC235">
        <f>EX235*ES235</f>
        <v>1.6</v>
      </c>
      <c r="FD235">
        <f>EY235*ET235</f>
        <v>2.4</v>
      </c>
      <c r="FE235">
        <f>EZ235*EU235</f>
        <v>2.4</v>
      </c>
      <c r="FF235">
        <v>16</v>
      </c>
      <c r="FG235">
        <v>0</v>
      </c>
      <c r="FH235">
        <v>9</v>
      </c>
      <c r="FI235">
        <f>FA235+FB235+FC235+FD235+FE235</f>
        <v>8</v>
      </c>
      <c r="FJ235">
        <f>MEDIAN(EQ235:EU235)</f>
        <v>8</v>
      </c>
      <c r="FL235">
        <v>43.81</v>
      </c>
      <c r="FM235">
        <v>9</v>
      </c>
      <c r="FN235" t="s">
        <v>1714</v>
      </c>
      <c r="FO235" t="s">
        <v>1715</v>
      </c>
      <c r="FP235" t="s">
        <v>1716</v>
      </c>
      <c r="FQ235" t="s">
        <v>1717</v>
      </c>
      <c r="FR235" t="s">
        <v>1718</v>
      </c>
      <c r="FS235">
        <v>5</v>
      </c>
      <c r="FT235">
        <v>4</v>
      </c>
      <c r="FU235">
        <v>3</v>
      </c>
      <c r="FV235">
        <v>6</v>
      </c>
      <c r="FW235">
        <v>7</v>
      </c>
      <c r="FX235">
        <v>0.1</v>
      </c>
      <c r="FY235">
        <v>0.1</v>
      </c>
      <c r="FZ235">
        <v>0.2</v>
      </c>
      <c r="GA235">
        <v>0.3</v>
      </c>
      <c r="GB235">
        <v>0.3</v>
      </c>
      <c r="GC235">
        <f>FS235*FX235</f>
        <v>0.5</v>
      </c>
      <c r="GD235">
        <f>FT235*FY235</f>
        <v>0.4</v>
      </c>
      <c r="GE235">
        <f>FU235*FZ235</f>
        <v>0.60000000000000009</v>
      </c>
      <c r="GF235">
        <f>FV235*GA235</f>
        <v>1.7999999999999998</v>
      </c>
      <c r="GG235">
        <f>FW235*GB235</f>
        <v>2.1</v>
      </c>
      <c r="GH235">
        <v>9</v>
      </c>
      <c r="GI235">
        <v>0</v>
      </c>
      <c r="GJ235">
        <v>9</v>
      </c>
      <c r="GK235">
        <f>GC235+GD235+GE235+GF235+GG235</f>
        <v>5.4</v>
      </c>
      <c r="GL235">
        <f>MEDIAN(FS235:FW235)</f>
        <v>5</v>
      </c>
    </row>
    <row r="236" spans="1:194" x14ac:dyDescent="0.25">
      <c r="A236">
        <v>370</v>
      </c>
      <c r="B236" t="s">
        <v>2</v>
      </c>
      <c r="C236" s="4">
        <v>70.2</v>
      </c>
      <c r="D236">
        <v>3.6</v>
      </c>
      <c r="E236" s="1">
        <f>C236/3/D236</f>
        <v>6.5</v>
      </c>
      <c r="G236">
        <v>36.590000000000003</v>
      </c>
      <c r="H236">
        <v>8.1999999999999993</v>
      </c>
      <c r="I236">
        <f>H236*D236*3</f>
        <v>88.56</v>
      </c>
      <c r="J236">
        <v>16.13</v>
      </c>
      <c r="K236">
        <v>8.4</v>
      </c>
      <c r="L236" s="3">
        <f>K236*3*D236</f>
        <v>90.720000000000013</v>
      </c>
      <c r="M236">
        <v>5.49</v>
      </c>
      <c r="N236">
        <v>5.7</v>
      </c>
      <c r="O236">
        <f>N236*D236*3</f>
        <v>61.56</v>
      </c>
      <c r="P236" s="5">
        <v>7</v>
      </c>
      <c r="Q236" s="5">
        <f>P236*D236*3</f>
        <v>75.599999999999994</v>
      </c>
      <c r="S236" t="s">
        <v>6489</v>
      </c>
      <c r="T236">
        <v>7.4</v>
      </c>
      <c r="U236" s="8">
        <f>T236*D236*3</f>
        <v>79.92</v>
      </c>
      <c r="V236">
        <v>33.81</v>
      </c>
      <c r="W236">
        <v>6</v>
      </c>
      <c r="X236" s="5">
        <f>W236*D236*3</f>
        <v>64.800000000000011</v>
      </c>
      <c r="Y236">
        <v>8.86</v>
      </c>
      <c r="Z236">
        <v>6</v>
      </c>
      <c r="AA236">
        <f>Z236*D236*3</f>
        <v>64.800000000000011</v>
      </c>
      <c r="AC236">
        <v>116.9</v>
      </c>
      <c r="AD236">
        <v>8</v>
      </c>
      <c r="AE236" s="1">
        <f>AD236*3*D236</f>
        <v>86.4</v>
      </c>
      <c r="AF236">
        <v>12.07</v>
      </c>
      <c r="AG236" s="5">
        <v>7</v>
      </c>
      <c r="AH236" s="5">
        <f>AG236*D236*3</f>
        <v>75.599999999999994</v>
      </c>
      <c r="AI236" s="13"/>
      <c r="AK236" s="8">
        <f>AJ236*D236*3</f>
        <v>0</v>
      </c>
      <c r="AL236" s="13"/>
      <c r="AM236">
        <v>30.33</v>
      </c>
      <c r="AN236">
        <v>7.3</v>
      </c>
      <c r="AO236" s="8">
        <f>AN236*D236*3</f>
        <v>78.84</v>
      </c>
      <c r="AP236">
        <v>13.25</v>
      </c>
      <c r="AQ236">
        <v>8.3000000000000007</v>
      </c>
      <c r="AR236">
        <f>AQ236*D236*3</f>
        <v>89.640000000000015</v>
      </c>
      <c r="AT236">
        <v>9</v>
      </c>
      <c r="AU236">
        <f>AT236*D236*3</f>
        <v>97.199999999999989</v>
      </c>
      <c r="AX236">
        <v>9.1</v>
      </c>
      <c r="AY236">
        <f>AX236*D236*3</f>
        <v>98.28</v>
      </c>
      <c r="BA236">
        <v>9</v>
      </c>
      <c r="BB236">
        <f>BA236*D236*3</f>
        <v>97.199999999999989</v>
      </c>
      <c r="BC236">
        <v>22.51</v>
      </c>
      <c r="BD236">
        <v>8.6999999999999993</v>
      </c>
      <c r="BE236">
        <f>BD236*D236*3</f>
        <v>93.96</v>
      </c>
      <c r="BG236" s="10"/>
      <c r="BH236" s="1">
        <f>CHOOSE(MATCH(MIN(ABS(BP236-C236),ABS(BQ236-C236),ABS(BR236-C236)),CHOOSE({1;2;3},ABS(BP236-C236),ABS(BQ236-C236),ABS(BR236-C236)),0),BP236,BQ236,BR236)</f>
        <v>86.4</v>
      </c>
      <c r="BJ236" s="1" cm="1">
        <f t="array" ref="BJ236">(INDEX(_xlfn._xlws.SORT(CHOOSE({1;2;3;4;5;6},BQ236,BR236,L236,AE236,BO236,BP236)),3) + INDEX(_xlfn._xlws.SORT(CHOOSE({1;2;3;4;5;6},BQ236,BR236,L236,AE236,BO236,BP236)),4))/2</f>
        <v>86.4</v>
      </c>
      <c r="BK236">
        <v>7.2558197867165104</v>
      </c>
      <c r="BL236" s="11" t="s">
        <v>6116</v>
      </c>
      <c r="BM236" s="1">
        <f>BK236*3*D236</f>
        <v>78.362853696538309</v>
      </c>
      <c r="BN236" s="1">
        <f>BM236-C236</f>
        <v>8.1628536965383063</v>
      </c>
      <c r="BO236" s="1">
        <f>GK236*3*D236</f>
        <v>56.7</v>
      </c>
      <c r="BP236" s="1">
        <f>DO236*3*D236</f>
        <v>97.2</v>
      </c>
      <c r="BQ236" s="1">
        <f>FJ236*3*D236</f>
        <v>86.4</v>
      </c>
      <c r="BR236" s="1">
        <f>GL236*3*D236</f>
        <v>43.2</v>
      </c>
      <c r="BT236">
        <v>36.590000000000003</v>
      </c>
      <c r="BU236">
        <v>8.1999999999999993</v>
      </c>
      <c r="BV236" t="s">
        <v>6088</v>
      </c>
      <c r="BW236" t="s">
        <v>5864</v>
      </c>
      <c r="BX236" t="s">
        <v>6089</v>
      </c>
      <c r="BY236" t="s">
        <v>6090</v>
      </c>
      <c r="BZ236" t="s">
        <v>6091</v>
      </c>
      <c r="CA236" t="s">
        <v>2550</v>
      </c>
      <c r="CC236" t="s">
        <v>2955</v>
      </c>
      <c r="CD236" t="s">
        <v>3258</v>
      </c>
      <c r="CE236" t="s">
        <v>2553</v>
      </c>
      <c r="CG236" t="s">
        <v>2957</v>
      </c>
      <c r="CH236" t="s">
        <v>3260</v>
      </c>
      <c r="CI236" t="s">
        <v>2555</v>
      </c>
      <c r="CK236" t="s">
        <v>2959</v>
      </c>
      <c r="CL236" t="s">
        <v>3262</v>
      </c>
      <c r="CM236" t="s">
        <v>3059</v>
      </c>
      <c r="CO236" t="s">
        <v>2960</v>
      </c>
      <c r="CP236" t="s">
        <v>3265</v>
      </c>
      <c r="CQ236" t="s">
        <v>2560</v>
      </c>
      <c r="CR236" t="s">
        <v>3487</v>
      </c>
      <c r="CS236" t="s">
        <v>2962</v>
      </c>
      <c r="CT236" t="s">
        <v>3268</v>
      </c>
      <c r="CV236">
        <v>9</v>
      </c>
      <c r="CW236">
        <v>9</v>
      </c>
      <c r="CX236">
        <v>9</v>
      </c>
      <c r="CY236">
        <v>9</v>
      </c>
      <c r="CZ236">
        <v>9</v>
      </c>
      <c r="DA236">
        <v>0.1</v>
      </c>
      <c r="DB236">
        <v>0.1</v>
      </c>
      <c r="DC236">
        <v>0.2</v>
      </c>
      <c r="DD236">
        <v>0.3</v>
      </c>
      <c r="DE236">
        <v>0.3</v>
      </c>
      <c r="DF236">
        <v>0.9</v>
      </c>
      <c r="DG236">
        <v>0.9</v>
      </c>
      <c r="DH236">
        <v>1.8</v>
      </c>
      <c r="DI236">
        <v>2.7</v>
      </c>
      <c r="DJ236">
        <v>2.7</v>
      </c>
      <c r="DK236">
        <v>8.1999999999999993</v>
      </c>
      <c r="DL236">
        <v>0</v>
      </c>
      <c r="DM236">
        <v>8.1999999999999993</v>
      </c>
      <c r="DN236">
        <v>8.4</v>
      </c>
      <c r="DO236">
        <f>AVERAGE(CV236:CZ236)</f>
        <v>9</v>
      </c>
      <c r="DQ236">
        <v>8</v>
      </c>
      <c r="DR236" t="s">
        <v>33</v>
      </c>
      <c r="DS236" t="s">
        <v>375</v>
      </c>
      <c r="DT236" t="s">
        <v>575</v>
      </c>
      <c r="DU236" t="s">
        <v>576</v>
      </c>
      <c r="DV236" t="s">
        <v>577</v>
      </c>
      <c r="DW236" t="s">
        <v>3788</v>
      </c>
      <c r="DX236" t="s">
        <v>3789</v>
      </c>
      <c r="DY236" t="s">
        <v>4004</v>
      </c>
      <c r="DZ236" t="s">
        <v>4005</v>
      </c>
      <c r="EA236" t="s">
        <v>4006</v>
      </c>
      <c r="EB236" t="s">
        <v>3793</v>
      </c>
      <c r="EC236" t="s">
        <v>4007</v>
      </c>
      <c r="ED236" t="s">
        <v>4005</v>
      </c>
      <c r="EE236" t="s">
        <v>4971</v>
      </c>
      <c r="EF236" t="s">
        <v>3797</v>
      </c>
      <c r="EG236" t="s">
        <v>4688</v>
      </c>
      <c r="EH236" t="s">
        <v>4005</v>
      </c>
      <c r="EI236" t="s">
        <v>4972</v>
      </c>
      <c r="EJ236" t="s">
        <v>3800</v>
      </c>
      <c r="EK236" t="s">
        <v>4973</v>
      </c>
      <c r="EL236" t="s">
        <v>4005</v>
      </c>
      <c r="EM236" t="s">
        <v>4974</v>
      </c>
      <c r="EN236" t="s">
        <v>3803</v>
      </c>
      <c r="EO236" t="s">
        <v>4975</v>
      </c>
      <c r="EP236" t="s">
        <v>4005</v>
      </c>
      <c r="EQ236">
        <v>8</v>
      </c>
      <c r="ER236">
        <v>8</v>
      </c>
      <c r="ES236">
        <v>8</v>
      </c>
      <c r="ET236">
        <v>8</v>
      </c>
      <c r="EU236">
        <v>8</v>
      </c>
      <c r="EV236">
        <v>0.1</v>
      </c>
      <c r="EW236">
        <v>0.1</v>
      </c>
      <c r="EX236">
        <v>0.2</v>
      </c>
      <c r="EY236">
        <v>0.3</v>
      </c>
      <c r="EZ236">
        <v>0.3</v>
      </c>
      <c r="FA236">
        <f>EV236*EQ236</f>
        <v>0.8</v>
      </c>
      <c r="FB236">
        <f>EW236*ER236</f>
        <v>0.8</v>
      </c>
      <c r="FC236">
        <f>EX236*ES236</f>
        <v>1.6</v>
      </c>
      <c r="FD236">
        <f>EY236*ET236</f>
        <v>2.4</v>
      </c>
      <c r="FE236">
        <f>EZ236*EU236</f>
        <v>2.4</v>
      </c>
      <c r="FF236">
        <v>17</v>
      </c>
      <c r="FG236">
        <v>0</v>
      </c>
      <c r="FH236">
        <v>8</v>
      </c>
      <c r="FI236">
        <f>FA236+FB236+FC236+FD236+FE236</f>
        <v>8</v>
      </c>
      <c r="FJ236">
        <f>MEDIAN(EQ236:EU236)</f>
        <v>8</v>
      </c>
      <c r="FL236">
        <v>45.43</v>
      </c>
      <c r="FM236">
        <v>6.5</v>
      </c>
      <c r="FN236" t="s">
        <v>2355</v>
      </c>
      <c r="FO236" t="s">
        <v>2356</v>
      </c>
      <c r="FP236" t="s">
        <v>2357</v>
      </c>
      <c r="FQ236" t="s">
        <v>2358</v>
      </c>
      <c r="FR236" t="s">
        <v>2359</v>
      </c>
      <c r="FS236">
        <v>2.5</v>
      </c>
      <c r="FT236">
        <v>3</v>
      </c>
      <c r="FU236">
        <v>4</v>
      </c>
      <c r="FV236">
        <v>6</v>
      </c>
      <c r="FW236">
        <v>7</v>
      </c>
      <c r="FX236">
        <v>0.1</v>
      </c>
      <c r="FY236">
        <v>0.1</v>
      </c>
      <c r="FZ236">
        <v>0.2</v>
      </c>
      <c r="GA236">
        <v>0.3</v>
      </c>
      <c r="GB236">
        <v>0.3</v>
      </c>
      <c r="GC236">
        <f>FS236*FX236</f>
        <v>0.25</v>
      </c>
      <c r="GD236">
        <f>FT236*FY236</f>
        <v>0.30000000000000004</v>
      </c>
      <c r="GE236">
        <f>FU236*FZ236</f>
        <v>0.8</v>
      </c>
      <c r="GF236">
        <f>FV236*GA236</f>
        <v>1.7999999999999998</v>
      </c>
      <c r="GG236">
        <f>FW236*GB236</f>
        <v>2.1</v>
      </c>
      <c r="GH236">
        <v>9.8000000000000007</v>
      </c>
      <c r="GI236">
        <v>-0.3</v>
      </c>
      <c r="GJ236">
        <v>6.5</v>
      </c>
      <c r="GK236">
        <f>GC236+GD236+GE236+GF236+GG236</f>
        <v>5.25</v>
      </c>
      <c r="GL236">
        <f>MEDIAN(FS236:FW236)</f>
        <v>4</v>
      </c>
    </row>
    <row r="237" spans="1:194" hidden="1" x14ac:dyDescent="0.25">
      <c r="A237">
        <v>236</v>
      </c>
      <c r="B237" t="s">
        <v>2</v>
      </c>
      <c r="C237" s="4">
        <v>71.75</v>
      </c>
      <c r="D237">
        <v>3.5</v>
      </c>
      <c r="E237" s="1">
        <f>C237/3/D237</f>
        <v>6.8333333333333339</v>
      </c>
      <c r="G237">
        <v>38.28</v>
      </c>
      <c r="H237">
        <v>8.1999999999999993</v>
      </c>
      <c r="I237">
        <f>H237*D237*3</f>
        <v>86.1</v>
      </c>
      <c r="J237">
        <v>16.37</v>
      </c>
      <c r="K237">
        <v>9</v>
      </c>
      <c r="L237" s="3">
        <f>K237*3*D237</f>
        <v>94.5</v>
      </c>
      <c r="M237">
        <v>5.27</v>
      </c>
      <c r="N237">
        <v>5.4</v>
      </c>
      <c r="O237">
        <f>N237*D237*3</f>
        <v>56.7</v>
      </c>
      <c r="P237" s="5">
        <v>7.5</v>
      </c>
      <c r="Q237" s="5">
        <f>P237*D237*3</f>
        <v>78.75</v>
      </c>
      <c r="S237" t="s">
        <v>6367</v>
      </c>
      <c r="T237">
        <v>5.5</v>
      </c>
      <c r="U237" s="8">
        <f>T237*D237*3</f>
        <v>57.75</v>
      </c>
      <c r="V237">
        <v>35.909999999999997</v>
      </c>
      <c r="W237">
        <v>8</v>
      </c>
      <c r="X237" s="5">
        <f>W237*D237*3</f>
        <v>84</v>
      </c>
      <c r="Y237">
        <v>9.69</v>
      </c>
      <c r="Z237">
        <v>7.5</v>
      </c>
      <c r="AA237">
        <f>Z237*D237*3</f>
        <v>78.75</v>
      </c>
      <c r="AC237">
        <v>48.94</v>
      </c>
      <c r="AD237">
        <v>8</v>
      </c>
      <c r="AE237" s="1">
        <f>AD237*3*D237</f>
        <v>84</v>
      </c>
      <c r="AF237">
        <v>11.97</v>
      </c>
      <c r="AG237" s="5">
        <v>7</v>
      </c>
      <c r="AH237" s="5">
        <f>AG237*D237*3</f>
        <v>73.5</v>
      </c>
      <c r="AI237" s="13"/>
      <c r="AK237" s="8">
        <f>AJ237*D237*3</f>
        <v>0</v>
      </c>
      <c r="AL237" s="13"/>
      <c r="AM237">
        <v>31.25</v>
      </c>
      <c r="AN237">
        <v>6.9</v>
      </c>
      <c r="AO237" s="8">
        <f>AN237*D237*3</f>
        <v>72.45</v>
      </c>
      <c r="AP237">
        <v>14.48</v>
      </c>
      <c r="AQ237">
        <v>9.5</v>
      </c>
      <c r="AR237">
        <f>AQ237*D237*3</f>
        <v>99.75</v>
      </c>
      <c r="AT237">
        <v>8.6</v>
      </c>
      <c r="AU237">
        <f>AT237*D237*3</f>
        <v>90.3</v>
      </c>
      <c r="AW237">
        <v>24.21</v>
      </c>
      <c r="AX237">
        <v>9.1</v>
      </c>
      <c r="AY237">
        <f>AX237*D237*3</f>
        <v>95.55</v>
      </c>
      <c r="AZ237">
        <v>24.21</v>
      </c>
      <c r="BA237">
        <v>9</v>
      </c>
      <c r="BB237">
        <f>BA237*D237*3</f>
        <v>94.5</v>
      </c>
      <c r="BD237">
        <v>9</v>
      </c>
      <c r="BE237">
        <f>BD237*D237*3</f>
        <v>94.5</v>
      </c>
      <c r="BG237" s="10"/>
      <c r="BH237" s="1">
        <f>CHOOSE(MATCH(MIN(ABS(BP237-C237),ABS(BQ237-C237),ABS(BR237-C237)),CHOOSE({1;2;3},ABS(BP237-C237),ABS(BQ237-C237),ABS(BR237-C237)),0),BP237,BQ237,BR237)</f>
        <v>84</v>
      </c>
      <c r="BJ237" s="1" cm="1">
        <f t="array" ref="BJ237">(INDEX(_xlfn._xlws.SORT(CHOOSE({1;2;3;4;5;6},BQ237,BR237,L237,AE237,BO237,BP237)),3) + INDEX(_xlfn._xlws.SORT(CHOOSE({1;2;3;4;5;6},BQ237,BR237,L237,AE237,BO237,BP237)),4))/2</f>
        <v>84</v>
      </c>
      <c r="BK237">
        <v>6.8545775938413396</v>
      </c>
      <c r="BL237" t="s">
        <v>6117</v>
      </c>
      <c r="BM237" s="1">
        <f>BK237*3*D237</f>
        <v>71.973064735334063</v>
      </c>
      <c r="BN237" s="1">
        <f>BM237-C237</f>
        <v>0.2230647353340629</v>
      </c>
      <c r="BO237" s="1">
        <f>GK237*3*D237</f>
        <v>40.424999999999997</v>
      </c>
      <c r="BP237" s="1">
        <f>DO237*3*D237</f>
        <v>94.5</v>
      </c>
      <c r="BQ237" s="1">
        <f>FJ237*3*D237</f>
        <v>84</v>
      </c>
      <c r="BR237" s="1">
        <f>GL237*3*D237</f>
        <v>31.5</v>
      </c>
      <c r="BT237">
        <v>38.28</v>
      </c>
      <c r="BU237">
        <v>8.1999999999999993</v>
      </c>
      <c r="BV237" t="s">
        <v>5765</v>
      </c>
      <c r="BW237" t="s">
        <v>5766</v>
      </c>
      <c r="BX237" t="s">
        <v>5767</v>
      </c>
      <c r="BY237" t="s">
        <v>5768</v>
      </c>
      <c r="BZ237" t="s">
        <v>5769</v>
      </c>
      <c r="CA237" t="s">
        <v>2490</v>
      </c>
      <c r="CC237" t="s">
        <v>2481</v>
      </c>
      <c r="CD237" t="s">
        <v>2481</v>
      </c>
      <c r="CE237" t="s">
        <v>2565</v>
      </c>
      <c r="CG237" t="s">
        <v>2483</v>
      </c>
      <c r="CH237" t="s">
        <v>2483</v>
      </c>
      <c r="CI237" t="s">
        <v>2496</v>
      </c>
      <c r="CK237" t="s">
        <v>2485</v>
      </c>
      <c r="CL237" t="s">
        <v>2485</v>
      </c>
      <c r="CM237" t="s">
        <v>2670</v>
      </c>
      <c r="CO237" t="s">
        <v>3387</v>
      </c>
      <c r="CP237" t="s">
        <v>3387</v>
      </c>
      <c r="CQ237" t="s">
        <v>2630</v>
      </c>
      <c r="CS237" t="s">
        <v>3388</v>
      </c>
      <c r="CT237" t="s">
        <v>3388</v>
      </c>
      <c r="CV237">
        <v>9</v>
      </c>
      <c r="CW237">
        <v>9</v>
      </c>
      <c r="CX237">
        <v>9</v>
      </c>
      <c r="CY237">
        <v>9</v>
      </c>
      <c r="CZ237">
        <v>9</v>
      </c>
      <c r="DA237">
        <v>0.1</v>
      </c>
      <c r="DB237">
        <v>0.1</v>
      </c>
      <c r="DC237">
        <v>0.2</v>
      </c>
      <c r="DD237">
        <v>0.3</v>
      </c>
      <c r="DE237">
        <v>0.3</v>
      </c>
      <c r="DF237">
        <v>0.9</v>
      </c>
      <c r="DG237">
        <v>0.9</v>
      </c>
      <c r="DH237">
        <v>1.8</v>
      </c>
      <c r="DI237">
        <v>2.7</v>
      </c>
      <c r="DJ237">
        <v>2.7</v>
      </c>
      <c r="DK237">
        <v>8.1999999999999993</v>
      </c>
      <c r="DL237">
        <v>0</v>
      </c>
      <c r="DM237">
        <v>8.1999999999999993</v>
      </c>
      <c r="DN237">
        <v>9</v>
      </c>
      <c r="DO237">
        <f>AVERAGE(CV237:CZ237)</f>
        <v>9</v>
      </c>
      <c r="DQ237" t="s">
        <v>27</v>
      </c>
      <c r="DR237" t="s">
        <v>52</v>
      </c>
      <c r="DS237" t="s">
        <v>61</v>
      </c>
      <c r="DT237" t="s">
        <v>255</v>
      </c>
      <c r="DU237" t="s">
        <v>256</v>
      </c>
      <c r="DV237" t="s">
        <v>257</v>
      </c>
      <c r="DW237" t="s">
        <v>3836</v>
      </c>
      <c r="DX237" t="s">
        <v>3858</v>
      </c>
      <c r="DY237" t="s">
        <v>4119</v>
      </c>
      <c r="DZ237" t="s">
        <v>4349</v>
      </c>
      <c r="EA237" t="s">
        <v>3860</v>
      </c>
      <c r="EB237" t="s">
        <v>4350</v>
      </c>
      <c r="EC237" t="s">
        <v>4351</v>
      </c>
      <c r="ED237" t="s">
        <v>4352</v>
      </c>
      <c r="EE237" t="s">
        <v>3966</v>
      </c>
      <c r="EF237" t="s">
        <v>4353</v>
      </c>
      <c r="EG237" t="s">
        <v>4354</v>
      </c>
      <c r="EH237" t="s">
        <v>4355</v>
      </c>
      <c r="EI237" t="s">
        <v>3246</v>
      </c>
      <c r="EJ237" t="s">
        <v>4356</v>
      </c>
      <c r="EK237" t="s">
        <v>4357</v>
      </c>
      <c r="EL237" t="s">
        <v>4358</v>
      </c>
      <c r="EM237" t="s">
        <v>3971</v>
      </c>
      <c r="EN237" t="s">
        <v>4047</v>
      </c>
      <c r="EO237" t="s">
        <v>4359</v>
      </c>
      <c r="EP237" t="s">
        <v>4360</v>
      </c>
      <c r="EQ237">
        <v>8</v>
      </c>
      <c r="ER237">
        <v>8</v>
      </c>
      <c r="ES237">
        <v>8</v>
      </c>
      <c r="ET237">
        <v>8</v>
      </c>
      <c r="EU237">
        <v>8</v>
      </c>
      <c r="EV237">
        <v>0.1</v>
      </c>
      <c r="EW237">
        <v>0.1</v>
      </c>
      <c r="EX237">
        <v>0.2</v>
      </c>
      <c r="EY237">
        <v>0.3</v>
      </c>
      <c r="EZ237">
        <v>0.3</v>
      </c>
      <c r="FA237">
        <f>EV237*EQ237</f>
        <v>0.8</v>
      </c>
      <c r="FB237">
        <f>EW237*ER237</f>
        <v>0.8</v>
      </c>
      <c r="FC237">
        <f>EX237*ES237</f>
        <v>1.6</v>
      </c>
      <c r="FD237">
        <f>EY237*ET237</f>
        <v>2.4</v>
      </c>
      <c r="FE237">
        <f>EZ237*EU237</f>
        <v>2.4</v>
      </c>
      <c r="FF237">
        <v>16</v>
      </c>
      <c r="FG237">
        <v>0</v>
      </c>
      <c r="FH237">
        <v>9</v>
      </c>
      <c r="FI237">
        <f>FA237+FB237+FC237+FD237+FE237</f>
        <v>8</v>
      </c>
      <c r="FJ237">
        <f>MEDIAN(EQ237:EU237)</f>
        <v>8</v>
      </c>
      <c r="FL237">
        <v>41.01</v>
      </c>
      <c r="FM237">
        <v>9.6999999999999993</v>
      </c>
      <c r="FN237" t="s">
        <v>1724</v>
      </c>
      <c r="FO237" t="s">
        <v>1725</v>
      </c>
      <c r="FP237" t="s">
        <v>1726</v>
      </c>
      <c r="FQ237" t="s">
        <v>1727</v>
      </c>
      <c r="FR237" t="s">
        <v>1728</v>
      </c>
      <c r="FS237">
        <v>2.5</v>
      </c>
      <c r="FT237">
        <v>3</v>
      </c>
      <c r="FU237">
        <v>1.5</v>
      </c>
      <c r="FV237">
        <v>4</v>
      </c>
      <c r="FW237">
        <v>6</v>
      </c>
      <c r="FX237">
        <v>0.1</v>
      </c>
      <c r="FY237">
        <v>0.1</v>
      </c>
      <c r="FZ237">
        <v>0.2</v>
      </c>
      <c r="GA237">
        <v>0.3</v>
      </c>
      <c r="GB237">
        <v>0.3</v>
      </c>
      <c r="GC237">
        <f>FS237*FX237</f>
        <v>0.25</v>
      </c>
      <c r="GD237">
        <f>FT237*FY237</f>
        <v>0.30000000000000004</v>
      </c>
      <c r="GE237">
        <f>FU237*FZ237</f>
        <v>0.30000000000000004</v>
      </c>
      <c r="GF237">
        <f>FV237*GA237</f>
        <v>1.2</v>
      </c>
      <c r="GG237">
        <f>FW237*GB237</f>
        <v>1.7999999999999998</v>
      </c>
      <c r="GH237">
        <v>9.6999999999999993</v>
      </c>
      <c r="GI237">
        <v>0</v>
      </c>
      <c r="GJ237">
        <v>9.6999999999999993</v>
      </c>
      <c r="GK237">
        <f>GC237+GD237+GE237+GF237+GG237</f>
        <v>3.8499999999999996</v>
      </c>
      <c r="GL237">
        <f>MEDIAN(FS237:FW237)</f>
        <v>3</v>
      </c>
    </row>
    <row r="238" spans="1:194" hidden="1" x14ac:dyDescent="0.25">
      <c r="A238">
        <v>237</v>
      </c>
      <c r="B238" t="s">
        <v>2</v>
      </c>
      <c r="C238" s="4">
        <v>73.599999999999994</v>
      </c>
      <c r="D238">
        <v>3.2</v>
      </c>
      <c r="E238" s="1">
        <f>C238/3/D238</f>
        <v>7.6666666666666661</v>
      </c>
      <c r="G238">
        <v>34.76</v>
      </c>
      <c r="H238">
        <v>8.1999999999999993</v>
      </c>
      <c r="I238">
        <f>H238*D238*3</f>
        <v>78.72</v>
      </c>
      <c r="J238">
        <v>16.510000000000002</v>
      </c>
      <c r="K238">
        <v>8.4</v>
      </c>
      <c r="L238" s="3">
        <f>K238*3*D238</f>
        <v>80.640000000000015</v>
      </c>
      <c r="M238">
        <v>4.93</v>
      </c>
      <c r="N238">
        <v>6</v>
      </c>
      <c r="O238">
        <f>N238*D238*3</f>
        <v>57.600000000000009</v>
      </c>
      <c r="P238" s="5">
        <v>8.6</v>
      </c>
      <c r="Q238" s="5">
        <f>P238*D238*3</f>
        <v>82.56</v>
      </c>
      <c r="S238" t="s">
        <v>6368</v>
      </c>
      <c r="T238">
        <v>6</v>
      </c>
      <c r="U238" s="8">
        <f>T238*D238*3</f>
        <v>57.600000000000009</v>
      </c>
      <c r="V238">
        <v>37.65</v>
      </c>
      <c r="W238">
        <v>7.9</v>
      </c>
      <c r="X238" s="5">
        <f>W238*D238*3</f>
        <v>75.84</v>
      </c>
      <c r="Y238">
        <v>10.61</v>
      </c>
      <c r="Z238">
        <v>7.5</v>
      </c>
      <c r="AA238">
        <f>Z238*D238*3</f>
        <v>72</v>
      </c>
      <c r="AC238">
        <v>45.01</v>
      </c>
      <c r="AD238">
        <v>8</v>
      </c>
      <c r="AE238" s="1">
        <f>AD238*3*D238</f>
        <v>76.800000000000011</v>
      </c>
      <c r="AF238">
        <v>11.94</v>
      </c>
      <c r="AG238" s="5">
        <v>7</v>
      </c>
      <c r="AH238" s="5">
        <f>AG238*D238*3</f>
        <v>67.2</v>
      </c>
      <c r="AI238" s="13"/>
      <c r="AK238" s="8">
        <f>AJ238*D238*3</f>
        <v>0</v>
      </c>
      <c r="AL238" s="13"/>
      <c r="AM238">
        <v>30.37</v>
      </c>
      <c r="AN238">
        <v>7.3</v>
      </c>
      <c r="AO238" s="8">
        <f>AN238*D238*3</f>
        <v>70.08</v>
      </c>
      <c r="AP238">
        <v>14.91</v>
      </c>
      <c r="AQ238">
        <v>9.5</v>
      </c>
      <c r="AR238">
        <f>AQ238*D238*3</f>
        <v>91.2</v>
      </c>
      <c r="AT238">
        <v>9</v>
      </c>
      <c r="AU238">
        <f>AT238*D238*3</f>
        <v>86.4</v>
      </c>
      <c r="AW238">
        <v>26.79</v>
      </c>
      <c r="AX238">
        <v>9.1</v>
      </c>
      <c r="AY238">
        <f>AX238*D238*3</f>
        <v>87.36</v>
      </c>
      <c r="AZ238">
        <v>26.79</v>
      </c>
      <c r="BA238">
        <v>9.4</v>
      </c>
      <c r="BB238">
        <f>BA238*D238*3</f>
        <v>90.240000000000009</v>
      </c>
      <c r="BD238">
        <v>8.9</v>
      </c>
      <c r="BE238">
        <f>BD238*D238*3</f>
        <v>85.440000000000012</v>
      </c>
      <c r="BG238" s="10"/>
      <c r="BH238" s="1">
        <f>CHOOSE(MATCH(MIN(ABS(BP238-C238),ABS(BQ238-C238),ABS(BR238-C238)),CHOOSE({1;2;3},ABS(BP238-C238),ABS(BQ238-C238),ABS(BR238-C238)),0),BP238,BQ238,BR238)</f>
        <v>76.800000000000011</v>
      </c>
      <c r="BJ238" s="1" cm="1">
        <f t="array" ref="BJ238">(INDEX(_xlfn._xlws.SORT(CHOOSE({1;2;3;4;5;6},BQ238,BR238,L238,AE238,BO238,BP238)),3) + INDEX(_xlfn._xlws.SORT(CHOOSE({1;2;3;4;5;6},BQ238,BR238,L238,AE238,BO238,BP238)),4))/2</f>
        <v>76.800000000000011</v>
      </c>
      <c r="BK238">
        <v>7.71756632579749</v>
      </c>
      <c r="BL238" t="s">
        <v>6117</v>
      </c>
      <c r="BM238" s="1">
        <f>BK238*3*D238</f>
        <v>74.088636727655896</v>
      </c>
      <c r="BN238" s="1">
        <f>BM238-C238</f>
        <v>0.48863672765590138</v>
      </c>
      <c r="BO238" s="1">
        <f>GK238*3*D238</f>
        <v>50.400000000000006</v>
      </c>
      <c r="BP238" s="1">
        <f>DO238*3*D238</f>
        <v>86.4</v>
      </c>
      <c r="BQ238" s="1">
        <f>FJ238*3*D238</f>
        <v>76.800000000000011</v>
      </c>
      <c r="BR238" s="1">
        <f>GL238*3*D238</f>
        <v>38.400000000000006</v>
      </c>
      <c r="BT238">
        <v>34.76</v>
      </c>
      <c r="BU238">
        <v>8.1999999999999993</v>
      </c>
      <c r="BV238" t="s">
        <v>4991</v>
      </c>
      <c r="BW238" t="s">
        <v>5043</v>
      </c>
      <c r="BX238" t="s">
        <v>5701</v>
      </c>
      <c r="BY238" t="s">
        <v>5770</v>
      </c>
      <c r="BZ238" t="s">
        <v>5091</v>
      </c>
      <c r="CA238" t="s">
        <v>2723</v>
      </c>
      <c r="CC238" t="s">
        <v>2758</v>
      </c>
      <c r="CD238" t="s">
        <v>2508</v>
      </c>
      <c r="CE238" t="s">
        <v>2440</v>
      </c>
      <c r="CG238" t="s">
        <v>2761</v>
      </c>
      <c r="CH238" t="s">
        <v>2510</v>
      </c>
      <c r="CI238" t="s">
        <v>2443</v>
      </c>
      <c r="CK238" t="s">
        <v>2795</v>
      </c>
      <c r="CL238" t="s">
        <v>2512</v>
      </c>
      <c r="CM238" t="s">
        <v>2446</v>
      </c>
      <c r="CO238" t="s">
        <v>2796</v>
      </c>
      <c r="CP238" t="s">
        <v>2514</v>
      </c>
      <c r="CQ238" t="s">
        <v>2449</v>
      </c>
      <c r="CS238" t="s">
        <v>3013</v>
      </c>
      <c r="CT238" t="s">
        <v>2524</v>
      </c>
      <c r="CV238">
        <v>9</v>
      </c>
      <c r="CW238">
        <v>9</v>
      </c>
      <c r="CX238">
        <v>9</v>
      </c>
      <c r="CY238">
        <v>9</v>
      </c>
      <c r="CZ238">
        <v>9</v>
      </c>
      <c r="DA238">
        <v>0.1</v>
      </c>
      <c r="DB238">
        <v>0.1</v>
      </c>
      <c r="DC238">
        <v>0.2</v>
      </c>
      <c r="DD238">
        <v>0.3</v>
      </c>
      <c r="DE238">
        <v>0.3</v>
      </c>
      <c r="DF238">
        <v>0.9</v>
      </c>
      <c r="DG238">
        <v>0.9</v>
      </c>
      <c r="DH238">
        <v>1.8</v>
      </c>
      <c r="DI238">
        <v>2.7</v>
      </c>
      <c r="DJ238">
        <v>2.7</v>
      </c>
      <c r="DK238">
        <v>8.1999999999999993</v>
      </c>
      <c r="DL238">
        <v>0</v>
      </c>
      <c r="DM238">
        <v>8.1999999999999993</v>
      </c>
      <c r="DN238">
        <v>8.4</v>
      </c>
      <c r="DO238">
        <f>AVERAGE(CV238:CZ238)</f>
        <v>9</v>
      </c>
      <c r="DQ238" t="s">
        <v>27</v>
      </c>
      <c r="DR238" t="s">
        <v>211</v>
      </c>
      <c r="DS238" t="s">
        <v>66</v>
      </c>
      <c r="DT238" t="s">
        <v>67</v>
      </c>
      <c r="DU238" t="s">
        <v>68</v>
      </c>
      <c r="DV238" t="s">
        <v>212</v>
      </c>
      <c r="DW238" t="s">
        <v>3836</v>
      </c>
      <c r="DX238" t="s">
        <v>3858</v>
      </c>
      <c r="DY238" t="s">
        <v>3859</v>
      </c>
      <c r="DZ238" t="s">
        <v>3826</v>
      </c>
      <c r="EA238" t="s">
        <v>3860</v>
      </c>
      <c r="EB238" t="s">
        <v>3840</v>
      </c>
      <c r="EC238" t="s">
        <v>3861</v>
      </c>
      <c r="ED238" t="s">
        <v>3862</v>
      </c>
      <c r="EE238" t="s">
        <v>3863</v>
      </c>
      <c r="EF238" t="s">
        <v>3864</v>
      </c>
      <c r="EG238" t="s">
        <v>3865</v>
      </c>
      <c r="EH238" t="s">
        <v>3866</v>
      </c>
      <c r="EI238" t="s">
        <v>3867</v>
      </c>
      <c r="EJ238" t="s">
        <v>3868</v>
      </c>
      <c r="EK238" t="s">
        <v>3869</v>
      </c>
      <c r="EL238" t="s">
        <v>3870</v>
      </c>
      <c r="EM238" t="s">
        <v>3871</v>
      </c>
      <c r="EN238" t="s">
        <v>3872</v>
      </c>
      <c r="EO238" t="s">
        <v>3873</v>
      </c>
      <c r="EP238" t="s">
        <v>3874</v>
      </c>
      <c r="EQ238">
        <v>8</v>
      </c>
      <c r="ER238">
        <v>8</v>
      </c>
      <c r="ES238">
        <v>8</v>
      </c>
      <c r="ET238">
        <v>8</v>
      </c>
      <c r="EU238">
        <v>8</v>
      </c>
      <c r="EV238">
        <v>0.1</v>
      </c>
      <c r="EW238">
        <v>0.1</v>
      </c>
      <c r="EX238">
        <v>0.2</v>
      </c>
      <c r="EY238">
        <v>0.3</v>
      </c>
      <c r="EZ238">
        <v>0.3</v>
      </c>
      <c r="FA238">
        <f>EV238*EQ238</f>
        <v>0.8</v>
      </c>
      <c r="FB238">
        <f>EW238*ER238</f>
        <v>0.8</v>
      </c>
      <c r="FC238">
        <f>EX238*ES238</f>
        <v>1.6</v>
      </c>
      <c r="FD238">
        <f>EY238*ET238</f>
        <v>2.4</v>
      </c>
      <c r="FE238">
        <f>EZ238*EU238</f>
        <v>2.4</v>
      </c>
      <c r="FF238">
        <v>16</v>
      </c>
      <c r="FG238">
        <v>0</v>
      </c>
      <c r="FH238">
        <v>8</v>
      </c>
      <c r="FI238">
        <f>FA238+FB238+FC238+FD238+FE238</f>
        <v>8</v>
      </c>
      <c r="FJ238">
        <f>MEDIAN(EQ238:EU238)</f>
        <v>8</v>
      </c>
      <c r="FL238">
        <v>38.46</v>
      </c>
      <c r="FM238">
        <v>9</v>
      </c>
      <c r="FN238" t="s">
        <v>627</v>
      </c>
      <c r="FO238" t="s">
        <v>1729</v>
      </c>
      <c r="FP238" t="s">
        <v>1018</v>
      </c>
      <c r="FQ238" t="s">
        <v>1730</v>
      </c>
      <c r="FR238" t="s">
        <v>629</v>
      </c>
      <c r="FS238">
        <v>2.5</v>
      </c>
      <c r="FT238">
        <v>3</v>
      </c>
      <c r="FU238">
        <v>4</v>
      </c>
      <c r="FV238">
        <v>6</v>
      </c>
      <c r="FW238">
        <v>7</v>
      </c>
      <c r="FX238">
        <v>0.1</v>
      </c>
      <c r="FY238">
        <v>0.1</v>
      </c>
      <c r="FZ238">
        <v>0.2</v>
      </c>
      <c r="GA238">
        <v>0.3</v>
      </c>
      <c r="GB238">
        <v>0.3</v>
      </c>
      <c r="GC238">
        <f>FS238*FX238</f>
        <v>0.25</v>
      </c>
      <c r="GD238">
        <f>FT238*FY238</f>
        <v>0.30000000000000004</v>
      </c>
      <c r="GE238">
        <f>FU238*FZ238</f>
        <v>0.8</v>
      </c>
      <c r="GF238">
        <f>FV238*GA238</f>
        <v>1.7999999999999998</v>
      </c>
      <c r="GG238">
        <f>FW238*GB238</f>
        <v>2.1</v>
      </c>
      <c r="GH238">
        <v>9</v>
      </c>
      <c r="GI238">
        <v>0</v>
      </c>
      <c r="GJ238">
        <v>9</v>
      </c>
      <c r="GK238">
        <f>GC238+GD238+GE238+GF238+GG238</f>
        <v>5.25</v>
      </c>
      <c r="GL238">
        <f>MEDIAN(FS238:FW238)</f>
        <v>4</v>
      </c>
    </row>
    <row r="239" spans="1:194" x14ac:dyDescent="0.25">
      <c r="A239">
        <v>348</v>
      </c>
      <c r="B239" t="s">
        <v>2</v>
      </c>
      <c r="C239" s="4">
        <v>81</v>
      </c>
      <c r="D239">
        <v>3.6</v>
      </c>
      <c r="E239" s="1">
        <f>C239/3/D239</f>
        <v>7.5</v>
      </c>
      <c r="G239">
        <v>38.97</v>
      </c>
      <c r="H239">
        <v>8</v>
      </c>
      <c r="I239">
        <f>H239*D239*3</f>
        <v>86.4</v>
      </c>
      <c r="J239">
        <v>17.68</v>
      </c>
      <c r="K239">
        <v>9</v>
      </c>
      <c r="L239" s="3">
        <f>K239*3*D239</f>
        <v>97.2</v>
      </c>
      <c r="M239">
        <v>4.17</v>
      </c>
      <c r="N239">
        <v>9</v>
      </c>
      <c r="O239">
        <f>N239*D239*3</f>
        <v>97.199999999999989</v>
      </c>
      <c r="P239" s="5">
        <v>8.6999999999999993</v>
      </c>
      <c r="Q239" s="5">
        <f>P239*D239*3</f>
        <v>93.96</v>
      </c>
      <c r="S239" t="s">
        <v>6263</v>
      </c>
      <c r="T239">
        <v>2.6</v>
      </c>
      <c r="U239" s="8">
        <f>T239*D239*3</f>
        <v>28.080000000000005</v>
      </c>
      <c r="V239">
        <v>49.3</v>
      </c>
      <c r="W239">
        <v>8</v>
      </c>
      <c r="X239" s="5">
        <f>W239*D239*3</f>
        <v>86.4</v>
      </c>
      <c r="Y239">
        <v>11.65</v>
      </c>
      <c r="Z239">
        <v>6</v>
      </c>
      <c r="AA239">
        <f>Z239*D239*3</f>
        <v>64.800000000000011</v>
      </c>
      <c r="AC239">
        <v>142.91</v>
      </c>
      <c r="AD239">
        <v>8</v>
      </c>
      <c r="AE239" s="1">
        <f>AD239*3*D239</f>
        <v>86.4</v>
      </c>
      <c r="AF239">
        <v>11.87</v>
      </c>
      <c r="AG239" s="5">
        <v>7</v>
      </c>
      <c r="AH239" s="5">
        <f>AG239*D239*3</f>
        <v>75.599999999999994</v>
      </c>
      <c r="AI239" s="13"/>
      <c r="AJ239">
        <v>2.7</v>
      </c>
      <c r="AK239" s="8">
        <f>AJ239*D239*3</f>
        <v>29.160000000000004</v>
      </c>
      <c r="AL239" s="13"/>
      <c r="AM239">
        <v>30.03</v>
      </c>
      <c r="AN239">
        <v>7.5</v>
      </c>
      <c r="AO239" s="8">
        <f>AN239*D239*3</f>
        <v>81</v>
      </c>
      <c r="AP239">
        <v>12.92</v>
      </c>
      <c r="AQ239">
        <v>10</v>
      </c>
      <c r="AR239">
        <f>AQ239*D239*3</f>
        <v>108</v>
      </c>
      <c r="AT239">
        <v>8.5</v>
      </c>
      <c r="AU239">
        <f>AT239*D239*3</f>
        <v>91.800000000000011</v>
      </c>
      <c r="AX239">
        <v>8.8000000000000007</v>
      </c>
      <c r="AY239">
        <f>AX239*D239*3</f>
        <v>95.04</v>
      </c>
      <c r="BA239">
        <v>8.4</v>
      </c>
      <c r="BB239">
        <f>BA239*D239*3</f>
        <v>90.72</v>
      </c>
      <c r="BC239">
        <v>29.19</v>
      </c>
      <c r="BD239">
        <v>8.9</v>
      </c>
      <c r="BE239">
        <f>BD239*D239*3</f>
        <v>96.12</v>
      </c>
      <c r="BG239" s="10"/>
      <c r="BH239" s="1">
        <f>CHOOSE(MATCH(MIN(ABS(BP239-C239),ABS(BQ239-C239),ABS(BR239-C239)),CHOOSE({1;2;3},ABS(BP239-C239),ABS(BQ239-C239),ABS(BR239-C239)),0),BP239,BQ239,BR239)</f>
        <v>86.4</v>
      </c>
      <c r="BJ239" s="1" cm="1">
        <f t="array" ref="BJ239">(INDEX(_xlfn._xlws.SORT(CHOOSE({1;2;3;4;5;6},BQ239,BR239,L239,AE239,BO239,BP239)),3) + INDEX(_xlfn._xlws.SORT(CHOOSE({1;2;3;4;5;6},BQ239,BR239,L239,AE239,BO239,BP239)),4))/2</f>
        <v>89.1</v>
      </c>
      <c r="BK239">
        <v>8.2656961121691399</v>
      </c>
      <c r="BL239" s="11" t="s">
        <v>6116</v>
      </c>
      <c r="BM239" s="1">
        <f>BK239*3*D239</f>
        <v>89.269518011426726</v>
      </c>
      <c r="BN239" s="1">
        <f>BM239-C239</f>
        <v>8.2695180114267259</v>
      </c>
      <c r="BO239" s="1">
        <f>GK239*3*D239</f>
        <v>84.779999999999987</v>
      </c>
      <c r="BP239" s="1">
        <f>DO239*3*D239</f>
        <v>97.2</v>
      </c>
      <c r="BQ239" s="1">
        <f>FJ239*3*D239</f>
        <v>86.4</v>
      </c>
      <c r="BR239" s="1">
        <f>GL239*3*D239</f>
        <v>91.8</v>
      </c>
      <c r="BT239">
        <v>38.97</v>
      </c>
      <c r="BU239">
        <v>8</v>
      </c>
      <c r="BV239" t="s">
        <v>5114</v>
      </c>
      <c r="BW239" t="s">
        <v>5830</v>
      </c>
      <c r="BX239" t="s">
        <v>5095</v>
      </c>
      <c r="BY239" t="s">
        <v>5755</v>
      </c>
      <c r="BZ239" t="s">
        <v>6040</v>
      </c>
      <c r="CA239" t="s">
        <v>2452</v>
      </c>
      <c r="CC239" t="s">
        <v>2585</v>
      </c>
      <c r="CD239" t="s">
        <v>2453</v>
      </c>
      <c r="CE239" t="s">
        <v>2586</v>
      </c>
      <c r="CG239" t="s">
        <v>2441</v>
      </c>
      <c r="CH239" t="s">
        <v>2587</v>
      </c>
      <c r="CI239" t="s">
        <v>2567</v>
      </c>
      <c r="CK239" t="s">
        <v>2444</v>
      </c>
      <c r="CL239" t="s">
        <v>2588</v>
      </c>
      <c r="CM239" t="s">
        <v>2589</v>
      </c>
      <c r="CO239" t="s">
        <v>2447</v>
      </c>
      <c r="CP239" t="s">
        <v>2590</v>
      </c>
      <c r="CQ239" t="s">
        <v>3022</v>
      </c>
      <c r="CS239" t="s">
        <v>2450</v>
      </c>
      <c r="CT239" t="s">
        <v>2592</v>
      </c>
      <c r="CV239">
        <v>9</v>
      </c>
      <c r="CW239">
        <v>9</v>
      </c>
      <c r="CX239">
        <v>9</v>
      </c>
      <c r="CY239">
        <v>9</v>
      </c>
      <c r="CZ239">
        <v>9</v>
      </c>
      <c r="DA239">
        <v>0.1</v>
      </c>
      <c r="DB239">
        <v>0.1</v>
      </c>
      <c r="DC239">
        <v>0.2</v>
      </c>
      <c r="DD239">
        <v>0.3</v>
      </c>
      <c r="DE239">
        <v>0.3</v>
      </c>
      <c r="DF239">
        <v>0.9</v>
      </c>
      <c r="DG239">
        <v>0.9</v>
      </c>
      <c r="DH239">
        <v>1.8</v>
      </c>
      <c r="DI239">
        <v>2.7</v>
      </c>
      <c r="DJ239">
        <v>2.7</v>
      </c>
      <c r="DK239">
        <v>8</v>
      </c>
      <c r="DL239">
        <v>0</v>
      </c>
      <c r="DM239">
        <v>8</v>
      </c>
      <c r="DN239">
        <v>9</v>
      </c>
      <c r="DO239">
        <f>AVERAGE(CV239:CZ239)</f>
        <v>9</v>
      </c>
      <c r="DQ239">
        <v>8</v>
      </c>
      <c r="DR239" t="s">
        <v>33</v>
      </c>
      <c r="DS239" t="s">
        <v>223</v>
      </c>
      <c r="DT239" t="s">
        <v>35</v>
      </c>
      <c r="DU239" t="s">
        <v>36</v>
      </c>
      <c r="DV239" t="s">
        <v>200</v>
      </c>
      <c r="DW239" t="s">
        <v>3788</v>
      </c>
      <c r="DX239" t="s">
        <v>3789</v>
      </c>
      <c r="DY239" t="s">
        <v>3790</v>
      </c>
      <c r="DZ239" t="s">
        <v>3791</v>
      </c>
      <c r="EA239" t="s">
        <v>3792</v>
      </c>
      <c r="EB239" t="s">
        <v>3793</v>
      </c>
      <c r="EC239" t="s">
        <v>4261</v>
      </c>
      <c r="ED239" t="s">
        <v>3795</v>
      </c>
      <c r="EE239" t="s">
        <v>3796</v>
      </c>
      <c r="EF239" t="s">
        <v>3797</v>
      </c>
      <c r="EG239" t="s">
        <v>3798</v>
      </c>
      <c r="EH239" t="s">
        <v>3798</v>
      </c>
      <c r="EI239" t="s">
        <v>3799</v>
      </c>
      <c r="EJ239" t="s">
        <v>3800</v>
      </c>
      <c r="EK239" t="s">
        <v>3801</v>
      </c>
      <c r="EL239" t="s">
        <v>3801</v>
      </c>
      <c r="EM239" t="s">
        <v>4227</v>
      </c>
      <c r="EN239" t="s">
        <v>3803</v>
      </c>
      <c r="EO239" t="s">
        <v>4228</v>
      </c>
      <c r="EP239" t="s">
        <v>4262</v>
      </c>
      <c r="EQ239">
        <v>8</v>
      </c>
      <c r="ER239">
        <v>8</v>
      </c>
      <c r="ES239">
        <v>8</v>
      </c>
      <c r="ET239">
        <v>8</v>
      </c>
      <c r="EU239">
        <v>8</v>
      </c>
      <c r="EV239">
        <v>0.1</v>
      </c>
      <c r="EW239">
        <v>0.1</v>
      </c>
      <c r="EX239">
        <v>0.2</v>
      </c>
      <c r="EY239">
        <v>0.3</v>
      </c>
      <c r="EZ239">
        <v>0.3</v>
      </c>
      <c r="FA239">
        <f>EV239*EQ239</f>
        <v>0.8</v>
      </c>
      <c r="FB239">
        <f>EW239*ER239</f>
        <v>0.8</v>
      </c>
      <c r="FC239">
        <f>EX239*ES239</f>
        <v>1.6</v>
      </c>
      <c r="FD239">
        <f>EY239*ET239</f>
        <v>2.4</v>
      </c>
      <c r="FE239">
        <f>EZ239*EU239</f>
        <v>2.4</v>
      </c>
      <c r="FF239">
        <v>17</v>
      </c>
      <c r="FG239">
        <v>0</v>
      </c>
      <c r="FH239">
        <v>8</v>
      </c>
      <c r="FI239">
        <f>FA239+FB239+FC239+FD239+FE239</f>
        <v>8</v>
      </c>
      <c r="FJ239">
        <f>MEDIAN(EQ239:EU239)</f>
        <v>8</v>
      </c>
      <c r="FL239">
        <v>66.44</v>
      </c>
      <c r="FM239">
        <v>14.5</v>
      </c>
      <c r="FN239" t="s">
        <v>2253</v>
      </c>
      <c r="FO239" t="s">
        <v>2254</v>
      </c>
      <c r="FP239" t="s">
        <v>2255</v>
      </c>
      <c r="FQ239" t="s">
        <v>2256</v>
      </c>
      <c r="FR239" t="s">
        <v>2257</v>
      </c>
      <c r="FS239">
        <v>1</v>
      </c>
      <c r="FT239">
        <v>9.5</v>
      </c>
      <c r="FU239">
        <v>8.5</v>
      </c>
      <c r="FV239">
        <v>7.5</v>
      </c>
      <c r="FW239">
        <v>9.5</v>
      </c>
      <c r="FX239">
        <v>0.1</v>
      </c>
      <c r="FY239">
        <v>0.1</v>
      </c>
      <c r="FZ239">
        <v>0.2</v>
      </c>
      <c r="GA239">
        <v>0.3</v>
      </c>
      <c r="GB239">
        <v>0.3</v>
      </c>
      <c r="GC239">
        <f>FS239*FX239</f>
        <v>0.1</v>
      </c>
      <c r="GD239">
        <f>FT239*FY239</f>
        <v>0.95000000000000007</v>
      </c>
      <c r="GE239">
        <f>FU239*FZ239</f>
        <v>1.7000000000000002</v>
      </c>
      <c r="GF239">
        <f>FV239*GA239</f>
        <v>2.25</v>
      </c>
      <c r="GG239">
        <f>FW239*GB239</f>
        <v>2.85</v>
      </c>
      <c r="GH239">
        <v>14.5</v>
      </c>
      <c r="GI239">
        <v>0</v>
      </c>
      <c r="GJ239">
        <v>14.5</v>
      </c>
      <c r="GK239">
        <f>GC239+GD239+GE239+GF239+GG239</f>
        <v>7.85</v>
      </c>
      <c r="GL239">
        <f>MEDIAN(FS239:FW239)</f>
        <v>8.5</v>
      </c>
    </row>
    <row r="240" spans="1:194" x14ac:dyDescent="0.25">
      <c r="A240">
        <v>112</v>
      </c>
      <c r="B240" t="s">
        <v>2</v>
      </c>
      <c r="C240" s="4">
        <v>84</v>
      </c>
      <c r="D240">
        <v>3.5</v>
      </c>
      <c r="E240" s="1">
        <f>C240/3/D240</f>
        <v>8</v>
      </c>
      <c r="G240">
        <v>78.59</v>
      </c>
      <c r="H240">
        <v>8.1999999999999993</v>
      </c>
      <c r="I240">
        <f>H240*D240*3</f>
        <v>86.1</v>
      </c>
      <c r="J240">
        <v>16.48</v>
      </c>
      <c r="K240">
        <v>8.4</v>
      </c>
      <c r="L240" s="3">
        <f>K240*3*D240</f>
        <v>88.200000000000017</v>
      </c>
      <c r="M240">
        <v>5.0199999999999996</v>
      </c>
      <c r="N240">
        <v>6.5</v>
      </c>
      <c r="O240">
        <f>N240*D240*3</f>
        <v>68.25</v>
      </c>
      <c r="P240" s="5">
        <v>8</v>
      </c>
      <c r="Q240" s="5">
        <f>P240*D240*3</f>
        <v>84</v>
      </c>
      <c r="S240" t="s">
        <v>6247</v>
      </c>
      <c r="T240">
        <v>4.7</v>
      </c>
      <c r="U240" s="8">
        <f>T240*D240*3</f>
        <v>49.349999999999994</v>
      </c>
      <c r="V240">
        <v>32.24</v>
      </c>
      <c r="W240">
        <v>8.4</v>
      </c>
      <c r="X240" s="5">
        <f>W240*D240*3</f>
        <v>88.2</v>
      </c>
      <c r="Y240">
        <v>9.85</v>
      </c>
      <c r="Z240">
        <v>7.8</v>
      </c>
      <c r="AA240">
        <f>Z240*D240*3</f>
        <v>81.900000000000006</v>
      </c>
      <c r="AC240">
        <v>49.56</v>
      </c>
      <c r="AD240">
        <v>8</v>
      </c>
      <c r="AE240" s="1">
        <f>AD240*3*D240</f>
        <v>84</v>
      </c>
      <c r="AF240">
        <v>12.34</v>
      </c>
      <c r="AG240" s="5">
        <v>7</v>
      </c>
      <c r="AH240" s="5">
        <f>AG240*D240*3</f>
        <v>73.5</v>
      </c>
      <c r="AI240" s="13"/>
      <c r="AJ240">
        <v>2.7</v>
      </c>
      <c r="AK240" s="8">
        <f>AJ240*D240*3</f>
        <v>28.35</v>
      </c>
      <c r="AL240" s="13"/>
      <c r="AM240">
        <v>30.54</v>
      </c>
      <c r="AN240">
        <v>7.2</v>
      </c>
      <c r="AO240" s="8">
        <f>AN240*D240*3</f>
        <v>75.599999999999994</v>
      </c>
      <c r="AP240">
        <v>15.05</v>
      </c>
      <c r="AQ240">
        <v>10</v>
      </c>
      <c r="AR240">
        <f>AQ240*D240*3</f>
        <v>105</v>
      </c>
      <c r="AT240">
        <v>9.3000000000000007</v>
      </c>
      <c r="AU240">
        <f>AT240*D240*3</f>
        <v>97.65</v>
      </c>
      <c r="AW240">
        <v>26.63</v>
      </c>
      <c r="AX240">
        <v>9.4</v>
      </c>
      <c r="AY240">
        <f>AX240*D240*3</f>
        <v>98.699999999999989</v>
      </c>
      <c r="AZ240">
        <v>26.63</v>
      </c>
      <c r="BA240">
        <v>8.6999999999999993</v>
      </c>
      <c r="BB240">
        <f>BA240*D240*3</f>
        <v>91.35</v>
      </c>
      <c r="BD240">
        <v>8.6</v>
      </c>
      <c r="BE240">
        <f>BD240*D240*3</f>
        <v>90.3</v>
      </c>
      <c r="BG240" s="10"/>
      <c r="BH240" s="1">
        <f>CHOOSE(MATCH(MIN(ABS(BP240-C240),ABS(BQ240-C240),ABS(BR240-C240)),CHOOSE({1;2;3},ABS(BP240-C240),ABS(BQ240-C240),ABS(BR240-C240)),0),BP240,BQ240,BR240)</f>
        <v>84</v>
      </c>
      <c r="BJ240" s="1" cm="1">
        <f t="array" ref="BJ240">(INDEX(_xlfn._xlws.SORT(CHOOSE({1;2;3;4;5;6},BQ240,BR240,L240,AE240,BO240,BP240)),3) + INDEX(_xlfn._xlws.SORT(CHOOSE({1;2;3;4;5;6},BQ240,BR240,L240,AE240,BO240,BP240)),4))/2</f>
        <v>84</v>
      </c>
      <c r="BK240">
        <v>8.7876533636342593</v>
      </c>
      <c r="BL240" s="11" t="s">
        <v>6116</v>
      </c>
      <c r="BM240" s="1">
        <f>BK240*3*D240</f>
        <v>92.270360318159717</v>
      </c>
      <c r="BN240" s="1">
        <f>BM240-C240</f>
        <v>8.2703603181597174</v>
      </c>
      <c r="BO240" s="1">
        <f>GK240*3*D240</f>
        <v>67.725000000000009</v>
      </c>
      <c r="BP240" s="1">
        <f>DO240*3*D240</f>
        <v>94.5</v>
      </c>
      <c r="BQ240" s="1">
        <f>FJ240*3*D240</f>
        <v>84</v>
      </c>
      <c r="BR240" s="1">
        <f>GL240*3*D240</f>
        <v>68.25</v>
      </c>
      <c r="BT240">
        <v>78.59</v>
      </c>
      <c r="BU240">
        <v>8.1999999999999993</v>
      </c>
      <c r="BV240" t="s">
        <v>5379</v>
      </c>
      <c r="BW240" t="s">
        <v>5056</v>
      </c>
      <c r="BX240" t="s">
        <v>5380</v>
      </c>
      <c r="BY240" t="s">
        <v>5381</v>
      </c>
      <c r="BZ240" t="s">
        <v>5382</v>
      </c>
      <c r="CA240" t="s">
        <v>2437</v>
      </c>
      <c r="CC240" t="s">
        <v>2758</v>
      </c>
      <c r="CD240" t="s">
        <v>3052</v>
      </c>
      <c r="CE240" t="s">
        <v>2440</v>
      </c>
      <c r="CG240" t="s">
        <v>2761</v>
      </c>
      <c r="CH240" t="s">
        <v>2495</v>
      </c>
      <c r="CI240" t="s">
        <v>2443</v>
      </c>
      <c r="CK240" t="s">
        <v>2795</v>
      </c>
      <c r="CL240" t="s">
        <v>2498</v>
      </c>
      <c r="CM240" t="s">
        <v>2446</v>
      </c>
      <c r="CO240" t="s">
        <v>2796</v>
      </c>
      <c r="CP240" t="s">
        <v>2501</v>
      </c>
      <c r="CQ240" t="s">
        <v>2449</v>
      </c>
      <c r="CS240" t="s">
        <v>2679</v>
      </c>
      <c r="CT240" t="s">
        <v>2632</v>
      </c>
      <c r="CV240">
        <v>9</v>
      </c>
      <c r="CW240">
        <v>9</v>
      </c>
      <c r="CX240">
        <v>9</v>
      </c>
      <c r="CY240">
        <v>9</v>
      </c>
      <c r="CZ240">
        <v>9</v>
      </c>
      <c r="DA240">
        <v>0.1</v>
      </c>
      <c r="DB240">
        <v>0.1</v>
      </c>
      <c r="DC240">
        <v>0.2</v>
      </c>
      <c r="DD240">
        <v>0.3</v>
      </c>
      <c r="DE240">
        <v>0.3</v>
      </c>
      <c r="DF240">
        <v>0.9</v>
      </c>
      <c r="DG240">
        <v>0.9</v>
      </c>
      <c r="DH240">
        <v>1.8</v>
      </c>
      <c r="DI240">
        <v>2.7</v>
      </c>
      <c r="DJ240">
        <v>2.7</v>
      </c>
      <c r="DK240">
        <v>8.1999999999999993</v>
      </c>
      <c r="DL240">
        <v>0</v>
      </c>
      <c r="DM240">
        <v>8.1999999999999993</v>
      </c>
      <c r="DN240">
        <v>8.4</v>
      </c>
      <c r="DO240">
        <f>AVERAGE(CV240:CZ240)</f>
        <v>9</v>
      </c>
      <c r="DQ240">
        <v>8</v>
      </c>
      <c r="DR240" t="s">
        <v>33</v>
      </c>
      <c r="DS240" t="s">
        <v>223</v>
      </c>
      <c r="DT240" t="s">
        <v>35</v>
      </c>
      <c r="DU240" t="s">
        <v>36</v>
      </c>
      <c r="DV240" t="s">
        <v>200</v>
      </c>
      <c r="DW240" t="s">
        <v>3788</v>
      </c>
      <c r="DX240" t="s">
        <v>3789</v>
      </c>
      <c r="DY240" t="s">
        <v>3790</v>
      </c>
      <c r="DZ240" t="s">
        <v>3791</v>
      </c>
      <c r="EA240" t="s">
        <v>3792</v>
      </c>
      <c r="EB240" t="s">
        <v>3793</v>
      </c>
      <c r="EC240" t="s">
        <v>4261</v>
      </c>
      <c r="ED240" t="s">
        <v>3795</v>
      </c>
      <c r="EE240" t="s">
        <v>3796</v>
      </c>
      <c r="EF240" t="s">
        <v>3797</v>
      </c>
      <c r="EG240" t="s">
        <v>3798</v>
      </c>
      <c r="EH240" t="s">
        <v>3798</v>
      </c>
      <c r="EI240" t="s">
        <v>3799</v>
      </c>
      <c r="EJ240" t="s">
        <v>3800</v>
      </c>
      <c r="EK240" t="s">
        <v>3801</v>
      </c>
      <c r="EL240" t="s">
        <v>3801</v>
      </c>
      <c r="EM240" t="s">
        <v>4227</v>
      </c>
      <c r="EN240" t="s">
        <v>3803</v>
      </c>
      <c r="EO240" t="s">
        <v>4228</v>
      </c>
      <c r="EP240" t="s">
        <v>4262</v>
      </c>
      <c r="EQ240">
        <v>8</v>
      </c>
      <c r="ER240">
        <v>8</v>
      </c>
      <c r="ES240">
        <v>8</v>
      </c>
      <c r="ET240">
        <v>8</v>
      </c>
      <c r="EU240">
        <v>8</v>
      </c>
      <c r="EV240">
        <v>0.1</v>
      </c>
      <c r="EW240">
        <v>0.1</v>
      </c>
      <c r="EX240">
        <v>0.2</v>
      </c>
      <c r="EY240">
        <v>0.3</v>
      </c>
      <c r="EZ240">
        <v>0.3</v>
      </c>
      <c r="FA240">
        <f>EV240*EQ240</f>
        <v>0.8</v>
      </c>
      <c r="FB240">
        <f>EW240*ER240</f>
        <v>0.8</v>
      </c>
      <c r="FC240">
        <f>EX240*ES240</f>
        <v>1.6</v>
      </c>
      <c r="FD240">
        <f>EY240*ET240</f>
        <v>2.4</v>
      </c>
      <c r="FE240">
        <f>EZ240*EU240</f>
        <v>2.4</v>
      </c>
      <c r="FF240">
        <v>16</v>
      </c>
      <c r="FG240">
        <v>0</v>
      </c>
      <c r="FH240">
        <v>8</v>
      </c>
      <c r="FI240">
        <f>FA240+FB240+FC240+FD240+FE240</f>
        <v>8</v>
      </c>
      <c r="FJ240">
        <f>MEDIAN(EQ240:EU240)</f>
        <v>8</v>
      </c>
      <c r="FL240">
        <v>75.599999999999994</v>
      </c>
      <c r="FM240">
        <v>8</v>
      </c>
      <c r="FN240" t="s">
        <v>1135</v>
      </c>
      <c r="FO240" t="s">
        <v>1136</v>
      </c>
      <c r="FP240" t="s">
        <v>1137</v>
      </c>
      <c r="FQ240" t="s">
        <v>1138</v>
      </c>
      <c r="FR240" t="s">
        <v>1139</v>
      </c>
      <c r="FS240">
        <v>6.5</v>
      </c>
      <c r="FT240">
        <v>7</v>
      </c>
      <c r="FU240">
        <v>4.5</v>
      </c>
      <c r="FV240">
        <v>8</v>
      </c>
      <c r="FW240">
        <v>6</v>
      </c>
      <c r="FX240">
        <v>0.1</v>
      </c>
      <c r="FY240">
        <v>0.1</v>
      </c>
      <c r="FZ240">
        <v>0.2</v>
      </c>
      <c r="GA240">
        <v>0.3</v>
      </c>
      <c r="GB240">
        <v>0.3</v>
      </c>
      <c r="GC240">
        <f>FS240*FX240</f>
        <v>0.65</v>
      </c>
      <c r="GD240">
        <f>FT240*FY240</f>
        <v>0.70000000000000007</v>
      </c>
      <c r="GE240">
        <f>FU240*FZ240</f>
        <v>0.9</v>
      </c>
      <c r="GF240">
        <f>FV240*GA240</f>
        <v>2.4</v>
      </c>
      <c r="GG240">
        <f>FW240*GB240</f>
        <v>1.7999999999999998</v>
      </c>
      <c r="GH240">
        <v>8</v>
      </c>
      <c r="GI240">
        <v>0</v>
      </c>
      <c r="GJ240">
        <v>8</v>
      </c>
      <c r="GK240">
        <f>GC240+GD240+GE240+GF240+GG240</f>
        <v>6.45</v>
      </c>
      <c r="GL240">
        <f>MEDIAN(FS240:FW240)</f>
        <v>6.5</v>
      </c>
    </row>
    <row r="241" spans="1:194" hidden="1" x14ac:dyDescent="0.25">
      <c r="A241">
        <v>240</v>
      </c>
      <c r="B241" t="s">
        <v>2</v>
      </c>
      <c r="C241" s="4">
        <v>76.8</v>
      </c>
      <c r="D241">
        <v>3.2</v>
      </c>
      <c r="E241" s="1">
        <f>C241/3/D241</f>
        <v>7.9999999999999991</v>
      </c>
      <c r="G241">
        <v>91.94</v>
      </c>
      <c r="H241">
        <v>4.3</v>
      </c>
      <c r="I241">
        <f>H241*D241*3</f>
        <v>41.28</v>
      </c>
      <c r="J241">
        <v>17.739999999999998</v>
      </c>
      <c r="K241">
        <v>9</v>
      </c>
      <c r="L241" s="3">
        <f>K241*3*D241</f>
        <v>86.4</v>
      </c>
      <c r="M241">
        <v>5.27</v>
      </c>
      <c r="N241">
        <v>5</v>
      </c>
      <c r="O241">
        <f>N241*D241*3</f>
        <v>48</v>
      </c>
      <c r="P241" s="5">
        <v>7.2</v>
      </c>
      <c r="Q241" s="5">
        <f>P241*D241*3</f>
        <v>69.12</v>
      </c>
      <c r="S241" t="s">
        <v>6371</v>
      </c>
      <c r="T241">
        <v>5</v>
      </c>
      <c r="U241" s="8">
        <f>T241*D241*3</f>
        <v>48</v>
      </c>
      <c r="V241">
        <v>37.630000000000003</v>
      </c>
      <c r="W241">
        <v>6.7</v>
      </c>
      <c r="X241" s="5">
        <f>W241*D241*3</f>
        <v>64.320000000000007</v>
      </c>
      <c r="Y241">
        <v>9.5500000000000007</v>
      </c>
      <c r="Z241">
        <v>7.6</v>
      </c>
      <c r="AA241">
        <f>Z241*D241*3</f>
        <v>72.960000000000008</v>
      </c>
      <c r="AC241">
        <v>47.88</v>
      </c>
      <c r="AD241">
        <v>7.9</v>
      </c>
      <c r="AE241" s="1">
        <f>AD241*3*D241</f>
        <v>75.840000000000018</v>
      </c>
      <c r="AF241">
        <v>13.45</v>
      </c>
      <c r="AH241" s="5">
        <f>AG241*D241*3</f>
        <v>0</v>
      </c>
      <c r="AI241" s="13"/>
      <c r="AJ241">
        <v>8.6999999999999993</v>
      </c>
      <c r="AK241" s="8">
        <f>AJ241*D241*3</f>
        <v>83.52</v>
      </c>
      <c r="AL241" s="13"/>
      <c r="AM241">
        <v>30.24</v>
      </c>
      <c r="AN241">
        <v>8.1</v>
      </c>
      <c r="AO241" s="8">
        <f>AN241*D241*3</f>
        <v>77.760000000000005</v>
      </c>
      <c r="AP241">
        <v>15</v>
      </c>
      <c r="AQ241">
        <v>9.4</v>
      </c>
      <c r="AR241">
        <f>AQ241*D241*3</f>
        <v>90.240000000000009</v>
      </c>
      <c r="AT241">
        <v>8.5</v>
      </c>
      <c r="AU241">
        <f>AT241*D241*3</f>
        <v>81.600000000000009</v>
      </c>
      <c r="AW241">
        <v>24.31</v>
      </c>
      <c r="AX241">
        <v>9.6</v>
      </c>
      <c r="AY241">
        <f>AX241*D241*3</f>
        <v>92.16</v>
      </c>
      <c r="AZ241">
        <v>24.31</v>
      </c>
      <c r="BA241">
        <v>8.4</v>
      </c>
      <c r="BB241">
        <f>BA241*D241*3</f>
        <v>80.640000000000015</v>
      </c>
      <c r="BD241">
        <v>8.9</v>
      </c>
      <c r="BE241">
        <f>BD241*D241*3</f>
        <v>85.440000000000012</v>
      </c>
      <c r="BG241" s="10"/>
      <c r="BH241" s="1">
        <f>CHOOSE(MATCH(MIN(ABS(BP241-C241),ABS(BQ241-C241),ABS(BR241-C241)),CHOOSE({1;2;3},ABS(BP241-C241),ABS(BQ241-C241),ABS(BR241-C241)),0),BP241,BQ241,BR241)</f>
        <v>76.800000000000011</v>
      </c>
      <c r="BJ241" s="1" cm="1">
        <f t="array" ref="BJ241">(INDEX(_xlfn._xlws.SORT(CHOOSE({1;2;3;4;5;6},BQ241,BR241,L241,AE241,BO241,BP241)),3) + INDEX(_xlfn._xlws.SORT(CHOOSE({1;2;3;4;5;6},BQ241,BR241,L241,AE241,BO241,BP241)),4))/2</f>
        <v>68.640000000000015</v>
      </c>
      <c r="BK241">
        <v>8.0117007092580206</v>
      </c>
      <c r="BL241" t="s">
        <v>6117</v>
      </c>
      <c r="BM241" s="1">
        <f>BK241*3*D241</f>
        <v>76.912326808876998</v>
      </c>
      <c r="BN241" s="1">
        <f>BM241-C241</f>
        <v>0.11232680887700042</v>
      </c>
      <c r="BO241" s="1">
        <f>GK241*3*D241</f>
        <v>55.68</v>
      </c>
      <c r="BP241" s="1">
        <f>DO241*3*D241</f>
        <v>61.440000000000012</v>
      </c>
      <c r="BQ241" s="1">
        <f>FJ241*3*D241</f>
        <v>76.800000000000011</v>
      </c>
      <c r="BR241" s="1">
        <f>GL241*3*D241</f>
        <v>9.6000000000000014</v>
      </c>
      <c r="BT241">
        <v>91.94</v>
      </c>
      <c r="BU241">
        <v>4.3</v>
      </c>
      <c r="BV241" t="s">
        <v>5633</v>
      </c>
      <c r="BW241" t="s">
        <v>5772</v>
      </c>
      <c r="BX241" t="s">
        <v>5773</v>
      </c>
      <c r="BY241" t="s">
        <v>5774</v>
      </c>
      <c r="BZ241" t="s">
        <v>5775</v>
      </c>
      <c r="CA241" t="s">
        <v>2437</v>
      </c>
      <c r="CC241" t="s">
        <v>2438</v>
      </c>
      <c r="CD241" t="s">
        <v>2439</v>
      </c>
      <c r="CE241" t="s">
        <v>2440</v>
      </c>
      <c r="CG241" t="s">
        <v>2647</v>
      </c>
      <c r="CH241" t="s">
        <v>2648</v>
      </c>
      <c r="CI241" t="s">
        <v>2535</v>
      </c>
      <c r="CJ241" t="s">
        <v>2427</v>
      </c>
      <c r="CK241" t="s">
        <v>3004</v>
      </c>
      <c r="CL241" t="s">
        <v>3005</v>
      </c>
      <c r="CM241" t="s">
        <v>3006</v>
      </c>
      <c r="CN241" t="s">
        <v>3006</v>
      </c>
      <c r="CO241" t="s">
        <v>3007</v>
      </c>
      <c r="CP241" t="s">
        <v>3008</v>
      </c>
      <c r="CQ241" t="s">
        <v>3009</v>
      </c>
      <c r="CR241" t="s">
        <v>3009</v>
      </c>
      <c r="CS241" t="s">
        <v>3010</v>
      </c>
      <c r="CT241" t="s">
        <v>3011</v>
      </c>
      <c r="CV241">
        <v>9</v>
      </c>
      <c r="CW241">
        <v>9</v>
      </c>
      <c r="CX241">
        <v>7</v>
      </c>
      <c r="CY241">
        <v>5</v>
      </c>
      <c r="CZ241">
        <v>2</v>
      </c>
      <c r="DA241">
        <v>0.1</v>
      </c>
      <c r="DB241">
        <v>0.1</v>
      </c>
      <c r="DC241">
        <v>0.2</v>
      </c>
      <c r="DD241">
        <v>0.3</v>
      </c>
      <c r="DE241">
        <v>0.3</v>
      </c>
      <c r="DF241">
        <v>0.9</v>
      </c>
      <c r="DG241">
        <v>0.9</v>
      </c>
      <c r="DH241">
        <v>1.4</v>
      </c>
      <c r="DI241">
        <v>1.5</v>
      </c>
      <c r="DJ241">
        <v>0.6</v>
      </c>
      <c r="DK241">
        <v>4.3</v>
      </c>
      <c r="DL241">
        <v>0</v>
      </c>
      <c r="DM241">
        <v>4.3</v>
      </c>
      <c r="DN241">
        <v>9</v>
      </c>
      <c r="DO241">
        <f>AVERAGE(CV241:CZ241)</f>
        <v>6.4</v>
      </c>
      <c r="DQ241">
        <v>15</v>
      </c>
      <c r="DR241" t="s">
        <v>28</v>
      </c>
      <c r="DS241" t="s">
        <v>29</v>
      </c>
      <c r="DT241" t="s">
        <v>57</v>
      </c>
      <c r="DU241" t="s">
        <v>58</v>
      </c>
      <c r="DV241" t="s">
        <v>59</v>
      </c>
      <c r="DW241" t="s">
        <v>3769</v>
      </c>
      <c r="DX241" t="s">
        <v>3770</v>
      </c>
      <c r="DY241" t="s">
        <v>3771</v>
      </c>
      <c r="DZ241" t="s">
        <v>3772</v>
      </c>
      <c r="EA241" t="s">
        <v>3860</v>
      </c>
      <c r="EB241" t="s">
        <v>3807</v>
      </c>
      <c r="EC241" t="s">
        <v>3775</v>
      </c>
      <c r="ED241" t="s">
        <v>3776</v>
      </c>
      <c r="EE241" t="s">
        <v>3819</v>
      </c>
      <c r="EF241" t="s">
        <v>3809</v>
      </c>
      <c r="EG241" t="s">
        <v>3810</v>
      </c>
      <c r="EH241" t="s">
        <v>3811</v>
      </c>
      <c r="EI241" t="s">
        <v>3820</v>
      </c>
      <c r="EJ241" t="s">
        <v>3813</v>
      </c>
      <c r="EK241" t="s">
        <v>3855</v>
      </c>
      <c r="EL241" t="s">
        <v>3856</v>
      </c>
      <c r="EM241" t="s">
        <v>3816</v>
      </c>
      <c r="EN241" t="s">
        <v>3823</v>
      </c>
      <c r="EO241" t="s">
        <v>3824</v>
      </c>
      <c r="EP241" t="s">
        <v>3857</v>
      </c>
      <c r="EQ241">
        <v>7</v>
      </c>
      <c r="ER241">
        <v>8</v>
      </c>
      <c r="ES241">
        <v>8</v>
      </c>
      <c r="ET241">
        <v>8</v>
      </c>
      <c r="EU241">
        <v>8</v>
      </c>
      <c r="EV241">
        <v>0.1</v>
      </c>
      <c r="EW241">
        <v>0.1</v>
      </c>
      <c r="EX241">
        <v>0.2</v>
      </c>
      <c r="EY241">
        <v>0.3</v>
      </c>
      <c r="EZ241">
        <v>0.3</v>
      </c>
      <c r="FA241">
        <f>EV241*EQ241</f>
        <v>0.70000000000000007</v>
      </c>
      <c r="FB241">
        <f>EW241*ER241</f>
        <v>0.8</v>
      </c>
      <c r="FC241">
        <f>EX241*ES241</f>
        <v>1.6</v>
      </c>
      <c r="FD241">
        <f>EY241*ET241</f>
        <v>2.4</v>
      </c>
      <c r="FE241">
        <f>EZ241*EU241</f>
        <v>2.4</v>
      </c>
      <c r="FF241">
        <v>15</v>
      </c>
      <c r="FG241">
        <v>0</v>
      </c>
      <c r="FH241">
        <v>15</v>
      </c>
      <c r="FI241">
        <f>FA241+FB241+FC241+FD241+FE241</f>
        <v>7.9</v>
      </c>
      <c r="FJ241">
        <f>MEDIAN(EQ241:EU241)</f>
        <v>8</v>
      </c>
      <c r="FL241">
        <v>101.15</v>
      </c>
      <c r="FM241">
        <v>10</v>
      </c>
      <c r="FN241" t="s">
        <v>1741</v>
      </c>
      <c r="FO241" t="s">
        <v>1742</v>
      </c>
      <c r="FP241" t="s">
        <v>1743</v>
      </c>
      <c r="FQ241" t="s">
        <v>1744</v>
      </c>
      <c r="FR241" t="s">
        <v>1745</v>
      </c>
      <c r="FS241">
        <v>1</v>
      </c>
      <c r="FT241">
        <v>1</v>
      </c>
      <c r="FU241">
        <v>1</v>
      </c>
      <c r="FV241">
        <v>8.5</v>
      </c>
      <c r="FW241">
        <v>9.5</v>
      </c>
      <c r="FX241">
        <v>0.1</v>
      </c>
      <c r="FY241">
        <v>0.1</v>
      </c>
      <c r="FZ241">
        <v>0.2</v>
      </c>
      <c r="GA241">
        <v>0.3</v>
      </c>
      <c r="GB241">
        <v>0.3</v>
      </c>
      <c r="GC241">
        <f>FS241*FX241</f>
        <v>0.1</v>
      </c>
      <c r="GD241">
        <f>FT241*FY241</f>
        <v>0.1</v>
      </c>
      <c r="GE241">
        <f>FU241*FZ241</f>
        <v>0.2</v>
      </c>
      <c r="GF241">
        <f>FV241*GA241</f>
        <v>2.5499999999999998</v>
      </c>
      <c r="GG241">
        <f>FW241*GB241</f>
        <v>2.85</v>
      </c>
      <c r="GH241">
        <v>1</v>
      </c>
      <c r="GI241">
        <v>0</v>
      </c>
      <c r="GJ241">
        <v>10</v>
      </c>
      <c r="GK241">
        <f>GC241+GD241+GE241+GF241+GG241</f>
        <v>5.8</v>
      </c>
      <c r="GL241">
        <f>MEDIAN(FS241:FW241)</f>
        <v>1</v>
      </c>
    </row>
    <row r="242" spans="1:194" x14ac:dyDescent="0.25">
      <c r="A242">
        <v>184</v>
      </c>
      <c r="B242" t="s">
        <v>2</v>
      </c>
      <c r="C242" s="4">
        <v>72</v>
      </c>
      <c r="D242">
        <v>3.2</v>
      </c>
      <c r="E242" s="1">
        <f>C242/3/D242</f>
        <v>7.5</v>
      </c>
      <c r="G242">
        <v>36.28</v>
      </c>
      <c r="H242">
        <v>8</v>
      </c>
      <c r="I242">
        <f>H242*D242*3</f>
        <v>76.800000000000011</v>
      </c>
      <c r="J242">
        <v>17.649999999999999</v>
      </c>
      <c r="K242">
        <v>8.4</v>
      </c>
      <c r="L242" s="3">
        <f>K242*3*D242</f>
        <v>80.640000000000015</v>
      </c>
      <c r="M242">
        <v>5.18</v>
      </c>
      <c r="N242">
        <v>5</v>
      </c>
      <c r="O242">
        <f>N242*D242*3</f>
        <v>48</v>
      </c>
      <c r="P242" s="5">
        <v>8.6</v>
      </c>
      <c r="Q242" s="5">
        <f>P242*D242*3</f>
        <v>82.56</v>
      </c>
      <c r="S242" t="s">
        <v>6316</v>
      </c>
      <c r="T242">
        <v>6.7</v>
      </c>
      <c r="U242" s="8">
        <f>T242*D242*3</f>
        <v>64.320000000000007</v>
      </c>
      <c r="V242">
        <v>32.409999999999997</v>
      </c>
      <c r="W242">
        <v>8.4</v>
      </c>
      <c r="X242" s="5">
        <f>W242*D242*3</f>
        <v>80.640000000000015</v>
      </c>
      <c r="Y242">
        <v>12.08</v>
      </c>
      <c r="Z242">
        <v>7.8</v>
      </c>
      <c r="AA242">
        <f>Z242*D242*3</f>
        <v>74.88</v>
      </c>
      <c r="AC242">
        <v>45.26</v>
      </c>
      <c r="AD242">
        <v>8</v>
      </c>
      <c r="AE242" s="1">
        <f>AD242*3*D242</f>
        <v>76.800000000000011</v>
      </c>
      <c r="AF242">
        <v>11.79</v>
      </c>
      <c r="AG242" s="5">
        <v>7</v>
      </c>
      <c r="AH242" s="5">
        <f>AG242*D242*3</f>
        <v>67.2</v>
      </c>
      <c r="AI242" s="13"/>
      <c r="AJ242">
        <v>9.8000000000000007</v>
      </c>
      <c r="AK242" s="8">
        <f>AJ242*D242*3</f>
        <v>94.080000000000013</v>
      </c>
      <c r="AL242" s="13"/>
      <c r="AM242">
        <v>30.94</v>
      </c>
      <c r="AN242">
        <v>7.9</v>
      </c>
      <c r="AO242" s="8">
        <f>AN242*D242*3</f>
        <v>75.84</v>
      </c>
      <c r="AP242">
        <v>12.81</v>
      </c>
      <c r="AQ242">
        <v>9.1999999999999993</v>
      </c>
      <c r="AR242">
        <f>AQ242*D242*3</f>
        <v>88.32</v>
      </c>
      <c r="AT242">
        <v>8.5</v>
      </c>
      <c r="AU242">
        <f>AT242*D242*3</f>
        <v>81.600000000000009</v>
      </c>
      <c r="AW242">
        <v>25.5</v>
      </c>
      <c r="AX242">
        <v>9.5</v>
      </c>
      <c r="AY242">
        <f>AX242*D242*3</f>
        <v>91.2</v>
      </c>
      <c r="AZ242">
        <v>25.5</v>
      </c>
      <c r="BA242">
        <v>9.1</v>
      </c>
      <c r="BB242">
        <f>BA242*D242*3</f>
        <v>87.36</v>
      </c>
      <c r="BD242">
        <v>9</v>
      </c>
      <c r="BE242">
        <f>BD242*D242*3</f>
        <v>86.4</v>
      </c>
      <c r="BG242" s="10"/>
      <c r="BH242" s="1">
        <f>CHOOSE(MATCH(MIN(ABS(BP242-C242),ABS(BQ242-C242),ABS(BR242-C242)),CHOOSE({1;2;3},ABS(BP242-C242),ABS(BQ242-C242),ABS(BR242-C242)),0),BP242,BQ242,BR242)</f>
        <v>76.800000000000011</v>
      </c>
      <c r="BJ242" s="1" cm="1">
        <f t="array" ref="BJ242">(INDEX(_xlfn._xlws.SORT(CHOOSE({1;2;3;4;5;6},BQ242,BR242,L242,AE242,BO242,BP242)),3) + INDEX(_xlfn._xlws.SORT(CHOOSE({1;2;3;4;5;6},BQ242,BR242,L242,AE242,BO242,BP242)),4))/2</f>
        <v>76.800000000000011</v>
      </c>
      <c r="BK242">
        <v>8.4429283410596696</v>
      </c>
      <c r="BL242" s="11" t="s">
        <v>6116</v>
      </c>
      <c r="BM242" s="1">
        <f>BK242*3*D242</f>
        <v>81.05211207417284</v>
      </c>
      <c r="BN242" s="1">
        <f>BM242-C242</f>
        <v>9.0521120741728396</v>
      </c>
      <c r="BO242" s="1">
        <f>GK242*3*D242</f>
        <v>32.64</v>
      </c>
      <c r="BP242" s="1">
        <f>DO242*3*D242</f>
        <v>86.4</v>
      </c>
      <c r="BQ242" s="1">
        <f>FJ242*3*D242</f>
        <v>76.800000000000011</v>
      </c>
      <c r="BR242" s="1">
        <f>GL242*3*D242</f>
        <v>38.400000000000006</v>
      </c>
      <c r="BT242">
        <v>36.28</v>
      </c>
      <c r="BU242">
        <v>8</v>
      </c>
      <c r="BV242" t="s">
        <v>5028</v>
      </c>
      <c r="BW242" t="s">
        <v>5004</v>
      </c>
      <c r="BX242" t="s">
        <v>5327</v>
      </c>
      <c r="BY242" t="s">
        <v>5092</v>
      </c>
      <c r="BZ242" t="s">
        <v>5031</v>
      </c>
      <c r="CA242" t="s">
        <v>2437</v>
      </c>
      <c r="CC242" t="s">
        <v>2438</v>
      </c>
      <c r="CD242" t="s">
        <v>2533</v>
      </c>
      <c r="CE242" t="s">
        <v>2440</v>
      </c>
      <c r="CG242" t="s">
        <v>2441</v>
      </c>
      <c r="CH242" t="s">
        <v>2534</v>
      </c>
      <c r="CI242" t="s">
        <v>2535</v>
      </c>
      <c r="CK242" t="s">
        <v>2444</v>
      </c>
      <c r="CL242" t="s">
        <v>2536</v>
      </c>
      <c r="CM242" t="s">
        <v>2446</v>
      </c>
      <c r="CO242" t="s">
        <v>2447</v>
      </c>
      <c r="CP242" t="s">
        <v>2537</v>
      </c>
      <c r="CQ242" t="s">
        <v>2666</v>
      </c>
      <c r="CS242" t="s">
        <v>2450</v>
      </c>
      <c r="CT242" t="s">
        <v>2539</v>
      </c>
      <c r="CV242">
        <v>9</v>
      </c>
      <c r="CW242">
        <v>9</v>
      </c>
      <c r="CX242">
        <v>9</v>
      </c>
      <c r="CY242">
        <v>9</v>
      </c>
      <c r="CZ242">
        <v>9</v>
      </c>
      <c r="DA242">
        <v>0.1</v>
      </c>
      <c r="DB242">
        <v>0.1</v>
      </c>
      <c r="DC242">
        <v>0.2</v>
      </c>
      <c r="DD242">
        <v>0.3</v>
      </c>
      <c r="DE242">
        <v>0.3</v>
      </c>
      <c r="DF242">
        <v>0.9</v>
      </c>
      <c r="DG242">
        <v>0.9</v>
      </c>
      <c r="DH242">
        <v>1.8</v>
      </c>
      <c r="DI242">
        <v>2.7</v>
      </c>
      <c r="DJ242">
        <v>2.7</v>
      </c>
      <c r="DK242">
        <v>8</v>
      </c>
      <c r="DL242">
        <v>0</v>
      </c>
      <c r="DM242">
        <v>8</v>
      </c>
      <c r="DN242">
        <v>8.4</v>
      </c>
      <c r="DO242">
        <f>AVERAGE(CV242:CZ242)</f>
        <v>9</v>
      </c>
      <c r="DQ242" t="s">
        <v>27</v>
      </c>
      <c r="DR242" t="s">
        <v>221</v>
      </c>
      <c r="DS242" t="s">
        <v>61</v>
      </c>
      <c r="DT242" t="s">
        <v>54</v>
      </c>
      <c r="DU242" t="s">
        <v>218</v>
      </c>
      <c r="DV242" t="s">
        <v>372</v>
      </c>
      <c r="DW242" t="s">
        <v>3836</v>
      </c>
      <c r="DX242" t="s">
        <v>3858</v>
      </c>
      <c r="DY242" t="s">
        <v>4233</v>
      </c>
      <c r="DZ242" t="s">
        <v>4234</v>
      </c>
      <c r="EA242" t="s">
        <v>3860</v>
      </c>
      <c r="EB242" t="s">
        <v>3840</v>
      </c>
      <c r="EC242" t="s">
        <v>4235</v>
      </c>
      <c r="ED242" t="s">
        <v>4235</v>
      </c>
      <c r="EE242" t="s">
        <v>3843</v>
      </c>
      <c r="EF242" t="s">
        <v>3844</v>
      </c>
      <c r="EG242" t="s">
        <v>4236</v>
      </c>
      <c r="EH242" t="s">
        <v>4236</v>
      </c>
      <c r="EI242" t="s">
        <v>4256</v>
      </c>
      <c r="EJ242" t="s">
        <v>3848</v>
      </c>
      <c r="EK242" t="s">
        <v>4237</v>
      </c>
      <c r="EL242" t="s">
        <v>4237</v>
      </c>
      <c r="EM242" t="s">
        <v>3871</v>
      </c>
      <c r="EN242" t="s">
        <v>3852</v>
      </c>
      <c r="EO242" t="s">
        <v>4239</v>
      </c>
      <c r="EP242" t="s">
        <v>4239</v>
      </c>
      <c r="EQ242">
        <v>8</v>
      </c>
      <c r="ER242">
        <v>8</v>
      </c>
      <c r="ES242">
        <v>8</v>
      </c>
      <c r="ET242">
        <v>8</v>
      </c>
      <c r="EU242">
        <v>8</v>
      </c>
      <c r="EV242">
        <v>0.1</v>
      </c>
      <c r="EW242">
        <v>0.1</v>
      </c>
      <c r="EX242">
        <v>0.2</v>
      </c>
      <c r="EY242">
        <v>0.3</v>
      </c>
      <c r="EZ242">
        <v>0.3</v>
      </c>
      <c r="FA242">
        <f>EV242*EQ242</f>
        <v>0.8</v>
      </c>
      <c r="FB242">
        <f>EW242*ER242</f>
        <v>0.8</v>
      </c>
      <c r="FC242">
        <f>EX242*ES242</f>
        <v>1.6</v>
      </c>
      <c r="FD242">
        <f>EY242*ET242</f>
        <v>2.4</v>
      </c>
      <c r="FE242">
        <f>EZ242*EU242</f>
        <v>2.4</v>
      </c>
      <c r="FF242">
        <v>16</v>
      </c>
      <c r="FG242">
        <v>0</v>
      </c>
      <c r="FH242">
        <v>8</v>
      </c>
      <c r="FI242">
        <f>FA242+FB242+FC242+FD242+FE242</f>
        <v>8</v>
      </c>
      <c r="FJ242">
        <f>MEDIAN(EQ242:EU242)</f>
        <v>8</v>
      </c>
      <c r="FL242">
        <v>38.56</v>
      </c>
      <c r="FM242">
        <v>2.5</v>
      </c>
      <c r="FN242" t="s">
        <v>1472</v>
      </c>
      <c r="FO242" t="s">
        <v>1473</v>
      </c>
      <c r="FP242" t="s">
        <v>1474</v>
      </c>
      <c r="FQ242" t="s">
        <v>1475</v>
      </c>
      <c r="FR242" t="s">
        <v>1476</v>
      </c>
      <c r="FS242">
        <v>5</v>
      </c>
      <c r="FT242">
        <v>6</v>
      </c>
      <c r="FU242">
        <v>4</v>
      </c>
      <c r="FV242">
        <v>3</v>
      </c>
      <c r="FW242">
        <v>2</v>
      </c>
      <c r="FX242">
        <v>0.1</v>
      </c>
      <c r="FY242">
        <v>0.1</v>
      </c>
      <c r="FZ242">
        <v>0.2</v>
      </c>
      <c r="GA242">
        <v>0.3</v>
      </c>
      <c r="GB242">
        <v>0.3</v>
      </c>
      <c r="GC242">
        <f>FS242*FX242</f>
        <v>0.5</v>
      </c>
      <c r="GD242">
        <f>FT242*FY242</f>
        <v>0.60000000000000009</v>
      </c>
      <c r="GE242">
        <f>FU242*FZ242</f>
        <v>0.8</v>
      </c>
      <c r="GF242">
        <f>FV242*GA242</f>
        <v>0.89999999999999991</v>
      </c>
      <c r="GG242">
        <f>FW242*GB242</f>
        <v>0.6</v>
      </c>
      <c r="GH242">
        <v>2.7</v>
      </c>
      <c r="GI242">
        <v>-0.2</v>
      </c>
      <c r="GJ242">
        <v>2.5</v>
      </c>
      <c r="GK242">
        <f>GC242+GD242+GE242+GF242+GG242</f>
        <v>3.4</v>
      </c>
      <c r="GL242">
        <f>MEDIAN(FS242:FW242)</f>
        <v>4</v>
      </c>
    </row>
    <row r="243" spans="1:194" hidden="1" x14ac:dyDescent="0.25">
      <c r="A243">
        <v>242</v>
      </c>
      <c r="B243" t="s">
        <v>2</v>
      </c>
      <c r="C243" s="4">
        <v>70.95</v>
      </c>
      <c r="D243">
        <v>3.3</v>
      </c>
      <c r="E243" s="1">
        <f>C243/3/D243</f>
        <v>7.1666666666666679</v>
      </c>
      <c r="G243">
        <v>88.18</v>
      </c>
      <c r="H243">
        <v>8.1999999999999993</v>
      </c>
      <c r="I243">
        <f>H243*D243*3</f>
        <v>81.179999999999978</v>
      </c>
      <c r="J243">
        <v>16.53</v>
      </c>
      <c r="K243">
        <v>8.4</v>
      </c>
      <c r="L243" s="3">
        <f>K243*3*D243</f>
        <v>83.160000000000011</v>
      </c>
      <c r="M243">
        <v>5.51</v>
      </c>
      <c r="N243">
        <v>3.5</v>
      </c>
      <c r="O243">
        <f>N243*D243*3</f>
        <v>34.65</v>
      </c>
      <c r="P243" s="5">
        <v>7</v>
      </c>
      <c r="Q243" s="5">
        <f>P243*D243*3</f>
        <v>69.3</v>
      </c>
      <c r="S243" t="s">
        <v>6373</v>
      </c>
      <c r="T243">
        <v>5.3</v>
      </c>
      <c r="U243" s="8">
        <f>T243*D243*3</f>
        <v>52.47</v>
      </c>
      <c r="V243">
        <v>33.409999999999997</v>
      </c>
      <c r="W243">
        <v>9</v>
      </c>
      <c r="X243" s="5">
        <f>W243*D243*3</f>
        <v>89.1</v>
      </c>
      <c r="Y243">
        <v>9.32</v>
      </c>
      <c r="Z243">
        <v>7.5</v>
      </c>
      <c r="AA243">
        <f>Z243*D243*3</f>
        <v>74.25</v>
      </c>
      <c r="AC243">
        <v>48.22</v>
      </c>
      <c r="AD243">
        <v>7.9</v>
      </c>
      <c r="AE243" s="1">
        <f>AD243*3*D243</f>
        <v>78.210000000000008</v>
      </c>
      <c r="AF243">
        <v>12.03</v>
      </c>
      <c r="AG243" s="5">
        <v>7</v>
      </c>
      <c r="AH243" s="5">
        <f>AG243*D243*3</f>
        <v>69.3</v>
      </c>
      <c r="AI243" s="13"/>
      <c r="AJ243">
        <v>8.1999999999999993</v>
      </c>
      <c r="AK243" s="8">
        <f>AJ243*D243*3</f>
        <v>81.179999999999978</v>
      </c>
      <c r="AL243" s="13"/>
      <c r="AM243">
        <v>30.89</v>
      </c>
      <c r="AN243">
        <v>7.9</v>
      </c>
      <c r="AO243" s="8">
        <f>AN243*D243*3</f>
        <v>78.210000000000008</v>
      </c>
      <c r="AP243">
        <v>14.79</v>
      </c>
      <c r="AQ243">
        <v>10</v>
      </c>
      <c r="AR243">
        <f>AQ243*D243*3</f>
        <v>99</v>
      </c>
      <c r="AT243">
        <v>9.4</v>
      </c>
      <c r="AU243">
        <f>AT243*D243*3</f>
        <v>93.06</v>
      </c>
      <c r="AW243">
        <v>23.22</v>
      </c>
      <c r="AX243">
        <v>9.4</v>
      </c>
      <c r="AY243">
        <f>AX243*D243*3</f>
        <v>93.06</v>
      </c>
      <c r="AZ243">
        <v>23.22</v>
      </c>
      <c r="BA243">
        <v>9.5</v>
      </c>
      <c r="BB243">
        <f>BA243*D243*3</f>
        <v>94.05</v>
      </c>
      <c r="BD243">
        <v>8.9</v>
      </c>
      <c r="BE243">
        <f>BD243*D243*3</f>
        <v>88.11</v>
      </c>
      <c r="BG243" s="10"/>
      <c r="BH243" s="1">
        <f>CHOOSE(MATCH(MIN(ABS(BP243-C243),ABS(BQ243-C243),ABS(BR243-C243)),CHOOSE({1;2;3},ABS(BP243-C243),ABS(BQ243-C243),ABS(BR243-C243)),0),BP243,BQ243,BR243)</f>
        <v>64.349999999999994</v>
      </c>
      <c r="BJ243" s="1" cm="1">
        <f t="array" ref="BJ243">(INDEX(_xlfn._xlws.SORT(CHOOSE({1;2;3;4;5;6},BQ243,BR243,L243,AE243,BO243,BP243)),3) + INDEX(_xlfn._xlws.SORT(CHOOSE({1;2;3;4;5;6},BQ243,BR243,L243,AE243,BO243,BP243)),4))/2</f>
        <v>78.704999999999998</v>
      </c>
      <c r="BK243">
        <v>7.1412235328576301</v>
      </c>
      <c r="BL243" t="s">
        <v>6117</v>
      </c>
      <c r="BM243" s="1">
        <f>BK243*3*D243</f>
        <v>70.698112975290528</v>
      </c>
      <c r="BN243" s="1">
        <f>BM243-C243</f>
        <v>-0.25188702470947533</v>
      </c>
      <c r="BO243" s="1">
        <f>GK243*3*D243</f>
        <v>54.449999999999996</v>
      </c>
      <c r="BP243" s="1">
        <f>DO243*3*D243</f>
        <v>89.1</v>
      </c>
      <c r="BQ243" s="1">
        <f>FJ243*3*D243</f>
        <v>79.199999999999989</v>
      </c>
      <c r="BR243" s="1">
        <f>GL243*3*D243</f>
        <v>64.349999999999994</v>
      </c>
      <c r="BT243">
        <v>88.18</v>
      </c>
      <c r="BU243">
        <v>8.1999999999999993</v>
      </c>
      <c r="BV243" t="s">
        <v>5778</v>
      </c>
      <c r="BW243" t="s">
        <v>4982</v>
      </c>
      <c r="BX243" t="s">
        <v>5779</v>
      </c>
      <c r="BY243" t="s">
        <v>4984</v>
      </c>
      <c r="BZ243" t="s">
        <v>5780</v>
      </c>
      <c r="CA243" t="s">
        <v>2437</v>
      </c>
      <c r="CC243" t="s">
        <v>2518</v>
      </c>
      <c r="CD243" t="s">
        <v>2508</v>
      </c>
      <c r="CE243" t="s">
        <v>2440</v>
      </c>
      <c r="CG243" t="s">
        <v>3362</v>
      </c>
      <c r="CH243" t="s">
        <v>2510</v>
      </c>
      <c r="CI243" t="s">
        <v>2443</v>
      </c>
      <c r="CK243" t="s">
        <v>3363</v>
      </c>
      <c r="CL243" t="s">
        <v>2512</v>
      </c>
      <c r="CM243" t="s">
        <v>2446</v>
      </c>
      <c r="CO243" t="s">
        <v>3364</v>
      </c>
      <c r="CP243" t="s">
        <v>2514</v>
      </c>
      <c r="CQ243" t="s">
        <v>2449</v>
      </c>
      <c r="CS243" t="s">
        <v>3365</v>
      </c>
      <c r="CT243" t="s">
        <v>2524</v>
      </c>
      <c r="CV243">
        <v>9</v>
      </c>
      <c r="CW243">
        <v>9</v>
      </c>
      <c r="CX243">
        <v>9</v>
      </c>
      <c r="CY243">
        <v>9</v>
      </c>
      <c r="CZ243">
        <v>9</v>
      </c>
      <c r="DA243">
        <v>0.1</v>
      </c>
      <c r="DB243">
        <v>0.1</v>
      </c>
      <c r="DC243">
        <v>0.2</v>
      </c>
      <c r="DD243">
        <v>0.3</v>
      </c>
      <c r="DE243">
        <v>0.3</v>
      </c>
      <c r="DF243">
        <v>0.9</v>
      </c>
      <c r="DG243">
        <v>0.9</v>
      </c>
      <c r="DH243">
        <v>1.8</v>
      </c>
      <c r="DI243">
        <v>2.7</v>
      </c>
      <c r="DJ243">
        <v>2.7</v>
      </c>
      <c r="DK243">
        <v>8.1999999999999993</v>
      </c>
      <c r="DL243">
        <v>0</v>
      </c>
      <c r="DM243">
        <v>8.1999999999999993</v>
      </c>
      <c r="DN243">
        <v>8.4</v>
      </c>
      <c r="DO243">
        <f>AVERAGE(CV243:CZ243)</f>
        <v>9</v>
      </c>
      <c r="DQ243">
        <v>15</v>
      </c>
      <c r="DR243" t="s">
        <v>28</v>
      </c>
      <c r="DS243" t="s">
        <v>43</v>
      </c>
      <c r="DT243" t="s">
        <v>227</v>
      </c>
      <c r="DU243" t="s">
        <v>228</v>
      </c>
      <c r="DV243" t="s">
        <v>434</v>
      </c>
      <c r="DW243" t="s">
        <v>3769</v>
      </c>
      <c r="DX243" t="s">
        <v>3770</v>
      </c>
      <c r="DY243" t="s">
        <v>3771</v>
      </c>
      <c r="DZ243" t="s">
        <v>3772</v>
      </c>
      <c r="EA243" t="s">
        <v>3806</v>
      </c>
      <c r="EB243" t="s">
        <v>3807</v>
      </c>
      <c r="EC243" t="s">
        <v>3775</v>
      </c>
      <c r="ED243" t="s">
        <v>3776</v>
      </c>
      <c r="EE243" t="s">
        <v>4717</v>
      </c>
      <c r="EF243" t="s">
        <v>3809</v>
      </c>
      <c r="EG243" t="s">
        <v>4585</v>
      </c>
      <c r="EH243" t="s">
        <v>4586</v>
      </c>
      <c r="EI243" t="s">
        <v>4718</v>
      </c>
      <c r="EJ243" t="s">
        <v>3813</v>
      </c>
      <c r="EK243" t="s">
        <v>4014</v>
      </c>
      <c r="EL243" t="s">
        <v>3815</v>
      </c>
      <c r="EM243" t="s">
        <v>4719</v>
      </c>
      <c r="EN243" t="s">
        <v>4050</v>
      </c>
      <c r="EO243" t="s">
        <v>4720</v>
      </c>
      <c r="EP243" t="s">
        <v>3818</v>
      </c>
      <c r="EQ243">
        <v>7</v>
      </c>
      <c r="ER243">
        <v>8</v>
      </c>
      <c r="ES243">
        <v>8</v>
      </c>
      <c r="ET243">
        <v>8</v>
      </c>
      <c r="EU243">
        <v>8</v>
      </c>
      <c r="EV243">
        <v>0.1</v>
      </c>
      <c r="EW243">
        <v>0.1</v>
      </c>
      <c r="EX243">
        <v>0.2</v>
      </c>
      <c r="EY243">
        <v>0.3</v>
      </c>
      <c r="EZ243">
        <v>0.3</v>
      </c>
      <c r="FA243">
        <f>EV243*EQ243</f>
        <v>0.70000000000000007</v>
      </c>
      <c r="FB243">
        <f>EW243*ER243</f>
        <v>0.8</v>
      </c>
      <c r="FC243">
        <f>EX243*ES243</f>
        <v>1.6</v>
      </c>
      <c r="FD243">
        <f>EY243*ET243</f>
        <v>2.4</v>
      </c>
      <c r="FE243">
        <f>EZ243*EU243</f>
        <v>2.4</v>
      </c>
      <c r="FF243">
        <v>15</v>
      </c>
      <c r="FG243">
        <v>0</v>
      </c>
      <c r="FH243">
        <v>15</v>
      </c>
      <c r="FI243">
        <f>FA243+FB243+FC243+FD243+FE243</f>
        <v>7.9</v>
      </c>
      <c r="FJ243">
        <f>MEDIAN(EQ243:EU243)</f>
        <v>8</v>
      </c>
      <c r="FL243">
        <v>76</v>
      </c>
      <c r="FM243">
        <v>5</v>
      </c>
      <c r="FN243" t="s">
        <v>1751</v>
      </c>
      <c r="FO243" t="s">
        <v>1752</v>
      </c>
      <c r="FP243" t="s">
        <v>1753</v>
      </c>
      <c r="FQ243" t="s">
        <v>1754</v>
      </c>
      <c r="FR243" t="s">
        <v>1755</v>
      </c>
      <c r="FS243">
        <v>6.5</v>
      </c>
      <c r="FT243">
        <v>8</v>
      </c>
      <c r="FU243">
        <v>4.5</v>
      </c>
      <c r="FV243">
        <v>7</v>
      </c>
      <c r="FW243">
        <v>3.5</v>
      </c>
      <c r="FX243">
        <v>0.1</v>
      </c>
      <c r="FY243">
        <v>0.1</v>
      </c>
      <c r="FZ243">
        <v>0.2</v>
      </c>
      <c r="GA243">
        <v>0.3</v>
      </c>
      <c r="GB243">
        <v>0.3</v>
      </c>
      <c r="GC243">
        <f>FS243*FX243</f>
        <v>0.65</v>
      </c>
      <c r="GD243">
        <f>FT243*FY243</f>
        <v>0.8</v>
      </c>
      <c r="GE243">
        <f>FU243*FZ243</f>
        <v>0.9</v>
      </c>
      <c r="GF243">
        <f>FV243*GA243</f>
        <v>2.1</v>
      </c>
      <c r="GG243">
        <f>FW243*GB243</f>
        <v>1.05</v>
      </c>
      <c r="GH243">
        <v>5.55</v>
      </c>
      <c r="GI243">
        <v>-0.5</v>
      </c>
      <c r="GJ243">
        <v>5</v>
      </c>
      <c r="GK243">
        <f>GC243+GD243+GE243+GF243+GG243</f>
        <v>5.5</v>
      </c>
      <c r="GL243">
        <f>MEDIAN(FS243:FW243)</f>
        <v>6.5</v>
      </c>
    </row>
    <row r="244" spans="1:194" hidden="1" x14ac:dyDescent="0.25">
      <c r="A244">
        <v>243</v>
      </c>
      <c r="B244" t="s">
        <v>2</v>
      </c>
      <c r="C244" s="4">
        <v>59.2</v>
      </c>
      <c r="D244">
        <v>3.2</v>
      </c>
      <c r="E244" s="1">
        <f>C244/3/D244</f>
        <v>6.166666666666667</v>
      </c>
      <c r="G244">
        <v>117.14</v>
      </c>
      <c r="H244">
        <v>8.1999999999999993</v>
      </c>
      <c r="I244">
        <f>H244*D244*3</f>
        <v>78.72</v>
      </c>
      <c r="J244">
        <v>18.079999999999998</v>
      </c>
      <c r="K244">
        <v>9</v>
      </c>
      <c r="L244" s="3">
        <f>K244*3*D244</f>
        <v>86.4</v>
      </c>
      <c r="M244">
        <v>4.8600000000000003</v>
      </c>
      <c r="N244">
        <v>5</v>
      </c>
      <c r="O244">
        <f>N244*D244*3</f>
        <v>48</v>
      </c>
      <c r="P244" s="5">
        <v>7.9</v>
      </c>
      <c r="Q244" s="5">
        <f>P244*D244*3</f>
        <v>75.84</v>
      </c>
      <c r="S244" t="s">
        <v>6374</v>
      </c>
      <c r="T244">
        <v>7.4</v>
      </c>
      <c r="U244" s="8">
        <f>T244*D244*3</f>
        <v>71.040000000000006</v>
      </c>
      <c r="V244">
        <v>32.130000000000003</v>
      </c>
      <c r="W244">
        <v>8.6999999999999993</v>
      </c>
      <c r="X244" s="5">
        <f>W244*D244*3</f>
        <v>83.52</v>
      </c>
      <c r="Y244">
        <v>10.130000000000001</v>
      </c>
      <c r="Z244">
        <v>7.8</v>
      </c>
      <c r="AA244">
        <f>Z244*D244*3</f>
        <v>74.88</v>
      </c>
      <c r="AC244">
        <v>42.98</v>
      </c>
      <c r="AD244">
        <v>7.9</v>
      </c>
      <c r="AE244" s="1">
        <f>AD244*3*D244</f>
        <v>75.840000000000018</v>
      </c>
      <c r="AF244">
        <v>13.67</v>
      </c>
      <c r="AH244" s="5">
        <f>AG244*D244*3</f>
        <v>0</v>
      </c>
      <c r="AI244" s="13"/>
      <c r="AJ244">
        <v>2.7</v>
      </c>
      <c r="AK244" s="8">
        <f>AJ244*D244*3</f>
        <v>25.92</v>
      </c>
      <c r="AL244" s="13"/>
      <c r="AM244">
        <v>31.49</v>
      </c>
      <c r="AN244">
        <v>7</v>
      </c>
      <c r="AO244" s="8">
        <f>AN244*D244*3</f>
        <v>67.2</v>
      </c>
      <c r="AP244">
        <v>14.97</v>
      </c>
      <c r="AQ244">
        <v>8.6999999999999993</v>
      </c>
      <c r="AR244">
        <f>AQ244*D244*3</f>
        <v>83.52</v>
      </c>
      <c r="AT244">
        <v>8.5</v>
      </c>
      <c r="AU244">
        <f>AT244*D244*3</f>
        <v>81.600000000000009</v>
      </c>
      <c r="AW244">
        <v>25.37</v>
      </c>
      <c r="AX244">
        <v>9.4</v>
      </c>
      <c r="AY244">
        <f>AX244*D244*3</f>
        <v>90.240000000000009</v>
      </c>
      <c r="AZ244">
        <v>25.37</v>
      </c>
      <c r="BA244">
        <v>9.1</v>
      </c>
      <c r="BB244">
        <f>BA244*D244*3</f>
        <v>87.36</v>
      </c>
      <c r="BD244">
        <v>8.1</v>
      </c>
      <c r="BE244">
        <f>BD244*D244*3</f>
        <v>77.760000000000005</v>
      </c>
      <c r="BG244" s="10"/>
      <c r="BH244" s="1">
        <f>CHOOSE(MATCH(MIN(ABS(BP244-C244),ABS(BQ244-C244),ABS(BR244-C244)),CHOOSE({1;2;3},ABS(BP244-C244),ABS(BQ244-C244),ABS(BR244-C244)),0),BP244,BQ244,BR244)</f>
        <v>76.800000000000011</v>
      </c>
      <c r="BJ244" s="1" cm="1">
        <f t="array" ref="BJ244">(INDEX(_xlfn._xlws.SORT(CHOOSE({1;2;3;4;5;6},BQ244,BR244,L244,AE244,BO244,BP244)),3) + INDEX(_xlfn._xlws.SORT(CHOOSE({1;2;3;4;5;6},BQ244,BR244,L244,AE244,BO244,BP244)),4))/2</f>
        <v>76.320000000000022</v>
      </c>
      <c r="BK244">
        <v>6.1715415072327398</v>
      </c>
      <c r="BL244" t="s">
        <v>6117</v>
      </c>
      <c r="BM244" s="1">
        <f>BK244*3*D244</f>
        <v>59.24679846943431</v>
      </c>
      <c r="BN244" s="1">
        <f>BM244-C244</f>
        <v>4.6798469434307322E-2</v>
      </c>
      <c r="BO244" s="1">
        <f>GK244*3*D244</f>
        <v>53.28</v>
      </c>
      <c r="BP244" s="1">
        <f>DO244*3*D244</f>
        <v>86.4</v>
      </c>
      <c r="BQ244" s="1">
        <f>FJ244*3*D244</f>
        <v>76.800000000000011</v>
      </c>
      <c r="BR244" s="1">
        <f>GL244*3*D244</f>
        <v>19.200000000000003</v>
      </c>
      <c r="BT244">
        <v>117.14</v>
      </c>
      <c r="BU244">
        <v>8.1999999999999993</v>
      </c>
      <c r="BV244" t="s">
        <v>5781</v>
      </c>
      <c r="BW244" t="s">
        <v>5782</v>
      </c>
      <c r="BX244" t="s">
        <v>5327</v>
      </c>
      <c r="BY244" t="s">
        <v>5783</v>
      </c>
      <c r="BZ244" t="s">
        <v>5784</v>
      </c>
      <c r="CA244" t="s">
        <v>2437</v>
      </c>
      <c r="CC244" t="s">
        <v>2518</v>
      </c>
      <c r="CD244" t="s">
        <v>2508</v>
      </c>
      <c r="CE244" t="s">
        <v>2440</v>
      </c>
      <c r="CG244" t="s">
        <v>3362</v>
      </c>
      <c r="CH244" t="s">
        <v>2510</v>
      </c>
      <c r="CI244" t="s">
        <v>2443</v>
      </c>
      <c r="CK244" t="s">
        <v>3363</v>
      </c>
      <c r="CL244" t="s">
        <v>2512</v>
      </c>
      <c r="CM244" t="s">
        <v>2521</v>
      </c>
      <c r="CO244" t="s">
        <v>3399</v>
      </c>
      <c r="CP244" t="s">
        <v>2514</v>
      </c>
      <c r="CQ244" t="s">
        <v>2449</v>
      </c>
      <c r="CS244" t="s">
        <v>3365</v>
      </c>
      <c r="CT244" t="s">
        <v>2524</v>
      </c>
      <c r="CV244">
        <v>9</v>
      </c>
      <c r="CW244">
        <v>9</v>
      </c>
      <c r="CX244">
        <v>9</v>
      </c>
      <c r="CY244">
        <v>9</v>
      </c>
      <c r="CZ244">
        <v>9</v>
      </c>
      <c r="DA244">
        <v>0.1</v>
      </c>
      <c r="DB244">
        <v>0.1</v>
      </c>
      <c r="DC244">
        <v>0.2</v>
      </c>
      <c r="DD244">
        <v>0.3</v>
      </c>
      <c r="DE244">
        <v>0.3</v>
      </c>
      <c r="DF244">
        <v>0.9</v>
      </c>
      <c r="DG244">
        <v>0.9</v>
      </c>
      <c r="DH244">
        <v>1.8</v>
      </c>
      <c r="DI244">
        <v>2.7</v>
      </c>
      <c r="DJ244">
        <v>2.7</v>
      </c>
      <c r="DK244">
        <v>8.1999999999999993</v>
      </c>
      <c r="DL244">
        <v>0</v>
      </c>
      <c r="DM244">
        <v>8.1999999999999993</v>
      </c>
      <c r="DN244">
        <v>9</v>
      </c>
      <c r="DO244">
        <f>AVERAGE(CV244:CZ244)</f>
        <v>9</v>
      </c>
      <c r="DQ244">
        <v>8</v>
      </c>
      <c r="DR244" t="s">
        <v>250</v>
      </c>
      <c r="DS244" t="s">
        <v>251</v>
      </c>
      <c r="DT244" t="s">
        <v>118</v>
      </c>
      <c r="DU244" t="s">
        <v>252</v>
      </c>
      <c r="DV244" t="s">
        <v>253</v>
      </c>
      <c r="DW244" t="s">
        <v>3805</v>
      </c>
      <c r="DX244" t="s">
        <v>4341</v>
      </c>
      <c r="DY244" t="s">
        <v>4342</v>
      </c>
      <c r="DZ244" t="s">
        <v>4343</v>
      </c>
      <c r="EA244" t="s">
        <v>4344</v>
      </c>
      <c r="EB244" t="s">
        <v>4344</v>
      </c>
      <c r="EE244" t="s">
        <v>3966</v>
      </c>
      <c r="EF244" t="s">
        <v>4044</v>
      </c>
      <c r="EI244" t="s">
        <v>4021</v>
      </c>
      <c r="EJ244" t="s">
        <v>4021</v>
      </c>
      <c r="EM244" t="s">
        <v>4345</v>
      </c>
      <c r="EN244" t="s">
        <v>4346</v>
      </c>
      <c r="EQ244">
        <v>7</v>
      </c>
      <c r="ER244">
        <v>8</v>
      </c>
      <c r="ES244">
        <v>8</v>
      </c>
      <c r="ET244">
        <v>8</v>
      </c>
      <c r="EU244">
        <v>8</v>
      </c>
      <c r="EV244">
        <v>0.1</v>
      </c>
      <c r="EW244">
        <v>0.1</v>
      </c>
      <c r="EX244">
        <v>0.2</v>
      </c>
      <c r="EY244">
        <v>0.3</v>
      </c>
      <c r="EZ244">
        <v>0.3</v>
      </c>
      <c r="FA244">
        <f>EV244*EQ244</f>
        <v>0.70000000000000007</v>
      </c>
      <c r="FB244">
        <f>EW244*ER244</f>
        <v>0.8</v>
      </c>
      <c r="FC244">
        <f>EX244*ES244</f>
        <v>1.6</v>
      </c>
      <c r="FD244">
        <f>EY244*ET244</f>
        <v>2.4</v>
      </c>
      <c r="FE244">
        <f>EZ244*EU244</f>
        <v>2.4</v>
      </c>
      <c r="FF244">
        <v>17</v>
      </c>
      <c r="FG244">
        <v>0</v>
      </c>
      <c r="FH244">
        <v>8</v>
      </c>
      <c r="FI244">
        <f>FA244+FB244+FC244+FD244+FE244</f>
        <v>7.9</v>
      </c>
      <c r="FJ244">
        <f>MEDIAN(EQ244:EU244)</f>
        <v>8</v>
      </c>
      <c r="FL244">
        <v>104.81</v>
      </c>
      <c r="FM244">
        <v>16.5</v>
      </c>
      <c r="FN244" t="s">
        <v>1756</v>
      </c>
      <c r="FO244" t="s">
        <v>1757</v>
      </c>
      <c r="FP244" t="s">
        <v>1758</v>
      </c>
      <c r="FQ244" t="s">
        <v>1759</v>
      </c>
      <c r="FR244" t="s">
        <v>1760</v>
      </c>
      <c r="FS244">
        <v>1</v>
      </c>
      <c r="FT244">
        <v>1</v>
      </c>
      <c r="FU244">
        <v>2</v>
      </c>
      <c r="FV244">
        <v>9</v>
      </c>
      <c r="FW244">
        <v>7.5</v>
      </c>
      <c r="FX244">
        <v>0.1</v>
      </c>
      <c r="FY244">
        <v>0.1</v>
      </c>
      <c r="FZ244">
        <v>0.2</v>
      </c>
      <c r="GA244">
        <v>0.3</v>
      </c>
      <c r="GB244">
        <v>0.3</v>
      </c>
      <c r="GC244">
        <f>FS244*FX244</f>
        <v>0.1</v>
      </c>
      <c r="GD244">
        <f>FT244*FY244</f>
        <v>0.1</v>
      </c>
      <c r="GE244">
        <f>FU244*FZ244</f>
        <v>0.4</v>
      </c>
      <c r="GF244">
        <f>FV244*GA244</f>
        <v>2.6999999999999997</v>
      </c>
      <c r="GG244">
        <f>FW244*GB244</f>
        <v>2.25</v>
      </c>
      <c r="GH244">
        <v>16.5</v>
      </c>
      <c r="GI244">
        <v>0</v>
      </c>
      <c r="GJ244">
        <v>16.5</v>
      </c>
      <c r="GK244">
        <f>GC244+GD244+GE244+GF244+GG244</f>
        <v>5.55</v>
      </c>
      <c r="GL244">
        <f>MEDIAN(FS244:FW244)</f>
        <v>2</v>
      </c>
    </row>
    <row r="245" spans="1:194" hidden="1" x14ac:dyDescent="0.25">
      <c r="A245">
        <v>244</v>
      </c>
      <c r="B245" t="s">
        <v>2</v>
      </c>
      <c r="C245" s="4">
        <v>66</v>
      </c>
      <c r="D245">
        <v>3</v>
      </c>
      <c r="E245" s="1">
        <f>C245/3/D245</f>
        <v>7.333333333333333</v>
      </c>
      <c r="G245">
        <v>91.13</v>
      </c>
      <c r="H245">
        <v>8.1999999999999993</v>
      </c>
      <c r="I245">
        <f>H245*D245*3</f>
        <v>73.8</v>
      </c>
      <c r="J245">
        <v>16.66</v>
      </c>
      <c r="K245">
        <v>9</v>
      </c>
      <c r="L245" s="3">
        <f>K245*3*D245</f>
        <v>81</v>
      </c>
      <c r="M245">
        <v>4.83</v>
      </c>
      <c r="N245">
        <v>4</v>
      </c>
      <c r="O245">
        <f>N245*D245*3</f>
        <v>36</v>
      </c>
      <c r="P245" s="5">
        <v>8.1999999999999993</v>
      </c>
      <c r="Q245" s="5">
        <f>P245*D245*3</f>
        <v>73.8</v>
      </c>
      <c r="S245" t="s">
        <v>6375</v>
      </c>
      <c r="T245">
        <v>4.7</v>
      </c>
      <c r="U245" s="8">
        <f>T245*D245*3</f>
        <v>42.300000000000004</v>
      </c>
      <c r="V245">
        <v>33.29</v>
      </c>
      <c r="W245">
        <v>8.6999999999999993</v>
      </c>
      <c r="X245" s="5">
        <f>W245*D245*3</f>
        <v>78.3</v>
      </c>
      <c r="Y245">
        <v>13.24</v>
      </c>
      <c r="Z245">
        <v>7.6</v>
      </c>
      <c r="AA245">
        <f>Z245*D245*3</f>
        <v>68.399999999999991</v>
      </c>
      <c r="AC245">
        <v>47.78</v>
      </c>
      <c r="AD245">
        <v>7.9</v>
      </c>
      <c r="AE245" s="1">
        <f>AD245*3*D245</f>
        <v>71.100000000000009</v>
      </c>
      <c r="AF245">
        <v>11.93</v>
      </c>
      <c r="AG245" s="5">
        <v>7</v>
      </c>
      <c r="AH245" s="5">
        <f>AG245*D245*3</f>
        <v>63</v>
      </c>
      <c r="AI245" s="13"/>
      <c r="AJ245">
        <v>2.9</v>
      </c>
      <c r="AK245" s="8">
        <f>AJ245*D245*3</f>
        <v>26.099999999999998</v>
      </c>
      <c r="AL245" s="13"/>
      <c r="AM245">
        <v>31.81</v>
      </c>
      <c r="AN245">
        <v>7.2</v>
      </c>
      <c r="AO245" s="8">
        <f>AN245*D245*3</f>
        <v>64.800000000000011</v>
      </c>
      <c r="AP245">
        <v>12.8</v>
      </c>
      <c r="AQ245">
        <v>10</v>
      </c>
      <c r="AR245">
        <f>AQ245*D245*3</f>
        <v>90</v>
      </c>
      <c r="AT245">
        <v>8.1</v>
      </c>
      <c r="AU245">
        <f>AT245*D245*3</f>
        <v>72.899999999999991</v>
      </c>
      <c r="AW245">
        <v>24.13</v>
      </c>
      <c r="AX245">
        <v>9.1999999999999993</v>
      </c>
      <c r="AY245">
        <f>AX245*D245*3</f>
        <v>82.8</v>
      </c>
      <c r="AZ245">
        <v>24.13</v>
      </c>
      <c r="BA245">
        <v>9.4</v>
      </c>
      <c r="BB245">
        <f>BA245*D245*3</f>
        <v>84.600000000000009</v>
      </c>
      <c r="BD245">
        <v>8.9</v>
      </c>
      <c r="BE245">
        <f>BD245*D245*3</f>
        <v>80.100000000000009</v>
      </c>
      <c r="BG245" s="10"/>
      <c r="BH245" s="1">
        <f>CHOOSE(MATCH(MIN(ABS(BP245-C245),ABS(BQ245-C245),ABS(BR245-C245)),CHOOSE({1;2;3},ABS(BP245-C245),ABS(BQ245-C245),ABS(BR245-C245)),0),BP245,BQ245,BR245)</f>
        <v>67.5</v>
      </c>
      <c r="BJ245" s="1" cm="1">
        <f t="array" ref="BJ245">(INDEX(_xlfn._xlws.SORT(CHOOSE({1;2;3;4;5;6},BQ245,BR245,L245,AE245,BO245,BP245)),3) + INDEX(_xlfn._xlws.SORT(CHOOSE({1;2;3;4;5;6},BQ245,BR245,L245,AE245,BO245,BP245)),4))/2</f>
        <v>71.550000000000011</v>
      </c>
      <c r="BK245">
        <v>7.3818306491650798</v>
      </c>
      <c r="BL245" t="s">
        <v>6117</v>
      </c>
      <c r="BM245" s="1">
        <f>BK245*3*D245</f>
        <v>66.43647584248572</v>
      </c>
      <c r="BN245" s="1">
        <f>BM245-C245</f>
        <v>0.43647584248572002</v>
      </c>
      <c r="BO245" s="1">
        <f>GK245*3*D245</f>
        <v>57.600000000000009</v>
      </c>
      <c r="BP245" s="1">
        <f>DO245*3*D245</f>
        <v>81</v>
      </c>
      <c r="BQ245" s="1">
        <f>FJ245*3*D245</f>
        <v>72</v>
      </c>
      <c r="BR245" s="1">
        <f>GL245*3*D245</f>
        <v>67.5</v>
      </c>
      <c r="BT245">
        <v>91.13</v>
      </c>
      <c r="BU245">
        <v>8.1999999999999993</v>
      </c>
      <c r="BV245" t="s">
        <v>5042</v>
      </c>
      <c r="BW245" t="s">
        <v>5043</v>
      </c>
      <c r="BX245" t="s">
        <v>4993</v>
      </c>
      <c r="BY245" t="s">
        <v>5061</v>
      </c>
      <c r="BZ245" t="s">
        <v>5785</v>
      </c>
      <c r="CA245" t="s">
        <v>3400</v>
      </c>
      <c r="CB245" t="s">
        <v>3150</v>
      </c>
      <c r="CC245" t="s">
        <v>3401</v>
      </c>
      <c r="CD245" t="s">
        <v>3402</v>
      </c>
      <c r="CE245" t="s">
        <v>3240</v>
      </c>
      <c r="CF245" t="s">
        <v>3150</v>
      </c>
      <c r="CG245" t="s">
        <v>3403</v>
      </c>
      <c r="CH245" t="s">
        <v>3404</v>
      </c>
      <c r="CI245" t="s">
        <v>3405</v>
      </c>
      <c r="CJ245" t="s">
        <v>3150</v>
      </c>
      <c r="CK245" t="s">
        <v>3406</v>
      </c>
      <c r="CL245" t="s">
        <v>3407</v>
      </c>
      <c r="CM245" t="s">
        <v>3408</v>
      </c>
      <c r="CN245" t="s">
        <v>3150</v>
      </c>
      <c r="CO245" t="s">
        <v>3409</v>
      </c>
      <c r="CP245" t="s">
        <v>3410</v>
      </c>
      <c r="CQ245" t="s">
        <v>3411</v>
      </c>
      <c r="CR245" t="s">
        <v>3150</v>
      </c>
      <c r="CS245" t="s">
        <v>3412</v>
      </c>
      <c r="CT245" t="s">
        <v>3413</v>
      </c>
      <c r="CV245">
        <v>9</v>
      </c>
      <c r="CW245">
        <v>9</v>
      </c>
      <c r="CX245">
        <v>9</v>
      </c>
      <c r="CY245">
        <v>9</v>
      </c>
      <c r="CZ245">
        <v>9</v>
      </c>
      <c r="DA245">
        <v>0.1</v>
      </c>
      <c r="DB245">
        <v>0.1</v>
      </c>
      <c r="DC245">
        <v>0.2</v>
      </c>
      <c r="DD245">
        <v>0.3</v>
      </c>
      <c r="DE245">
        <v>0.3</v>
      </c>
      <c r="DF245">
        <v>0.9</v>
      </c>
      <c r="DG245">
        <v>0.9</v>
      </c>
      <c r="DH245">
        <v>1.8</v>
      </c>
      <c r="DI245">
        <v>2.7</v>
      </c>
      <c r="DJ245">
        <v>2.7</v>
      </c>
      <c r="DK245">
        <v>8.1999999999999993</v>
      </c>
      <c r="DL245">
        <v>0</v>
      </c>
      <c r="DM245">
        <v>8.1999999999999993</v>
      </c>
      <c r="DN245">
        <v>9</v>
      </c>
      <c r="DO245">
        <f>AVERAGE(CV245:CZ245)</f>
        <v>9</v>
      </c>
      <c r="DQ245">
        <v>15</v>
      </c>
      <c r="DR245" t="s">
        <v>28</v>
      </c>
      <c r="DS245" t="s">
        <v>43</v>
      </c>
      <c r="DT245" t="s">
        <v>44</v>
      </c>
      <c r="DU245" t="s">
        <v>45</v>
      </c>
      <c r="DV245" t="s">
        <v>46</v>
      </c>
      <c r="DW245" t="s">
        <v>3769</v>
      </c>
      <c r="DX245" t="s">
        <v>3770</v>
      </c>
      <c r="DY245" t="s">
        <v>3771</v>
      </c>
      <c r="DZ245" t="s">
        <v>3772</v>
      </c>
      <c r="EA245" t="s">
        <v>3806</v>
      </c>
      <c r="EB245" t="s">
        <v>3807</v>
      </c>
      <c r="EC245" t="s">
        <v>3775</v>
      </c>
      <c r="ED245" t="s">
        <v>3776</v>
      </c>
      <c r="EE245" t="s">
        <v>3819</v>
      </c>
      <c r="EF245" t="s">
        <v>3809</v>
      </c>
      <c r="EG245" t="s">
        <v>3810</v>
      </c>
      <c r="EH245" t="s">
        <v>3811</v>
      </c>
      <c r="EI245" t="s">
        <v>3820</v>
      </c>
      <c r="EJ245" t="s">
        <v>3813</v>
      </c>
      <c r="EK245" t="s">
        <v>3821</v>
      </c>
      <c r="EL245" t="s">
        <v>3822</v>
      </c>
      <c r="EM245" t="s">
        <v>3816</v>
      </c>
      <c r="EN245" t="s">
        <v>3823</v>
      </c>
      <c r="EO245" t="s">
        <v>3824</v>
      </c>
      <c r="EP245" t="s">
        <v>3825</v>
      </c>
      <c r="EQ245">
        <v>7</v>
      </c>
      <c r="ER245">
        <v>8</v>
      </c>
      <c r="ES245">
        <v>8</v>
      </c>
      <c r="ET245">
        <v>8</v>
      </c>
      <c r="EU245">
        <v>8</v>
      </c>
      <c r="EV245">
        <v>0.1</v>
      </c>
      <c r="EW245">
        <v>0.1</v>
      </c>
      <c r="EX245">
        <v>0.2</v>
      </c>
      <c r="EY245">
        <v>0.3</v>
      </c>
      <c r="EZ245">
        <v>0.3</v>
      </c>
      <c r="FA245">
        <f>EV245*EQ245</f>
        <v>0.70000000000000007</v>
      </c>
      <c r="FB245">
        <f>EW245*ER245</f>
        <v>0.8</v>
      </c>
      <c r="FC245">
        <f>EX245*ES245</f>
        <v>1.6</v>
      </c>
      <c r="FD245">
        <f>EY245*ET245</f>
        <v>2.4</v>
      </c>
      <c r="FE245">
        <f>EZ245*EU245</f>
        <v>2.4</v>
      </c>
      <c r="FF245">
        <v>15</v>
      </c>
      <c r="FG245">
        <v>0</v>
      </c>
      <c r="FH245">
        <v>15</v>
      </c>
      <c r="FI245">
        <f>FA245+FB245+FC245+FD245+FE245</f>
        <v>7.9</v>
      </c>
      <c r="FJ245">
        <f>MEDIAN(EQ245:EU245)</f>
        <v>8</v>
      </c>
      <c r="FL245">
        <v>79.040000000000006</v>
      </c>
      <c r="FM245">
        <v>5.5</v>
      </c>
      <c r="FN245" t="s">
        <v>1761</v>
      </c>
      <c r="FO245" t="s">
        <v>1762</v>
      </c>
      <c r="FP245" t="s">
        <v>1763</v>
      </c>
      <c r="FQ245" t="s">
        <v>1764</v>
      </c>
      <c r="FR245" t="s">
        <v>1765</v>
      </c>
      <c r="FS245">
        <v>9</v>
      </c>
      <c r="FT245">
        <v>8.5</v>
      </c>
      <c r="FU245">
        <v>7.5</v>
      </c>
      <c r="FV245">
        <v>6.5</v>
      </c>
      <c r="FW245">
        <v>4</v>
      </c>
      <c r="FX245">
        <v>0.1</v>
      </c>
      <c r="FY245">
        <v>0.1</v>
      </c>
      <c r="FZ245">
        <v>0.2</v>
      </c>
      <c r="GA245">
        <v>0.3</v>
      </c>
      <c r="GB245">
        <v>0.3</v>
      </c>
      <c r="GC245">
        <f>FS245*FX245</f>
        <v>0.9</v>
      </c>
      <c r="GD245">
        <f>FT245*FY245</f>
        <v>0.85000000000000009</v>
      </c>
      <c r="GE245">
        <f>FU245*FZ245</f>
        <v>1.5</v>
      </c>
      <c r="GF245">
        <f>FV245*GA245</f>
        <v>1.95</v>
      </c>
      <c r="GG245">
        <f>FW245*GB245</f>
        <v>1.2</v>
      </c>
      <c r="GH245">
        <v>5.55</v>
      </c>
      <c r="GJ245">
        <v>5.5</v>
      </c>
      <c r="GK245">
        <f>GC245+GD245+GE245+GF245+GG245</f>
        <v>6.4</v>
      </c>
      <c r="GL245">
        <f>MEDIAN(FS245:FW245)</f>
        <v>7.5</v>
      </c>
    </row>
    <row r="246" spans="1:194" hidden="1" x14ac:dyDescent="0.25">
      <c r="A246">
        <v>245</v>
      </c>
      <c r="B246" t="s">
        <v>2</v>
      </c>
      <c r="C246" s="4">
        <v>100.8</v>
      </c>
      <c r="D246">
        <v>3.6</v>
      </c>
      <c r="E246" s="1">
        <f>C246/3/D246</f>
        <v>9.3333333333333339</v>
      </c>
      <c r="G246">
        <v>42.31</v>
      </c>
      <c r="H246">
        <v>5.5</v>
      </c>
      <c r="I246">
        <f>H246*D246*3</f>
        <v>59.400000000000006</v>
      </c>
      <c r="J246">
        <v>13.65</v>
      </c>
      <c r="K246">
        <v>9</v>
      </c>
      <c r="L246" s="3">
        <f>K246*3*D246</f>
        <v>97.2</v>
      </c>
      <c r="M246">
        <v>4.59</v>
      </c>
      <c r="N246">
        <v>3</v>
      </c>
      <c r="O246">
        <f>N246*D246*3</f>
        <v>32.400000000000006</v>
      </c>
      <c r="P246" s="5">
        <v>6.5</v>
      </c>
      <c r="Q246" s="5">
        <f>P246*D246*3</f>
        <v>70.2</v>
      </c>
      <c r="S246" t="s">
        <v>6376</v>
      </c>
      <c r="T246">
        <v>3.4</v>
      </c>
      <c r="U246" s="8">
        <f>T246*D246*3</f>
        <v>36.72</v>
      </c>
      <c r="V246">
        <v>33.86</v>
      </c>
      <c r="W246">
        <v>8.4</v>
      </c>
      <c r="X246" s="5">
        <f>W246*D246*3</f>
        <v>90.72</v>
      </c>
      <c r="Y246">
        <v>8.89</v>
      </c>
      <c r="Z246">
        <v>6</v>
      </c>
      <c r="AA246">
        <f>Z246*D246*3</f>
        <v>64.800000000000011</v>
      </c>
      <c r="AC246">
        <v>46.01</v>
      </c>
      <c r="AD246">
        <v>7.9</v>
      </c>
      <c r="AE246" s="1">
        <f>AD246*3*D246</f>
        <v>85.320000000000007</v>
      </c>
      <c r="AF246">
        <v>12.12</v>
      </c>
      <c r="AG246" s="5">
        <v>7</v>
      </c>
      <c r="AH246" s="5">
        <f>AG246*D246*3</f>
        <v>75.599999999999994</v>
      </c>
      <c r="AI246" s="13"/>
      <c r="AK246" s="8">
        <f>AJ246*D246*3</f>
        <v>0</v>
      </c>
      <c r="AL246" s="13"/>
      <c r="AM246">
        <v>30.71</v>
      </c>
      <c r="AN246">
        <v>7</v>
      </c>
      <c r="AO246" s="8">
        <f>AN246*D246*3</f>
        <v>75.599999999999994</v>
      </c>
      <c r="AP246">
        <v>14.58</v>
      </c>
      <c r="AQ246">
        <v>10</v>
      </c>
      <c r="AR246">
        <f>AQ246*D246*3</f>
        <v>108</v>
      </c>
      <c r="AT246">
        <v>9</v>
      </c>
      <c r="AU246">
        <f>AT246*D246*3</f>
        <v>97.199999999999989</v>
      </c>
      <c r="AW246">
        <v>24.7</v>
      </c>
      <c r="AX246">
        <v>9.3000000000000007</v>
      </c>
      <c r="AY246">
        <f>AX246*D246*3</f>
        <v>100.44000000000001</v>
      </c>
      <c r="AZ246">
        <v>24.7</v>
      </c>
      <c r="BA246">
        <v>9.4</v>
      </c>
      <c r="BB246">
        <f>BA246*D246*3</f>
        <v>101.52000000000001</v>
      </c>
      <c r="BD246">
        <v>8.9</v>
      </c>
      <c r="BE246">
        <f>BD246*D246*3</f>
        <v>96.12</v>
      </c>
      <c r="BG246" s="10"/>
      <c r="BH246" s="1">
        <f>CHOOSE(MATCH(MIN(ABS(BP246-C246),ABS(BQ246-C246),ABS(BR246-C246)),CHOOSE({1;2;3},ABS(BP246-C246),ABS(BQ246-C246),ABS(BR246-C246)),0),BP246,BQ246,BR246)</f>
        <v>86.4</v>
      </c>
      <c r="BJ246" s="1" cm="1">
        <f t="array" ref="BJ246">(INDEX(_xlfn._xlws.SORT(CHOOSE({1;2;3;4;5;6},BQ246,BR246,L246,AE246,BO246,BP246)),3) + INDEX(_xlfn._xlws.SORT(CHOOSE({1;2;3;4;5;6},BQ246,BR246,L246,AE246,BO246,BP246)),4))/2</f>
        <v>80.460000000000008</v>
      </c>
      <c r="BK246">
        <v>9.2944960553914697</v>
      </c>
      <c r="BL246" t="s">
        <v>6117</v>
      </c>
      <c r="BM246" s="1">
        <f>BK246*3*D246</f>
        <v>100.38055739822788</v>
      </c>
      <c r="BN246" s="1">
        <f>BM246-C246</f>
        <v>-0.41944260177211845</v>
      </c>
      <c r="BO246" s="1">
        <f>GK246*3*D246</f>
        <v>47.52</v>
      </c>
      <c r="BP246" s="1">
        <f>DO246*3*D246</f>
        <v>75.600000000000009</v>
      </c>
      <c r="BQ246" s="1">
        <f>FJ246*3*D246</f>
        <v>86.4</v>
      </c>
      <c r="BR246" s="1">
        <f>GL246*3*D246</f>
        <v>43.2</v>
      </c>
      <c r="BT246">
        <v>42.31</v>
      </c>
      <c r="BU246">
        <v>5.5</v>
      </c>
      <c r="BV246" t="s">
        <v>5786</v>
      </c>
      <c r="BW246" t="s">
        <v>5317</v>
      </c>
      <c r="BX246" t="s">
        <v>5787</v>
      </c>
      <c r="BY246" t="s">
        <v>5788</v>
      </c>
      <c r="BZ246" t="s">
        <v>5789</v>
      </c>
      <c r="CA246" t="s">
        <v>2931</v>
      </c>
      <c r="CB246" t="s">
        <v>2932</v>
      </c>
      <c r="CC246" t="s">
        <v>3414</v>
      </c>
      <c r="CD246" t="s">
        <v>3415</v>
      </c>
      <c r="CE246" t="s">
        <v>2440</v>
      </c>
      <c r="CG246" t="s">
        <v>3416</v>
      </c>
      <c r="CH246" t="s">
        <v>3417</v>
      </c>
      <c r="CI246" t="s">
        <v>2535</v>
      </c>
      <c r="CJ246" t="s">
        <v>2427</v>
      </c>
      <c r="CK246" t="s">
        <v>3418</v>
      </c>
      <c r="CL246" t="s">
        <v>3419</v>
      </c>
      <c r="CM246" t="s">
        <v>3420</v>
      </c>
      <c r="CN246" t="s">
        <v>3006</v>
      </c>
      <c r="CO246" t="s">
        <v>3421</v>
      </c>
      <c r="CP246" t="s">
        <v>3422</v>
      </c>
      <c r="CQ246" t="s">
        <v>2944</v>
      </c>
      <c r="CR246" t="s">
        <v>3009</v>
      </c>
      <c r="CS246" t="s">
        <v>3423</v>
      </c>
      <c r="CT246" t="s">
        <v>3424</v>
      </c>
      <c r="CV246">
        <v>7.5</v>
      </c>
      <c r="CW246">
        <v>9</v>
      </c>
      <c r="CX246">
        <v>7</v>
      </c>
      <c r="CY246">
        <v>6.5</v>
      </c>
      <c r="CZ246">
        <v>5</v>
      </c>
      <c r="DA246">
        <v>0.1</v>
      </c>
      <c r="DB246">
        <v>0.1</v>
      </c>
      <c r="DC246">
        <v>0.2</v>
      </c>
      <c r="DD246">
        <v>0.3</v>
      </c>
      <c r="DE246">
        <v>0.3</v>
      </c>
      <c r="DF246">
        <v>0.75</v>
      </c>
      <c r="DG246">
        <v>0.9</v>
      </c>
      <c r="DH246">
        <v>1.4</v>
      </c>
      <c r="DI246">
        <v>1.95</v>
      </c>
      <c r="DJ246">
        <v>1.5</v>
      </c>
      <c r="DK246">
        <v>5.5</v>
      </c>
      <c r="DL246">
        <v>0</v>
      </c>
      <c r="DM246">
        <v>5.5</v>
      </c>
      <c r="DN246">
        <v>9</v>
      </c>
      <c r="DO246">
        <f>AVERAGE(CV246:CZ246)</f>
        <v>7</v>
      </c>
      <c r="DQ246">
        <v>8</v>
      </c>
      <c r="DR246" t="s">
        <v>38</v>
      </c>
      <c r="DS246" t="s">
        <v>29</v>
      </c>
      <c r="DT246" t="s">
        <v>214</v>
      </c>
      <c r="DU246" t="s">
        <v>435</v>
      </c>
      <c r="DV246" t="s">
        <v>216</v>
      </c>
      <c r="DW246" t="s">
        <v>3836</v>
      </c>
      <c r="DX246" t="s">
        <v>3770</v>
      </c>
      <c r="DY246" t="s">
        <v>3771</v>
      </c>
      <c r="DZ246" t="s">
        <v>3772</v>
      </c>
      <c r="EA246" t="s">
        <v>3860</v>
      </c>
      <c r="EB246" t="s">
        <v>3807</v>
      </c>
      <c r="EC246" t="s">
        <v>3775</v>
      </c>
      <c r="ED246" t="s">
        <v>3776</v>
      </c>
      <c r="EE246" t="s">
        <v>3946</v>
      </c>
      <c r="EF246" t="s">
        <v>3809</v>
      </c>
      <c r="EG246" t="s">
        <v>3810</v>
      </c>
      <c r="EH246" t="s">
        <v>3811</v>
      </c>
      <c r="EI246" t="s">
        <v>4438</v>
      </c>
      <c r="EJ246" t="s">
        <v>3813</v>
      </c>
      <c r="EK246" t="s">
        <v>3948</v>
      </c>
      <c r="EL246" t="s">
        <v>3815</v>
      </c>
      <c r="EM246" t="s">
        <v>3949</v>
      </c>
      <c r="EN246" t="s">
        <v>3809</v>
      </c>
      <c r="EO246" t="s">
        <v>4252</v>
      </c>
      <c r="EP246" t="s">
        <v>3811</v>
      </c>
      <c r="EQ246">
        <v>7</v>
      </c>
      <c r="ER246">
        <v>8</v>
      </c>
      <c r="ES246">
        <v>8</v>
      </c>
      <c r="ET246">
        <v>8</v>
      </c>
      <c r="EU246">
        <v>8</v>
      </c>
      <c r="EV246">
        <v>0.1</v>
      </c>
      <c r="EW246">
        <v>0.1</v>
      </c>
      <c r="EX246">
        <v>0.2</v>
      </c>
      <c r="EY246">
        <v>0.3</v>
      </c>
      <c r="EZ246">
        <v>0.3</v>
      </c>
      <c r="FA246">
        <f>EV246*EQ246</f>
        <v>0.70000000000000007</v>
      </c>
      <c r="FB246">
        <f>EW246*ER246</f>
        <v>0.8</v>
      </c>
      <c r="FC246">
        <f>EX246*ES246</f>
        <v>1.6</v>
      </c>
      <c r="FD246">
        <f>EY246*ET246</f>
        <v>2.4</v>
      </c>
      <c r="FE246">
        <f>EZ246*EU246</f>
        <v>2.4</v>
      </c>
      <c r="FF246">
        <v>16</v>
      </c>
      <c r="FG246">
        <v>0</v>
      </c>
      <c r="FH246">
        <v>8</v>
      </c>
      <c r="FI246">
        <f>FA246+FB246+FC246+FD246+FE246</f>
        <v>7.9</v>
      </c>
      <c r="FJ246">
        <f>MEDIAN(EQ246:EU246)</f>
        <v>8</v>
      </c>
      <c r="FL246">
        <v>40.44</v>
      </c>
      <c r="FM246">
        <v>6</v>
      </c>
      <c r="FN246" t="s">
        <v>1766</v>
      </c>
      <c r="FO246" t="s">
        <v>1767</v>
      </c>
      <c r="FP246" t="s">
        <v>1768</v>
      </c>
      <c r="FQ246" t="s">
        <v>1769</v>
      </c>
      <c r="FR246" t="s">
        <v>1770</v>
      </c>
      <c r="FS246">
        <v>4</v>
      </c>
      <c r="FT246">
        <v>3</v>
      </c>
      <c r="FU246">
        <v>2</v>
      </c>
      <c r="FV246">
        <v>5</v>
      </c>
      <c r="FW246">
        <v>6</v>
      </c>
      <c r="FX246">
        <v>0.1</v>
      </c>
      <c r="FY246">
        <v>0.1</v>
      </c>
      <c r="FZ246">
        <v>0.2</v>
      </c>
      <c r="GA246">
        <v>0.3</v>
      </c>
      <c r="GB246">
        <v>0.3</v>
      </c>
      <c r="GC246">
        <f>FS246*FX246</f>
        <v>0.4</v>
      </c>
      <c r="GD246">
        <f>FT246*FY246</f>
        <v>0.30000000000000004</v>
      </c>
      <c r="GE246">
        <f>FU246*FZ246</f>
        <v>0.4</v>
      </c>
      <c r="GF246">
        <f>FV246*GA246</f>
        <v>1.5</v>
      </c>
      <c r="GG246">
        <f>FW246*GB246</f>
        <v>1.7999999999999998</v>
      </c>
      <c r="GH246">
        <v>5.9</v>
      </c>
      <c r="GI246">
        <v>0.1</v>
      </c>
      <c r="GJ246">
        <v>6</v>
      </c>
      <c r="GK246">
        <f>GC246+GD246+GE246+GF246+GG246</f>
        <v>4.4000000000000004</v>
      </c>
      <c r="GL246">
        <f>MEDIAN(FS246:FW246)</f>
        <v>4</v>
      </c>
    </row>
    <row r="247" spans="1:194" hidden="1" x14ac:dyDescent="0.25">
      <c r="A247">
        <v>246</v>
      </c>
      <c r="B247" t="s">
        <v>2</v>
      </c>
      <c r="C247" s="4">
        <v>75.900000000000006</v>
      </c>
      <c r="D247">
        <v>3.3</v>
      </c>
      <c r="E247" s="1">
        <f>C247/3/D247</f>
        <v>7.666666666666667</v>
      </c>
      <c r="G247">
        <v>35.75</v>
      </c>
      <c r="H247">
        <v>8.1999999999999993</v>
      </c>
      <c r="I247">
        <f>H247*D247*3</f>
        <v>81.179999999999978</v>
      </c>
      <c r="J247">
        <v>18.309999999999999</v>
      </c>
      <c r="K247">
        <v>8.4</v>
      </c>
      <c r="L247" s="3">
        <f>K247*3*D247</f>
        <v>83.160000000000011</v>
      </c>
      <c r="M247">
        <v>5.23</v>
      </c>
      <c r="N247">
        <v>4</v>
      </c>
      <c r="O247">
        <f>N247*D247*3</f>
        <v>39.599999999999994</v>
      </c>
      <c r="P247" s="5">
        <v>7.2</v>
      </c>
      <c r="Q247" s="5">
        <f>P247*D247*3</f>
        <v>71.28</v>
      </c>
      <c r="S247" t="s">
        <v>6298</v>
      </c>
      <c r="T247">
        <v>5.2</v>
      </c>
      <c r="U247" s="8">
        <f>T247*D247*3</f>
        <v>51.480000000000004</v>
      </c>
      <c r="V247">
        <v>37.22</v>
      </c>
      <c r="W247">
        <v>8</v>
      </c>
      <c r="X247" s="5">
        <f>W247*D247*3</f>
        <v>79.199999999999989</v>
      </c>
      <c r="Y247">
        <v>12.05</v>
      </c>
      <c r="Z247">
        <v>7.6</v>
      </c>
      <c r="AA247">
        <f>Z247*D247*3</f>
        <v>75.239999999999995</v>
      </c>
      <c r="AC247">
        <v>49.04</v>
      </c>
      <c r="AD247">
        <v>7.4</v>
      </c>
      <c r="AE247" s="1">
        <f>AD247*3*D247</f>
        <v>73.260000000000005</v>
      </c>
      <c r="AF247">
        <v>12.04</v>
      </c>
      <c r="AG247" s="5">
        <v>7</v>
      </c>
      <c r="AH247" s="5">
        <f>AG247*D247*3</f>
        <v>69.3</v>
      </c>
      <c r="AI247" s="13"/>
      <c r="AK247" s="8">
        <f>AJ247*D247*3</f>
        <v>0</v>
      </c>
      <c r="AL247" s="13"/>
      <c r="AM247">
        <v>30.82</v>
      </c>
      <c r="AN247">
        <v>7.9</v>
      </c>
      <c r="AO247" s="8">
        <f>AN247*D247*3</f>
        <v>78.210000000000008</v>
      </c>
      <c r="AP247">
        <v>15.07</v>
      </c>
      <c r="AQ247">
        <v>10</v>
      </c>
      <c r="AR247">
        <f>AQ247*D247*3</f>
        <v>99</v>
      </c>
      <c r="AT247">
        <v>7.5</v>
      </c>
      <c r="AU247">
        <f>AT247*D247*3</f>
        <v>74.25</v>
      </c>
      <c r="AW247">
        <v>23.55</v>
      </c>
      <c r="AX247">
        <v>9.6</v>
      </c>
      <c r="AY247">
        <f>AX247*D247*3</f>
        <v>95.039999999999992</v>
      </c>
      <c r="AZ247">
        <v>23.55</v>
      </c>
      <c r="BA247">
        <v>9.6</v>
      </c>
      <c r="BB247">
        <f>BA247*D247*3</f>
        <v>95.039999999999992</v>
      </c>
      <c r="BD247">
        <v>9</v>
      </c>
      <c r="BE247">
        <f>BD247*D247*3</f>
        <v>89.1</v>
      </c>
      <c r="BG247" s="10"/>
      <c r="BH247" s="1">
        <f>CHOOSE(MATCH(MIN(ABS(BP247-C247),ABS(BQ247-C247),ABS(BR247-C247)),CHOOSE({1;2;3},ABS(BP247-C247),ABS(BQ247-C247),ABS(BR247-C247)),0),BP247,BQ247,BR247)</f>
        <v>69.3</v>
      </c>
      <c r="BJ247" s="1" cm="1">
        <f t="array" ref="BJ247">(INDEX(_xlfn._xlws.SORT(CHOOSE({1;2;3;4;5;6},BQ247,BR247,L247,AE247,BO247,BP247)),3) + INDEX(_xlfn._xlws.SORT(CHOOSE({1;2;3;4;5;6},BQ247,BR247,L247,AE247,BO247,BP247)),4))/2</f>
        <v>71.28</v>
      </c>
      <c r="BK247">
        <v>7.6670580560584503</v>
      </c>
      <c r="BL247" t="s">
        <v>6117</v>
      </c>
      <c r="BM247" s="1">
        <f>BK247*3*D247</f>
        <v>75.903874754978645</v>
      </c>
      <c r="BN247" s="1">
        <f>BM247-C247</f>
        <v>3.8747549786393165E-3</v>
      </c>
      <c r="BO247" s="1">
        <f>GK247*3*D247</f>
        <v>56.43</v>
      </c>
      <c r="BP247" s="1">
        <f>DO247*3*D247</f>
        <v>89.1</v>
      </c>
      <c r="BQ247" s="1">
        <f>FJ247*3*D247</f>
        <v>69.3</v>
      </c>
      <c r="BR247" s="1">
        <f>GL247*3*D247</f>
        <v>59.4</v>
      </c>
      <c r="BT247">
        <v>35.75</v>
      </c>
      <c r="BU247">
        <v>8.1999999999999993</v>
      </c>
      <c r="BV247" t="s">
        <v>5018</v>
      </c>
      <c r="BW247" t="s">
        <v>5019</v>
      </c>
      <c r="BX247" t="s">
        <v>5325</v>
      </c>
      <c r="BY247" t="s">
        <v>5257</v>
      </c>
      <c r="BZ247" t="s">
        <v>5022</v>
      </c>
      <c r="CA247" t="s">
        <v>2506</v>
      </c>
      <c r="CC247" t="s">
        <v>2507</v>
      </c>
      <c r="CD247" t="s">
        <v>2508</v>
      </c>
      <c r="CE247" t="s">
        <v>2440</v>
      </c>
      <c r="CG247" t="s">
        <v>2509</v>
      </c>
      <c r="CH247" t="s">
        <v>2510</v>
      </c>
      <c r="CI247" t="s">
        <v>2443</v>
      </c>
      <c r="CK247" t="s">
        <v>2511</v>
      </c>
      <c r="CL247" t="s">
        <v>2512</v>
      </c>
      <c r="CM247" t="s">
        <v>2446</v>
      </c>
      <c r="CO247" t="s">
        <v>2513</v>
      </c>
      <c r="CP247" t="s">
        <v>2514</v>
      </c>
      <c r="CQ247" t="s">
        <v>2449</v>
      </c>
      <c r="CS247" t="s">
        <v>2523</v>
      </c>
      <c r="CT247" t="s">
        <v>2524</v>
      </c>
      <c r="CV247">
        <v>9</v>
      </c>
      <c r="CW247">
        <v>9</v>
      </c>
      <c r="CX247">
        <v>9</v>
      </c>
      <c r="CY247">
        <v>9</v>
      </c>
      <c r="CZ247">
        <v>9</v>
      </c>
      <c r="DA247">
        <v>0.1</v>
      </c>
      <c r="DB247">
        <v>0.1</v>
      </c>
      <c r="DC247">
        <v>0.2</v>
      </c>
      <c r="DD247">
        <v>0.3</v>
      </c>
      <c r="DE247">
        <v>0.3</v>
      </c>
      <c r="DF247">
        <v>0.9</v>
      </c>
      <c r="DG247">
        <v>0.9</v>
      </c>
      <c r="DH247">
        <v>1.8</v>
      </c>
      <c r="DI247">
        <v>2.7</v>
      </c>
      <c r="DJ247">
        <v>2.7</v>
      </c>
      <c r="DK247">
        <v>8.1999999999999993</v>
      </c>
      <c r="DL247">
        <v>0</v>
      </c>
      <c r="DM247">
        <v>8.1999999999999993</v>
      </c>
      <c r="DN247">
        <v>8.4</v>
      </c>
      <c r="DO247">
        <f>AVERAGE(CV247:CZ247)</f>
        <v>9</v>
      </c>
      <c r="DQ247">
        <v>8</v>
      </c>
      <c r="DR247" t="s">
        <v>436</v>
      </c>
      <c r="DS247" t="s">
        <v>437</v>
      </c>
      <c r="DT247" t="s">
        <v>438</v>
      </c>
      <c r="DU247" t="s">
        <v>439</v>
      </c>
      <c r="DV247" t="s">
        <v>440</v>
      </c>
      <c r="DW247" t="s">
        <v>3788</v>
      </c>
      <c r="DX247" t="s">
        <v>4505</v>
      </c>
      <c r="DY247" t="s">
        <v>4506</v>
      </c>
      <c r="DZ247" t="s">
        <v>4721</v>
      </c>
      <c r="EA247" t="s">
        <v>3993</v>
      </c>
      <c r="EB247" t="s">
        <v>4722</v>
      </c>
      <c r="EC247" t="s">
        <v>4723</v>
      </c>
      <c r="ED247" t="s">
        <v>4724</v>
      </c>
      <c r="EE247" t="s">
        <v>4135</v>
      </c>
      <c r="EF247" t="s">
        <v>4390</v>
      </c>
      <c r="EG247" t="s">
        <v>4725</v>
      </c>
      <c r="EH247" t="s">
        <v>4721</v>
      </c>
      <c r="EI247" t="s">
        <v>3981</v>
      </c>
      <c r="EJ247" t="s">
        <v>4393</v>
      </c>
      <c r="EK247" t="s">
        <v>4726</v>
      </c>
      <c r="EL247" t="s">
        <v>4395</v>
      </c>
      <c r="EM247" t="s">
        <v>4515</v>
      </c>
      <c r="EN247" t="s">
        <v>4085</v>
      </c>
      <c r="EO247" t="s">
        <v>4727</v>
      </c>
      <c r="EP247" t="s">
        <v>4728</v>
      </c>
      <c r="EQ247">
        <v>7</v>
      </c>
      <c r="ER247">
        <v>8</v>
      </c>
      <c r="ES247">
        <v>7</v>
      </c>
      <c r="ET247">
        <v>8</v>
      </c>
      <c r="EU247">
        <v>7</v>
      </c>
      <c r="EV247">
        <v>0.1</v>
      </c>
      <c r="EW247">
        <v>0.1</v>
      </c>
      <c r="EX247">
        <v>0.2</v>
      </c>
      <c r="EY247">
        <v>0.3</v>
      </c>
      <c r="EZ247">
        <v>0.3</v>
      </c>
      <c r="FA247">
        <f>EV247*EQ247</f>
        <v>0.70000000000000007</v>
      </c>
      <c r="FB247">
        <f>EW247*ER247</f>
        <v>0.8</v>
      </c>
      <c r="FC247">
        <f>EX247*ES247</f>
        <v>1.4000000000000001</v>
      </c>
      <c r="FD247">
        <f>EY247*ET247</f>
        <v>2.4</v>
      </c>
      <c r="FE247">
        <f>EZ247*EU247</f>
        <v>2.1</v>
      </c>
      <c r="FF247">
        <v>21</v>
      </c>
      <c r="FG247">
        <v>0</v>
      </c>
      <c r="FH247">
        <v>8</v>
      </c>
      <c r="FI247">
        <f>FA247+FB247+FC247+FD247+FE247</f>
        <v>7.4</v>
      </c>
      <c r="FJ247">
        <f>MEDIAN(EQ247:EU247)</f>
        <v>7</v>
      </c>
      <c r="FL247">
        <v>40.78</v>
      </c>
      <c r="FN247" t="s">
        <v>1771</v>
      </c>
      <c r="FO247" t="s">
        <v>1772</v>
      </c>
      <c r="FP247" t="s">
        <v>639</v>
      </c>
      <c r="FQ247" t="s">
        <v>1773</v>
      </c>
      <c r="FR247" t="s">
        <v>1774</v>
      </c>
      <c r="FS247">
        <v>6</v>
      </c>
      <c r="FT247">
        <v>8</v>
      </c>
      <c r="FU247">
        <v>5</v>
      </c>
      <c r="FV247">
        <v>4</v>
      </c>
      <c r="FW247">
        <v>7</v>
      </c>
      <c r="FX247">
        <v>0.1</v>
      </c>
      <c r="FY247">
        <v>0.1</v>
      </c>
      <c r="FZ247">
        <v>0.2</v>
      </c>
      <c r="GA247">
        <v>0.3</v>
      </c>
      <c r="GB247">
        <v>0.3</v>
      </c>
      <c r="GC247">
        <f>FS247*FX247</f>
        <v>0.60000000000000009</v>
      </c>
      <c r="GD247">
        <f>FT247*FY247</f>
        <v>0.8</v>
      </c>
      <c r="GE247">
        <f>FU247*FZ247</f>
        <v>1</v>
      </c>
      <c r="GF247">
        <f>FV247*GA247</f>
        <v>1.2</v>
      </c>
      <c r="GG247">
        <f>FW247*GB247</f>
        <v>2.1</v>
      </c>
      <c r="GH247">
        <v>6.9</v>
      </c>
      <c r="GJ247">
        <v>7</v>
      </c>
      <c r="GK247">
        <f>GC247+GD247+GE247+GF247+GG247</f>
        <v>5.7000000000000011</v>
      </c>
      <c r="GL247">
        <f>MEDIAN(FS247:FW247)</f>
        <v>6</v>
      </c>
    </row>
    <row r="248" spans="1:194" hidden="1" x14ac:dyDescent="0.25">
      <c r="A248">
        <v>247</v>
      </c>
      <c r="B248" t="s">
        <v>2</v>
      </c>
      <c r="C248" s="4">
        <v>83.25</v>
      </c>
      <c r="D248">
        <v>3.7</v>
      </c>
      <c r="E248" s="1">
        <f>C248/3/D248</f>
        <v>7.5</v>
      </c>
      <c r="G248">
        <v>88.81</v>
      </c>
      <c r="H248">
        <v>8</v>
      </c>
      <c r="I248">
        <f>H248*D248*3</f>
        <v>88.800000000000011</v>
      </c>
      <c r="J248">
        <v>17.34</v>
      </c>
      <c r="K248">
        <v>8.6999999999999993</v>
      </c>
      <c r="L248" s="3">
        <f>K248*3*D248</f>
        <v>96.57</v>
      </c>
      <c r="M248">
        <v>4.1100000000000003</v>
      </c>
      <c r="N248">
        <v>8.9</v>
      </c>
      <c r="O248">
        <f>N248*D248*3</f>
        <v>98.789999999999992</v>
      </c>
      <c r="P248" s="5">
        <v>8.1999999999999993</v>
      </c>
      <c r="Q248" s="5">
        <f>P248*D248*3</f>
        <v>91.02</v>
      </c>
      <c r="S248" t="s">
        <v>6243</v>
      </c>
      <c r="T248">
        <v>5.4</v>
      </c>
      <c r="U248" s="8">
        <f>T248*D248*3</f>
        <v>59.940000000000012</v>
      </c>
      <c r="V248">
        <v>31.24</v>
      </c>
      <c r="W248">
        <v>8</v>
      </c>
      <c r="X248" s="5">
        <f>W248*D248*3</f>
        <v>88.800000000000011</v>
      </c>
      <c r="Y248">
        <v>10.85</v>
      </c>
      <c r="Z248">
        <v>6</v>
      </c>
      <c r="AA248">
        <f>Z248*D248*3</f>
        <v>66.600000000000009</v>
      </c>
      <c r="AC248">
        <v>51.76</v>
      </c>
      <c r="AD248">
        <v>7.1</v>
      </c>
      <c r="AE248" s="1">
        <f>AD248*3*D248</f>
        <v>78.809999999999988</v>
      </c>
      <c r="AF248">
        <v>11.92</v>
      </c>
      <c r="AG248" s="5">
        <v>7</v>
      </c>
      <c r="AH248" s="5">
        <f>AG248*D248*3</f>
        <v>77.7</v>
      </c>
      <c r="AI248" s="13"/>
      <c r="AJ248">
        <v>4.2</v>
      </c>
      <c r="AK248" s="8">
        <f>AJ248*D248*3</f>
        <v>46.620000000000005</v>
      </c>
      <c r="AL248" s="13"/>
      <c r="AM248">
        <v>30.83</v>
      </c>
      <c r="AN248">
        <v>7.6</v>
      </c>
      <c r="AO248" s="8">
        <f>AN248*D248*3</f>
        <v>84.36</v>
      </c>
      <c r="AP248">
        <v>14.27</v>
      </c>
      <c r="AQ248">
        <v>9.5</v>
      </c>
      <c r="AR248">
        <f>AQ248*D248*3</f>
        <v>105.44999999999999</v>
      </c>
      <c r="AT248">
        <v>9</v>
      </c>
      <c r="AU248">
        <f>AT248*D248*3</f>
        <v>99.9</v>
      </c>
      <c r="AW248">
        <v>26.6</v>
      </c>
      <c r="AX248">
        <v>8.8000000000000007</v>
      </c>
      <c r="AY248">
        <f>AX248*D248*3</f>
        <v>97.68</v>
      </c>
      <c r="AZ248">
        <v>26.6</v>
      </c>
      <c r="BA248">
        <v>9.4</v>
      </c>
      <c r="BB248">
        <f>BA248*D248*3</f>
        <v>104.34</v>
      </c>
      <c r="BD248">
        <v>8.9</v>
      </c>
      <c r="BE248">
        <f>BD248*D248*3</f>
        <v>98.789999999999992</v>
      </c>
      <c r="BG248" s="10"/>
      <c r="BH248" s="1">
        <f>CHOOSE(MATCH(MIN(ABS(BP248-C248),ABS(BQ248-C248),ABS(BR248-C248)),CHOOSE({1;2;3},ABS(BP248-C248),ABS(BQ248-C248),ABS(BR248-C248)),0),BP248,BQ248,BR248)</f>
        <v>77.7</v>
      </c>
      <c r="BJ248" s="1" cm="1">
        <f t="array" ref="BJ248">(INDEX(_xlfn._xlws.SORT(CHOOSE({1;2;3;4;5;6},BQ248,BR248,L248,AE248,BO248,BP248)),3) + INDEX(_xlfn._xlws.SORT(CHOOSE({1;2;3;4;5;6},BQ248,BR248,L248,AE248,BO248,BP248)),4))/2</f>
        <v>87.69</v>
      </c>
      <c r="BK248">
        <v>7.5541936627678599</v>
      </c>
      <c r="BL248" t="s">
        <v>6117</v>
      </c>
      <c r="BM248" s="1">
        <f>BK248*3*D248</f>
        <v>83.85154965672325</v>
      </c>
      <c r="BN248" s="1">
        <f>BM248-C248</f>
        <v>0.60154965672325034</v>
      </c>
      <c r="BO248" s="1">
        <f>GK248*3*D248</f>
        <v>86.58</v>
      </c>
      <c r="BP248" s="1">
        <f>DO248*3*D248</f>
        <v>99.9</v>
      </c>
      <c r="BQ248" s="1">
        <f>FJ248*3*D248</f>
        <v>77.7</v>
      </c>
      <c r="BR248" s="1">
        <f>GL248*3*D248</f>
        <v>88.800000000000011</v>
      </c>
      <c r="BT248">
        <v>88.81</v>
      </c>
      <c r="BU248">
        <v>8</v>
      </c>
      <c r="BV248" t="s">
        <v>5350</v>
      </c>
      <c r="BW248" t="s">
        <v>5790</v>
      </c>
      <c r="BX248" t="s">
        <v>5791</v>
      </c>
      <c r="BY248" t="s">
        <v>5792</v>
      </c>
      <c r="BZ248" t="s">
        <v>5793</v>
      </c>
      <c r="CA248" t="s">
        <v>2437</v>
      </c>
      <c r="CC248" t="s">
        <v>2842</v>
      </c>
      <c r="CD248" t="s">
        <v>2439</v>
      </c>
      <c r="CE248" t="s">
        <v>2440</v>
      </c>
      <c r="CG248" t="s">
        <v>3023</v>
      </c>
      <c r="CH248" t="s">
        <v>2648</v>
      </c>
      <c r="CI248" t="s">
        <v>2443</v>
      </c>
      <c r="CK248" t="s">
        <v>3024</v>
      </c>
      <c r="CL248" t="s">
        <v>3025</v>
      </c>
      <c r="CM248" t="s">
        <v>2446</v>
      </c>
      <c r="CO248" t="s">
        <v>3026</v>
      </c>
      <c r="CP248" t="s">
        <v>2652</v>
      </c>
      <c r="CQ248" t="s">
        <v>2449</v>
      </c>
      <c r="CS248" t="s">
        <v>3027</v>
      </c>
      <c r="CT248" t="s">
        <v>3028</v>
      </c>
      <c r="CV248">
        <v>9</v>
      </c>
      <c r="CW248">
        <v>9</v>
      </c>
      <c r="CX248">
        <v>9</v>
      </c>
      <c r="CY248">
        <v>9</v>
      </c>
      <c r="CZ248">
        <v>9</v>
      </c>
      <c r="DA248">
        <v>0.1</v>
      </c>
      <c r="DB248">
        <v>0.1</v>
      </c>
      <c r="DC248">
        <v>0.2</v>
      </c>
      <c r="DD248">
        <v>0.3</v>
      </c>
      <c r="DE248">
        <v>0.3</v>
      </c>
      <c r="DF248">
        <v>0.9</v>
      </c>
      <c r="DG248">
        <v>0.9</v>
      </c>
      <c r="DH248">
        <v>1.8</v>
      </c>
      <c r="DI248">
        <v>2.7</v>
      </c>
      <c r="DJ248">
        <v>2.7</v>
      </c>
      <c r="DK248">
        <v>8</v>
      </c>
      <c r="DL248">
        <v>0</v>
      </c>
      <c r="DM248">
        <v>8</v>
      </c>
      <c r="DN248">
        <v>8.6999999999999993</v>
      </c>
      <c r="DO248">
        <f>AVERAGE(CV248:CZ248)</f>
        <v>9</v>
      </c>
      <c r="DQ248">
        <v>14</v>
      </c>
      <c r="DR248" t="s">
        <v>28</v>
      </c>
      <c r="DS248" t="s">
        <v>61</v>
      </c>
      <c r="DT248" t="s">
        <v>90</v>
      </c>
      <c r="DU248" t="s">
        <v>91</v>
      </c>
      <c r="DV248" t="s">
        <v>92</v>
      </c>
      <c r="DW248" t="s">
        <v>3769</v>
      </c>
      <c r="DX248" t="s">
        <v>3770</v>
      </c>
      <c r="DY248" t="s">
        <v>3963</v>
      </c>
      <c r="DZ248" t="s">
        <v>3963</v>
      </c>
      <c r="EA248" t="s">
        <v>3860</v>
      </c>
      <c r="EB248" t="s">
        <v>3964</v>
      </c>
      <c r="EC248" t="s">
        <v>3965</v>
      </c>
      <c r="ED248" t="s">
        <v>3965</v>
      </c>
      <c r="EE248" t="s">
        <v>3966</v>
      </c>
      <c r="EF248" t="s">
        <v>3967</v>
      </c>
      <c r="EG248" t="s">
        <v>3968</v>
      </c>
      <c r="EH248" t="s">
        <v>3968</v>
      </c>
      <c r="EI248" t="s">
        <v>3246</v>
      </c>
      <c r="EJ248" t="s">
        <v>3969</v>
      </c>
      <c r="EK248" t="s">
        <v>3970</v>
      </c>
      <c r="EL248" t="s">
        <v>3970</v>
      </c>
      <c r="EM248" t="s">
        <v>3971</v>
      </c>
      <c r="EN248" t="s">
        <v>3972</v>
      </c>
      <c r="EO248" t="s">
        <v>3973</v>
      </c>
      <c r="EP248" t="s">
        <v>3973</v>
      </c>
      <c r="EQ248">
        <v>7</v>
      </c>
      <c r="ER248">
        <v>8</v>
      </c>
      <c r="ES248">
        <v>7</v>
      </c>
      <c r="ET248">
        <v>7</v>
      </c>
      <c r="EU248">
        <v>7</v>
      </c>
      <c r="EV248">
        <v>0.1</v>
      </c>
      <c r="EW248">
        <v>0.1</v>
      </c>
      <c r="EX248">
        <v>0.2</v>
      </c>
      <c r="EY248">
        <v>0.3</v>
      </c>
      <c r="EZ248">
        <v>0.3</v>
      </c>
      <c r="FA248">
        <f>EV248*EQ248</f>
        <v>0.70000000000000007</v>
      </c>
      <c r="FB248">
        <f>EW248*ER248</f>
        <v>0.8</v>
      </c>
      <c r="FC248">
        <f>EX248*ES248</f>
        <v>1.4000000000000001</v>
      </c>
      <c r="FD248">
        <f>EY248*ET248</f>
        <v>2.1</v>
      </c>
      <c r="FE248">
        <f>EZ248*EU248</f>
        <v>2.1</v>
      </c>
      <c r="FF248">
        <v>14</v>
      </c>
      <c r="FG248">
        <v>0</v>
      </c>
      <c r="FH248">
        <v>14</v>
      </c>
      <c r="FI248">
        <f>FA248+FB248+FC248+FD248+FE248</f>
        <v>7.1</v>
      </c>
      <c r="FJ248">
        <f>MEDIAN(EQ248:EU248)</f>
        <v>7</v>
      </c>
      <c r="FL248">
        <v>77.92</v>
      </c>
      <c r="FM248">
        <v>6.8</v>
      </c>
      <c r="FN248" t="s">
        <v>1775</v>
      </c>
      <c r="FO248" t="s">
        <v>1776</v>
      </c>
      <c r="FP248" t="s">
        <v>1777</v>
      </c>
      <c r="FQ248" t="s">
        <v>1778</v>
      </c>
      <c r="FR248" t="s">
        <v>1779</v>
      </c>
      <c r="FS248">
        <v>7</v>
      </c>
      <c r="FT248">
        <v>8</v>
      </c>
      <c r="FU248">
        <v>9</v>
      </c>
      <c r="FV248">
        <v>8</v>
      </c>
      <c r="FW248">
        <v>7</v>
      </c>
      <c r="FX248">
        <v>0.1</v>
      </c>
      <c r="FY248">
        <v>0.1</v>
      </c>
      <c r="FZ248">
        <v>0.2</v>
      </c>
      <c r="GA248">
        <v>0.3</v>
      </c>
      <c r="GB248">
        <v>0.3</v>
      </c>
      <c r="GC248">
        <f>FS248*FX248</f>
        <v>0.70000000000000007</v>
      </c>
      <c r="GD248">
        <f>FT248*FY248</f>
        <v>0.8</v>
      </c>
      <c r="GE248">
        <f>FU248*FZ248</f>
        <v>1.8</v>
      </c>
      <c r="GF248">
        <f>FV248*GA248</f>
        <v>2.4</v>
      </c>
      <c r="GG248">
        <f>FW248*GB248</f>
        <v>2.1</v>
      </c>
      <c r="GH248">
        <v>6.8</v>
      </c>
      <c r="GI248">
        <v>0</v>
      </c>
      <c r="GJ248">
        <v>6.8</v>
      </c>
      <c r="GK248">
        <f>GC248+GD248+GE248+GF248+GG248</f>
        <v>7.7999999999999989</v>
      </c>
      <c r="GL248">
        <f>MEDIAN(FS248:FW248)</f>
        <v>8</v>
      </c>
    </row>
    <row r="249" spans="1:194" hidden="1" x14ac:dyDescent="0.25">
      <c r="A249">
        <v>248</v>
      </c>
      <c r="B249" t="s">
        <v>2</v>
      </c>
      <c r="C249" s="4">
        <v>52.5</v>
      </c>
      <c r="D249">
        <v>3</v>
      </c>
      <c r="E249" s="1">
        <f>C249/3/D249</f>
        <v>5.833333333333333</v>
      </c>
      <c r="G249">
        <v>82.27</v>
      </c>
      <c r="H249">
        <v>8.1999999999999993</v>
      </c>
      <c r="I249">
        <f>H249*D249*3</f>
        <v>73.8</v>
      </c>
      <c r="J249">
        <v>18.29</v>
      </c>
      <c r="K249">
        <v>8.6999999999999993</v>
      </c>
      <c r="L249" s="3">
        <f>K249*3*D249</f>
        <v>78.3</v>
      </c>
      <c r="M249">
        <v>4.0999999999999996</v>
      </c>
      <c r="N249">
        <v>8</v>
      </c>
      <c r="O249">
        <f>N249*D249*3</f>
        <v>72</v>
      </c>
      <c r="P249" s="5">
        <v>8.5</v>
      </c>
      <c r="Q249" s="5">
        <f>P249*D249*3</f>
        <v>76.5</v>
      </c>
      <c r="S249" t="s">
        <v>6377</v>
      </c>
      <c r="T249">
        <v>5.3</v>
      </c>
      <c r="U249" s="8">
        <f>T249*D249*3</f>
        <v>47.699999999999996</v>
      </c>
      <c r="V249">
        <v>32.49</v>
      </c>
      <c r="W249">
        <v>8</v>
      </c>
      <c r="X249" s="5">
        <f>W249*D249*3</f>
        <v>72</v>
      </c>
      <c r="Y249">
        <v>12.01</v>
      </c>
      <c r="Z249">
        <v>6</v>
      </c>
      <c r="AA249">
        <f>Z249*D249*3</f>
        <v>54</v>
      </c>
      <c r="AC249">
        <v>51.37</v>
      </c>
      <c r="AD249">
        <v>7.1</v>
      </c>
      <c r="AE249" s="1">
        <f>AD249*3*D249</f>
        <v>63.899999999999991</v>
      </c>
      <c r="AF249">
        <v>11.91</v>
      </c>
      <c r="AG249" s="5">
        <v>7</v>
      </c>
      <c r="AH249" s="5">
        <f>AG249*D249*3</f>
        <v>63</v>
      </c>
      <c r="AI249" s="13"/>
      <c r="AJ249">
        <v>29</v>
      </c>
      <c r="AK249" s="8">
        <f>AJ249*D249*3</f>
        <v>261</v>
      </c>
      <c r="AL249" s="13"/>
      <c r="AM249">
        <v>32.31</v>
      </c>
      <c r="AN249">
        <v>7.1</v>
      </c>
      <c r="AO249" s="8">
        <f>AN249*D249*3</f>
        <v>63.899999999999991</v>
      </c>
      <c r="AP249">
        <v>14.98</v>
      </c>
      <c r="AQ249">
        <v>9.5</v>
      </c>
      <c r="AR249">
        <f>AQ249*D249*3</f>
        <v>85.5</v>
      </c>
      <c r="AT249">
        <v>8.5</v>
      </c>
      <c r="AU249">
        <f>AT249*D249*3</f>
        <v>76.5</v>
      </c>
      <c r="AW249">
        <v>23.93</v>
      </c>
      <c r="AX249">
        <v>9</v>
      </c>
      <c r="AY249">
        <f>AX249*D249*3</f>
        <v>81</v>
      </c>
      <c r="AZ249">
        <v>23.93</v>
      </c>
      <c r="BA249">
        <v>8.4</v>
      </c>
      <c r="BB249">
        <f>BA249*D249*3</f>
        <v>75.600000000000009</v>
      </c>
      <c r="BD249">
        <v>8.6</v>
      </c>
      <c r="BE249">
        <f>BD249*D249*3</f>
        <v>77.399999999999991</v>
      </c>
      <c r="BG249" s="10"/>
      <c r="BH249" s="1">
        <f>CHOOSE(MATCH(MIN(ABS(BP249-C249),ABS(BQ249-C249),ABS(BR249-C249)),CHOOSE({1;2;3},ABS(BP249-C249),ABS(BQ249-C249),ABS(BR249-C249)),0),BP249,BQ249,BR249)</f>
        <v>63</v>
      </c>
      <c r="BJ249" s="1" cm="1">
        <f t="array" ref="BJ249">(INDEX(_xlfn._xlws.SORT(CHOOSE({1;2;3;4;5;6},BQ249,BR249,L249,AE249,BO249,BP249)),3) + INDEX(_xlfn._xlws.SORT(CHOOSE({1;2;3;4;5;6},BQ249,BR249,L249,AE249,BO249,BP249)),4))/2</f>
        <v>77.849999999999994</v>
      </c>
      <c r="BK249">
        <v>5.8977244578138102</v>
      </c>
      <c r="BL249" t="s">
        <v>6117</v>
      </c>
      <c r="BM249" s="1">
        <f>BK249*3*D249</f>
        <v>53.079520120324297</v>
      </c>
      <c r="BN249" s="1">
        <f>BM249-C249</f>
        <v>0.57952012032429678</v>
      </c>
      <c r="BO249" s="1">
        <f>GK249*3*D249</f>
        <v>77.399999999999991</v>
      </c>
      <c r="BP249" s="1">
        <f>DO249*3*D249</f>
        <v>81</v>
      </c>
      <c r="BQ249" s="1">
        <f>FJ249*3*D249</f>
        <v>63</v>
      </c>
      <c r="BR249" s="1">
        <f>GL249*3*D249</f>
        <v>81</v>
      </c>
      <c r="BT249">
        <v>82.27</v>
      </c>
      <c r="BU249">
        <v>8.1999999999999993</v>
      </c>
      <c r="BV249" t="s">
        <v>5602</v>
      </c>
      <c r="BW249" t="s">
        <v>5794</v>
      </c>
      <c r="BX249" t="s">
        <v>5795</v>
      </c>
      <c r="BY249" t="s">
        <v>5796</v>
      </c>
      <c r="BZ249" t="s">
        <v>5797</v>
      </c>
      <c r="CA249" t="s">
        <v>2550</v>
      </c>
      <c r="CC249" t="s">
        <v>2634</v>
      </c>
      <c r="CD249" t="s">
        <v>2635</v>
      </c>
      <c r="CE249" t="s">
        <v>2565</v>
      </c>
      <c r="CG249" t="s">
        <v>2636</v>
      </c>
      <c r="CH249" t="s">
        <v>2637</v>
      </c>
      <c r="CI249" t="s">
        <v>2496</v>
      </c>
      <c r="CK249" t="s">
        <v>2927</v>
      </c>
      <c r="CL249" t="s">
        <v>2928</v>
      </c>
      <c r="CM249" t="s">
        <v>2670</v>
      </c>
      <c r="CO249" t="s">
        <v>3425</v>
      </c>
      <c r="CP249" t="s">
        <v>3426</v>
      </c>
      <c r="CQ249" t="s">
        <v>2969</v>
      </c>
      <c r="CS249" t="s">
        <v>2645</v>
      </c>
      <c r="CT249" t="s">
        <v>2930</v>
      </c>
      <c r="CV249">
        <v>9</v>
      </c>
      <c r="CW249">
        <v>9</v>
      </c>
      <c r="CX249">
        <v>9</v>
      </c>
      <c r="CY249">
        <v>9</v>
      </c>
      <c r="CZ249">
        <v>9</v>
      </c>
      <c r="DA249">
        <v>0.1</v>
      </c>
      <c r="DB249">
        <v>0.1</v>
      </c>
      <c r="DC249">
        <v>0.2</v>
      </c>
      <c r="DD249">
        <v>0.3</v>
      </c>
      <c r="DE249">
        <v>0.3</v>
      </c>
      <c r="DF249">
        <v>0.9</v>
      </c>
      <c r="DG249">
        <v>0.9</v>
      </c>
      <c r="DH249">
        <v>1.8</v>
      </c>
      <c r="DI249">
        <v>2.7</v>
      </c>
      <c r="DJ249">
        <v>2.7</v>
      </c>
      <c r="DK249">
        <v>8.1999999999999993</v>
      </c>
      <c r="DL249">
        <v>0</v>
      </c>
      <c r="DM249">
        <v>8.1999999999999993</v>
      </c>
      <c r="DN249">
        <v>8.6999999999999993</v>
      </c>
      <c r="DO249">
        <f>AVERAGE(CV249:CZ249)</f>
        <v>9</v>
      </c>
      <c r="DQ249">
        <v>14</v>
      </c>
      <c r="DR249" t="s">
        <v>28</v>
      </c>
      <c r="DS249" t="s">
        <v>61</v>
      </c>
      <c r="DT249" t="s">
        <v>90</v>
      </c>
      <c r="DU249" t="s">
        <v>441</v>
      </c>
      <c r="DV249" t="s">
        <v>113</v>
      </c>
      <c r="DW249" t="s">
        <v>3769</v>
      </c>
      <c r="DX249" t="s">
        <v>3770</v>
      </c>
      <c r="DY249" t="s">
        <v>3963</v>
      </c>
      <c r="DZ249" t="s">
        <v>3963</v>
      </c>
      <c r="EA249" t="s">
        <v>3860</v>
      </c>
      <c r="EB249" t="s">
        <v>3964</v>
      </c>
      <c r="EC249" t="s">
        <v>3965</v>
      </c>
      <c r="ED249" t="s">
        <v>3965</v>
      </c>
      <c r="EE249" t="s">
        <v>3966</v>
      </c>
      <c r="EF249" t="s">
        <v>3967</v>
      </c>
      <c r="EG249" t="s">
        <v>3968</v>
      </c>
      <c r="EH249" t="s">
        <v>3968</v>
      </c>
      <c r="EI249" t="s">
        <v>4021</v>
      </c>
      <c r="EJ249" t="s">
        <v>3813</v>
      </c>
      <c r="EK249" t="s">
        <v>4023</v>
      </c>
      <c r="EL249" t="s">
        <v>4023</v>
      </c>
      <c r="EM249" t="s">
        <v>4024</v>
      </c>
      <c r="EN249" t="s">
        <v>4025</v>
      </c>
      <c r="EO249" t="s">
        <v>4026</v>
      </c>
      <c r="EP249" t="s">
        <v>4026</v>
      </c>
      <c r="EQ249">
        <v>7</v>
      </c>
      <c r="ER249">
        <v>8</v>
      </c>
      <c r="ES249">
        <v>7</v>
      </c>
      <c r="ET249">
        <v>7</v>
      </c>
      <c r="EU249">
        <v>7</v>
      </c>
      <c r="EV249">
        <v>0.1</v>
      </c>
      <c r="EW249">
        <v>0.1</v>
      </c>
      <c r="EX249">
        <v>0.2</v>
      </c>
      <c r="EY249">
        <v>0.3</v>
      </c>
      <c r="EZ249">
        <v>0.3</v>
      </c>
      <c r="FA249">
        <f>EV249*EQ249</f>
        <v>0.70000000000000007</v>
      </c>
      <c r="FB249">
        <f>EW249*ER249</f>
        <v>0.8</v>
      </c>
      <c r="FC249">
        <f>EX249*ES249</f>
        <v>1.4000000000000001</v>
      </c>
      <c r="FD249">
        <f>EY249*ET249</f>
        <v>2.1</v>
      </c>
      <c r="FE249">
        <f>EZ249*EU249</f>
        <v>2.1</v>
      </c>
      <c r="FF249">
        <v>14</v>
      </c>
      <c r="FG249">
        <v>0</v>
      </c>
      <c r="FH249">
        <v>14</v>
      </c>
      <c r="FI249">
        <f>FA249+FB249+FC249+FD249+FE249</f>
        <v>7.1</v>
      </c>
      <c r="FJ249">
        <f>MEDIAN(EQ249:EU249)</f>
        <v>7</v>
      </c>
      <c r="FL249">
        <v>79.03</v>
      </c>
      <c r="FM249">
        <v>8.4</v>
      </c>
      <c r="FN249" t="s">
        <v>745</v>
      </c>
      <c r="FO249" t="s">
        <v>1780</v>
      </c>
      <c r="FP249" t="s">
        <v>1781</v>
      </c>
      <c r="FQ249" t="s">
        <v>1782</v>
      </c>
      <c r="FR249" t="s">
        <v>1783</v>
      </c>
      <c r="FS249">
        <v>10</v>
      </c>
      <c r="FT249">
        <v>9.5</v>
      </c>
      <c r="FU249">
        <v>8.5</v>
      </c>
      <c r="FV249">
        <v>9</v>
      </c>
      <c r="FW249">
        <v>7.5</v>
      </c>
      <c r="FX249">
        <v>0.1</v>
      </c>
      <c r="FY249">
        <v>0.1</v>
      </c>
      <c r="FZ249">
        <v>0.2</v>
      </c>
      <c r="GA249">
        <v>0.3</v>
      </c>
      <c r="GB249">
        <v>0.3</v>
      </c>
      <c r="GC249">
        <f>FS249*FX249</f>
        <v>1</v>
      </c>
      <c r="GD249">
        <f>FT249*FY249</f>
        <v>0.95000000000000007</v>
      </c>
      <c r="GE249">
        <f>FU249*FZ249</f>
        <v>1.7000000000000002</v>
      </c>
      <c r="GF249">
        <f>FV249*GA249</f>
        <v>2.6999999999999997</v>
      </c>
      <c r="GG249">
        <f>FW249*GB249</f>
        <v>2.25</v>
      </c>
      <c r="GH249">
        <v>8.4499999999999993</v>
      </c>
      <c r="GJ249">
        <v>8.4</v>
      </c>
      <c r="GK249">
        <f>GC249+GD249+GE249+GF249+GG249</f>
        <v>8.6</v>
      </c>
      <c r="GL249">
        <f>MEDIAN(FS249:FW249)</f>
        <v>9</v>
      </c>
    </row>
    <row r="250" spans="1:194" hidden="1" x14ac:dyDescent="0.25">
      <c r="A250">
        <v>249</v>
      </c>
      <c r="B250" t="s">
        <v>2</v>
      </c>
      <c r="C250" s="4">
        <v>76.8</v>
      </c>
      <c r="D250">
        <v>3.2</v>
      </c>
      <c r="E250" s="1">
        <f>C250/3/D250</f>
        <v>7.9999999999999991</v>
      </c>
      <c r="G250">
        <v>82.58</v>
      </c>
      <c r="H250">
        <v>8.1999999999999993</v>
      </c>
      <c r="I250">
        <f>H250*D250*3</f>
        <v>78.72</v>
      </c>
      <c r="J250">
        <v>18.39</v>
      </c>
      <c r="K250">
        <v>8.4</v>
      </c>
      <c r="L250" s="3">
        <f>K250*3*D250</f>
        <v>80.640000000000015</v>
      </c>
      <c r="M250">
        <v>4.9400000000000004</v>
      </c>
      <c r="N250">
        <v>5</v>
      </c>
      <c r="O250">
        <f>N250*D250*3</f>
        <v>48</v>
      </c>
      <c r="P250" s="5">
        <v>8.5</v>
      </c>
      <c r="Q250" s="5">
        <f>P250*D250*3</f>
        <v>81.600000000000009</v>
      </c>
      <c r="S250" t="s">
        <v>6378</v>
      </c>
      <c r="T250">
        <v>5.3</v>
      </c>
      <c r="U250" s="8">
        <f>T250*D250*3</f>
        <v>50.88</v>
      </c>
      <c r="V250">
        <v>34.31</v>
      </c>
      <c r="W250">
        <v>9</v>
      </c>
      <c r="X250" s="5">
        <f>W250*D250*3</f>
        <v>86.4</v>
      </c>
      <c r="Y250">
        <v>9.68</v>
      </c>
      <c r="Z250">
        <v>7.8</v>
      </c>
      <c r="AA250">
        <f>Z250*D250*3</f>
        <v>74.88</v>
      </c>
      <c r="AC250">
        <v>46.36</v>
      </c>
      <c r="AD250">
        <v>7.9</v>
      </c>
      <c r="AE250" s="1">
        <f>AD250*3*D250</f>
        <v>75.840000000000018</v>
      </c>
      <c r="AF250">
        <v>13.95</v>
      </c>
      <c r="AH250" s="5">
        <f>AG250*D250*3</f>
        <v>0</v>
      </c>
      <c r="AI250" s="13"/>
      <c r="AJ250">
        <v>8.6999999999999993</v>
      </c>
      <c r="AK250" s="8">
        <f>AJ250*D250*3</f>
        <v>83.52</v>
      </c>
      <c r="AL250" s="13"/>
      <c r="AM250">
        <v>30.43</v>
      </c>
      <c r="AN250">
        <v>7.3</v>
      </c>
      <c r="AO250" s="8">
        <f>AN250*D250*3</f>
        <v>70.08</v>
      </c>
      <c r="AP250">
        <v>14.44</v>
      </c>
      <c r="AQ250">
        <v>9.5</v>
      </c>
      <c r="AR250">
        <f>AQ250*D250*3</f>
        <v>91.2</v>
      </c>
      <c r="AT250">
        <v>8.8000000000000007</v>
      </c>
      <c r="AU250">
        <f>AT250*D250*3</f>
        <v>84.480000000000018</v>
      </c>
      <c r="AW250">
        <v>26.33</v>
      </c>
      <c r="AX250">
        <v>9.6</v>
      </c>
      <c r="AY250">
        <f>AX250*D250*3</f>
        <v>92.16</v>
      </c>
      <c r="AZ250">
        <v>26.33</v>
      </c>
      <c r="BA250">
        <v>7.6</v>
      </c>
      <c r="BB250">
        <f>BA250*D250*3</f>
        <v>72.960000000000008</v>
      </c>
      <c r="BD250">
        <v>8.9</v>
      </c>
      <c r="BE250">
        <f>BD250*D250*3</f>
        <v>85.440000000000012</v>
      </c>
      <c r="BG250" s="10"/>
      <c r="BH250" s="1">
        <f>CHOOSE(MATCH(MIN(ABS(BP250-C250),ABS(BQ250-C250),ABS(BR250-C250)),CHOOSE({1;2;3},ABS(BP250-C250),ABS(BQ250-C250),ABS(BR250-C250)),0),BP250,BQ250,BR250)</f>
        <v>76.800000000000011</v>
      </c>
      <c r="BJ250" s="1" cm="1">
        <f t="array" ref="BJ250">(INDEX(_xlfn._xlws.SORT(CHOOSE({1;2;3;4;5;6},BQ250,BR250,L250,AE250,BO250,BP250)),3) + INDEX(_xlfn._xlws.SORT(CHOOSE({1;2;3;4;5;6},BQ250,BR250,L250,AE250,BO250,BP250)),4))/2</f>
        <v>76.320000000000022</v>
      </c>
      <c r="BK250">
        <v>8.0242366387829396</v>
      </c>
      <c r="BL250" t="s">
        <v>6117</v>
      </c>
      <c r="BM250" s="1">
        <f>BK250*3*D250</f>
        <v>77.032671732316231</v>
      </c>
      <c r="BN250" s="1">
        <f>BM250-C250</f>
        <v>0.23267173231623417</v>
      </c>
      <c r="BO250" s="1">
        <f>GK250*3*D250</f>
        <v>50.400000000000006</v>
      </c>
      <c r="BP250" s="1">
        <f>DO250*3*D250</f>
        <v>86.4</v>
      </c>
      <c r="BQ250" s="1">
        <f>FJ250*3*D250</f>
        <v>76.800000000000011</v>
      </c>
      <c r="BR250" s="1">
        <f>GL250*3*D250</f>
        <v>38.400000000000006</v>
      </c>
      <c r="BT250">
        <v>82.58</v>
      </c>
      <c r="BU250">
        <v>8.1999999999999993</v>
      </c>
      <c r="BV250" t="s">
        <v>5798</v>
      </c>
      <c r="BW250" t="s">
        <v>5799</v>
      </c>
      <c r="BX250" t="s">
        <v>5800</v>
      </c>
      <c r="BY250" t="s">
        <v>5801</v>
      </c>
      <c r="BZ250" t="s">
        <v>5802</v>
      </c>
      <c r="CA250" t="s">
        <v>2437</v>
      </c>
      <c r="CC250" t="s">
        <v>2758</v>
      </c>
      <c r="CD250" t="s">
        <v>2508</v>
      </c>
      <c r="CE250" t="s">
        <v>2440</v>
      </c>
      <c r="CG250" t="s">
        <v>2761</v>
      </c>
      <c r="CH250" t="s">
        <v>2510</v>
      </c>
      <c r="CI250" t="s">
        <v>2443</v>
      </c>
      <c r="CK250" t="s">
        <v>2795</v>
      </c>
      <c r="CL250" t="s">
        <v>2512</v>
      </c>
      <c r="CM250" t="s">
        <v>2446</v>
      </c>
      <c r="CO250" t="s">
        <v>2796</v>
      </c>
      <c r="CP250" t="s">
        <v>2514</v>
      </c>
      <c r="CQ250" t="s">
        <v>2449</v>
      </c>
      <c r="CS250" t="s">
        <v>2679</v>
      </c>
      <c r="CT250" t="s">
        <v>2524</v>
      </c>
      <c r="CV250">
        <v>9</v>
      </c>
      <c r="CW250">
        <v>9</v>
      </c>
      <c r="CX250">
        <v>9</v>
      </c>
      <c r="CY250">
        <v>9</v>
      </c>
      <c r="CZ250">
        <v>9</v>
      </c>
      <c r="DA250">
        <v>0.1</v>
      </c>
      <c r="DB250">
        <v>0.1</v>
      </c>
      <c r="DC250">
        <v>0.2</v>
      </c>
      <c r="DD250">
        <v>0.3</v>
      </c>
      <c r="DE250">
        <v>0.3</v>
      </c>
      <c r="DF250">
        <v>0.9</v>
      </c>
      <c r="DG250">
        <v>0.9</v>
      </c>
      <c r="DH250">
        <v>1.8</v>
      </c>
      <c r="DI250">
        <v>2.7</v>
      </c>
      <c r="DJ250">
        <v>2.7</v>
      </c>
      <c r="DK250">
        <v>8.1999999999999993</v>
      </c>
      <c r="DL250">
        <v>0</v>
      </c>
      <c r="DM250">
        <v>8.1999999999999993</v>
      </c>
      <c r="DN250">
        <v>8.4</v>
      </c>
      <c r="DO250">
        <f>AVERAGE(CV250:CZ250)</f>
        <v>9</v>
      </c>
      <c r="DQ250" t="s">
        <v>27</v>
      </c>
      <c r="DR250" t="s">
        <v>65</v>
      </c>
      <c r="DS250" t="s">
        <v>66</v>
      </c>
      <c r="DT250" t="s">
        <v>67</v>
      </c>
      <c r="DU250" t="s">
        <v>294</v>
      </c>
      <c r="DV250" t="s">
        <v>253</v>
      </c>
      <c r="DW250" t="s">
        <v>3769</v>
      </c>
      <c r="DX250" t="s">
        <v>3770</v>
      </c>
      <c r="DY250" t="s">
        <v>3771</v>
      </c>
      <c r="DZ250" t="s">
        <v>3772</v>
      </c>
      <c r="EA250" t="s">
        <v>3828</v>
      </c>
      <c r="EB250" t="s">
        <v>3774</v>
      </c>
      <c r="EC250" t="s">
        <v>3775</v>
      </c>
      <c r="ED250" t="s">
        <v>3776</v>
      </c>
      <c r="EE250" t="s">
        <v>3777</v>
      </c>
      <c r="EF250" t="s">
        <v>3809</v>
      </c>
      <c r="EG250" t="s">
        <v>4585</v>
      </c>
      <c r="EH250" t="s">
        <v>3780</v>
      </c>
      <c r="EI250" t="s">
        <v>4729</v>
      </c>
      <c r="EJ250" t="s">
        <v>4730</v>
      </c>
      <c r="EK250" t="s">
        <v>4731</v>
      </c>
      <c r="EL250" t="s">
        <v>4732</v>
      </c>
      <c r="EM250" t="s">
        <v>4733</v>
      </c>
      <c r="EN250" t="s">
        <v>3823</v>
      </c>
      <c r="EO250" t="s">
        <v>4734</v>
      </c>
      <c r="EP250" t="s">
        <v>3780</v>
      </c>
      <c r="EQ250">
        <v>7</v>
      </c>
      <c r="ER250">
        <v>8</v>
      </c>
      <c r="ES250">
        <v>8</v>
      </c>
      <c r="ET250">
        <v>8</v>
      </c>
      <c r="EU250">
        <v>8</v>
      </c>
      <c r="EV250">
        <v>0.1</v>
      </c>
      <c r="EW250">
        <v>0.1</v>
      </c>
      <c r="EX250">
        <v>0.2</v>
      </c>
      <c r="EY250">
        <v>0.3</v>
      </c>
      <c r="EZ250">
        <v>0.3</v>
      </c>
      <c r="FA250">
        <f>EV250*EQ250</f>
        <v>0.70000000000000007</v>
      </c>
      <c r="FB250">
        <f>EW250*ER250</f>
        <v>0.8</v>
      </c>
      <c r="FC250">
        <f>EX250*ES250</f>
        <v>1.6</v>
      </c>
      <c r="FD250">
        <f>EY250*ET250</f>
        <v>2.4</v>
      </c>
      <c r="FE250">
        <f>EZ250*EU250</f>
        <v>2.4</v>
      </c>
      <c r="FF250">
        <v>15</v>
      </c>
      <c r="FG250">
        <v>0</v>
      </c>
      <c r="FH250">
        <v>15</v>
      </c>
      <c r="FI250">
        <f>FA250+FB250+FC250+FD250+FE250</f>
        <v>7.9</v>
      </c>
      <c r="FJ250">
        <f>MEDIAN(EQ250:EU250)</f>
        <v>8</v>
      </c>
      <c r="FL250">
        <v>76.86</v>
      </c>
      <c r="FM250">
        <v>9</v>
      </c>
      <c r="FN250" t="s">
        <v>1784</v>
      </c>
      <c r="FO250" t="s">
        <v>1785</v>
      </c>
      <c r="FP250" t="s">
        <v>1786</v>
      </c>
      <c r="FQ250" t="s">
        <v>1787</v>
      </c>
      <c r="FR250" t="s">
        <v>1788</v>
      </c>
      <c r="FS250">
        <v>2.5</v>
      </c>
      <c r="FT250">
        <v>3</v>
      </c>
      <c r="FU250">
        <v>4</v>
      </c>
      <c r="FV250">
        <v>6</v>
      </c>
      <c r="FW250">
        <v>7</v>
      </c>
      <c r="FX250">
        <v>0.1</v>
      </c>
      <c r="FY250">
        <v>0.1</v>
      </c>
      <c r="FZ250">
        <v>0.2</v>
      </c>
      <c r="GA250">
        <v>0.3</v>
      </c>
      <c r="GB250">
        <v>0.3</v>
      </c>
      <c r="GC250">
        <f>FS250*FX250</f>
        <v>0.25</v>
      </c>
      <c r="GD250">
        <f>FT250*FY250</f>
        <v>0.30000000000000004</v>
      </c>
      <c r="GE250">
        <f>FU250*FZ250</f>
        <v>0.8</v>
      </c>
      <c r="GF250">
        <f>FV250*GA250</f>
        <v>1.7999999999999998</v>
      </c>
      <c r="GG250">
        <f>FW250*GB250</f>
        <v>2.1</v>
      </c>
      <c r="GH250">
        <v>9</v>
      </c>
      <c r="GI250">
        <v>0</v>
      </c>
      <c r="GJ250">
        <v>9</v>
      </c>
      <c r="GK250">
        <f>GC250+GD250+GE250+GF250+GG250</f>
        <v>5.25</v>
      </c>
      <c r="GL250">
        <f>MEDIAN(FS250:FW250)</f>
        <v>4</v>
      </c>
    </row>
    <row r="251" spans="1:194" hidden="1" x14ac:dyDescent="0.25">
      <c r="A251">
        <v>250</v>
      </c>
      <c r="B251" t="s">
        <v>2</v>
      </c>
      <c r="C251" s="4">
        <v>87.45</v>
      </c>
      <c r="D251">
        <v>3.3</v>
      </c>
      <c r="E251" s="1">
        <f>C251/3/D251</f>
        <v>8.8333333333333339</v>
      </c>
      <c r="G251">
        <v>82.34</v>
      </c>
      <c r="H251">
        <v>8.1999999999999993</v>
      </c>
      <c r="I251">
        <f>H251*D251*3</f>
        <v>81.179999999999978</v>
      </c>
      <c r="J251">
        <v>17.079999999999998</v>
      </c>
      <c r="K251">
        <v>9</v>
      </c>
      <c r="L251" s="3">
        <f>K251*3*D251</f>
        <v>89.1</v>
      </c>
      <c r="M251">
        <v>5.25</v>
      </c>
      <c r="N251">
        <v>5.5</v>
      </c>
      <c r="O251">
        <f>N251*D251*3</f>
        <v>54.449999999999996</v>
      </c>
      <c r="P251" s="5">
        <v>6.5</v>
      </c>
      <c r="Q251" s="5">
        <f>P251*D251*3</f>
        <v>64.349999999999994</v>
      </c>
      <c r="S251" t="s">
        <v>6379</v>
      </c>
      <c r="T251">
        <v>7</v>
      </c>
      <c r="U251" s="8">
        <f>T251*D251*3</f>
        <v>69.3</v>
      </c>
      <c r="V251">
        <v>34.979999999999997</v>
      </c>
      <c r="W251">
        <v>8.4</v>
      </c>
      <c r="X251" s="5">
        <f>W251*D251*3</f>
        <v>83.16</v>
      </c>
      <c r="Y251">
        <v>12.69</v>
      </c>
      <c r="Z251">
        <v>7.8</v>
      </c>
      <c r="AA251">
        <f>Z251*D251*3</f>
        <v>77.22</v>
      </c>
      <c r="AC251">
        <v>49.03</v>
      </c>
      <c r="AD251">
        <v>7.9</v>
      </c>
      <c r="AE251" s="1">
        <f>AD251*3*D251</f>
        <v>78.210000000000008</v>
      </c>
      <c r="AF251">
        <v>9.65</v>
      </c>
      <c r="AH251" s="5">
        <f>AG251*D251*3</f>
        <v>0</v>
      </c>
      <c r="AI251" s="13"/>
      <c r="AJ251">
        <v>7.5</v>
      </c>
      <c r="AK251" s="8">
        <f>AJ251*D251*3</f>
        <v>74.25</v>
      </c>
      <c r="AL251" s="13"/>
      <c r="AM251">
        <v>30.39</v>
      </c>
      <c r="AN251">
        <v>7.2</v>
      </c>
      <c r="AO251" s="8">
        <f>AN251*D251*3</f>
        <v>71.28</v>
      </c>
      <c r="AP251">
        <v>14.08</v>
      </c>
      <c r="AQ251">
        <v>10</v>
      </c>
      <c r="AR251">
        <f>AQ251*D251*3</f>
        <v>99</v>
      </c>
      <c r="AT251">
        <v>9</v>
      </c>
      <c r="AU251">
        <f>AT251*D251*3</f>
        <v>89.1</v>
      </c>
      <c r="AW251">
        <v>23.3</v>
      </c>
      <c r="AX251">
        <v>9.3000000000000007</v>
      </c>
      <c r="AY251">
        <f>AX251*D251*3</f>
        <v>92.070000000000007</v>
      </c>
      <c r="AZ251">
        <v>23.3</v>
      </c>
      <c r="BA251">
        <v>8.9</v>
      </c>
      <c r="BB251">
        <f>BA251*D251*3</f>
        <v>88.11</v>
      </c>
      <c r="BD251">
        <v>8.9</v>
      </c>
      <c r="BE251">
        <f>BD251*D251*3</f>
        <v>88.11</v>
      </c>
      <c r="BG251" s="10"/>
      <c r="BH251" s="1">
        <f>CHOOSE(MATCH(MIN(ABS(BP251-C251),ABS(BQ251-C251),ABS(BR251-C251)),CHOOSE({1;2;3},ABS(BP251-C251),ABS(BQ251-C251),ABS(BR251-C251)),0),BP251,BQ251,BR251)</f>
        <v>89.1</v>
      </c>
      <c r="BJ251" s="1" cm="1">
        <f t="array" ref="BJ251">(INDEX(_xlfn._xlws.SORT(CHOOSE({1;2;3;4;5;6},BQ251,BR251,L251,AE251,BO251,BP251)),3) + INDEX(_xlfn._xlws.SORT(CHOOSE({1;2;3;4;5;6},BQ251,BR251,L251,AE251,BO251,BP251)),4))/2</f>
        <v>87.11999999999999</v>
      </c>
      <c r="BK251">
        <v>8.8068077841405099</v>
      </c>
      <c r="BL251" t="s">
        <v>6117</v>
      </c>
      <c r="BM251" s="1">
        <f>BK251*3*D251</f>
        <v>87.187397062991039</v>
      </c>
      <c r="BN251" s="1">
        <f>BM251-C251</f>
        <v>-0.26260293700896398</v>
      </c>
      <c r="BO251" s="1">
        <f>GK251*3*D251</f>
        <v>85.139999999999986</v>
      </c>
      <c r="BP251" s="1">
        <f>DO251*3*D251</f>
        <v>89.1</v>
      </c>
      <c r="BQ251" s="1">
        <f>FJ251*3*D251</f>
        <v>79.199999999999989</v>
      </c>
      <c r="BR251" s="1">
        <f>GL251*3*D251</f>
        <v>89.1</v>
      </c>
      <c r="BT251">
        <v>82.34</v>
      </c>
      <c r="BU251">
        <v>8.1999999999999993</v>
      </c>
      <c r="BV251" t="s">
        <v>4991</v>
      </c>
      <c r="BW251" t="s">
        <v>5043</v>
      </c>
      <c r="BX251" t="s">
        <v>4993</v>
      </c>
      <c r="BY251" t="s">
        <v>5061</v>
      </c>
      <c r="BZ251" t="s">
        <v>5785</v>
      </c>
      <c r="CA251" t="s">
        <v>2437</v>
      </c>
      <c r="CC251" t="s">
        <v>2758</v>
      </c>
      <c r="CD251" t="s">
        <v>2508</v>
      </c>
      <c r="CE251" t="s">
        <v>2440</v>
      </c>
      <c r="CG251" t="s">
        <v>2761</v>
      </c>
      <c r="CH251" t="s">
        <v>2510</v>
      </c>
      <c r="CI251" t="s">
        <v>2443</v>
      </c>
      <c r="CK251" t="s">
        <v>2795</v>
      </c>
      <c r="CL251" t="s">
        <v>2512</v>
      </c>
      <c r="CM251" t="s">
        <v>2446</v>
      </c>
      <c r="CO251" t="s">
        <v>3427</v>
      </c>
      <c r="CP251" t="s">
        <v>2514</v>
      </c>
      <c r="CQ251" t="s">
        <v>2449</v>
      </c>
      <c r="CS251" t="s">
        <v>2679</v>
      </c>
      <c r="CT251" t="s">
        <v>2524</v>
      </c>
      <c r="CV251">
        <v>9</v>
      </c>
      <c r="CW251">
        <v>9</v>
      </c>
      <c r="CX251">
        <v>9</v>
      </c>
      <c r="CY251">
        <v>9</v>
      </c>
      <c r="CZ251">
        <v>9</v>
      </c>
      <c r="DA251">
        <v>0.1</v>
      </c>
      <c r="DB251">
        <v>0.1</v>
      </c>
      <c r="DC251">
        <v>0.2</v>
      </c>
      <c r="DD251">
        <v>0.3</v>
      </c>
      <c r="DE251">
        <v>0.3</v>
      </c>
      <c r="DF251">
        <v>0.9</v>
      </c>
      <c r="DG251">
        <v>0.9</v>
      </c>
      <c r="DH251">
        <v>1.8</v>
      </c>
      <c r="DI251">
        <v>2.7</v>
      </c>
      <c r="DJ251">
        <v>2.7</v>
      </c>
      <c r="DK251">
        <v>8.1999999999999993</v>
      </c>
      <c r="DL251">
        <v>0</v>
      </c>
      <c r="DM251">
        <v>8.1999999999999993</v>
      </c>
      <c r="DN251">
        <v>9</v>
      </c>
      <c r="DO251">
        <f>AVERAGE(CV251:CZ251)</f>
        <v>9</v>
      </c>
      <c r="DQ251">
        <v>8</v>
      </c>
      <c r="DR251" t="s">
        <v>38</v>
      </c>
      <c r="DS251" t="s">
        <v>29</v>
      </c>
      <c r="DT251" t="s">
        <v>214</v>
      </c>
      <c r="DU251" t="s">
        <v>215</v>
      </c>
      <c r="DV251" t="s">
        <v>216</v>
      </c>
      <c r="DW251" t="s">
        <v>3836</v>
      </c>
      <c r="DX251" t="s">
        <v>3770</v>
      </c>
      <c r="DY251" t="s">
        <v>3771</v>
      </c>
      <c r="DZ251" t="s">
        <v>3772</v>
      </c>
      <c r="EA251" t="s">
        <v>3860</v>
      </c>
      <c r="EB251" t="s">
        <v>3807</v>
      </c>
      <c r="EC251" t="s">
        <v>3775</v>
      </c>
      <c r="ED251" t="s">
        <v>3776</v>
      </c>
      <c r="EE251" t="s">
        <v>3946</v>
      </c>
      <c r="EF251" t="s">
        <v>3809</v>
      </c>
      <c r="EG251" t="s">
        <v>3810</v>
      </c>
      <c r="EH251" t="s">
        <v>3811</v>
      </c>
      <c r="EI251" t="s">
        <v>3947</v>
      </c>
      <c r="EJ251" t="s">
        <v>3813</v>
      </c>
      <c r="EK251" t="s">
        <v>3948</v>
      </c>
      <c r="EL251" t="s">
        <v>3815</v>
      </c>
      <c r="EM251" t="s">
        <v>3949</v>
      </c>
      <c r="EN251" t="s">
        <v>3809</v>
      </c>
      <c r="EO251" t="s">
        <v>4252</v>
      </c>
      <c r="EP251" t="s">
        <v>3811</v>
      </c>
      <c r="EQ251">
        <v>7</v>
      </c>
      <c r="ER251">
        <v>8</v>
      </c>
      <c r="ES251">
        <v>8</v>
      </c>
      <c r="ET251">
        <v>8</v>
      </c>
      <c r="EU251">
        <v>8</v>
      </c>
      <c r="EV251">
        <v>0.1</v>
      </c>
      <c r="EW251">
        <v>0.1</v>
      </c>
      <c r="EX251">
        <v>0.2</v>
      </c>
      <c r="EY251">
        <v>0.3</v>
      </c>
      <c r="EZ251">
        <v>0.3</v>
      </c>
      <c r="FA251">
        <f>EV251*EQ251</f>
        <v>0.70000000000000007</v>
      </c>
      <c r="FB251">
        <f>EW251*ER251</f>
        <v>0.8</v>
      </c>
      <c r="FC251">
        <f>EX251*ES251</f>
        <v>1.6</v>
      </c>
      <c r="FD251">
        <f>EY251*ET251</f>
        <v>2.4</v>
      </c>
      <c r="FE251">
        <f>EZ251*EU251</f>
        <v>2.4</v>
      </c>
      <c r="FF251">
        <v>17</v>
      </c>
      <c r="FG251">
        <v>0</v>
      </c>
      <c r="FH251">
        <v>8</v>
      </c>
      <c r="FI251">
        <f>FA251+FB251+FC251+FD251+FE251</f>
        <v>7.9</v>
      </c>
      <c r="FJ251">
        <f>MEDIAN(EQ251:EU251)</f>
        <v>8</v>
      </c>
      <c r="FL251">
        <v>103.49</v>
      </c>
      <c r="FM251">
        <v>7</v>
      </c>
      <c r="FN251" t="s">
        <v>1789</v>
      </c>
      <c r="FO251" t="s">
        <v>1790</v>
      </c>
      <c r="FP251" t="s">
        <v>1791</v>
      </c>
      <c r="FQ251" t="s">
        <v>1792</v>
      </c>
      <c r="FR251" t="s">
        <v>1793</v>
      </c>
      <c r="FS251">
        <v>10</v>
      </c>
      <c r="FT251">
        <v>9.5</v>
      </c>
      <c r="FU251">
        <v>8.5</v>
      </c>
      <c r="FV251">
        <v>7.5</v>
      </c>
      <c r="FW251">
        <v>9</v>
      </c>
      <c r="FX251">
        <v>0.1</v>
      </c>
      <c r="FY251">
        <v>0.1</v>
      </c>
      <c r="FZ251">
        <v>0.2</v>
      </c>
      <c r="GA251">
        <v>0.3</v>
      </c>
      <c r="GB251">
        <v>0.3</v>
      </c>
      <c r="GC251">
        <f>FS251*FX251</f>
        <v>1</v>
      </c>
      <c r="GD251">
        <f>FT251*FY251</f>
        <v>0.95000000000000007</v>
      </c>
      <c r="GE251">
        <f>FU251*FZ251</f>
        <v>1.7000000000000002</v>
      </c>
      <c r="GF251">
        <f>FV251*GA251</f>
        <v>2.25</v>
      </c>
      <c r="GG251">
        <f>FW251*GB251</f>
        <v>2.6999999999999997</v>
      </c>
      <c r="GH251">
        <v>6.95</v>
      </c>
      <c r="GI251">
        <v>0</v>
      </c>
      <c r="GJ251">
        <v>7</v>
      </c>
      <c r="GK251">
        <f>GC251+GD251+GE251+GF251+GG251</f>
        <v>8.6</v>
      </c>
      <c r="GL251">
        <f>MEDIAN(FS251:FW251)</f>
        <v>9</v>
      </c>
    </row>
    <row r="252" spans="1:194" hidden="1" x14ac:dyDescent="0.25">
      <c r="A252">
        <v>251</v>
      </c>
      <c r="B252" t="s">
        <v>2</v>
      </c>
      <c r="C252" s="4">
        <v>64.8</v>
      </c>
      <c r="D252">
        <v>3.6</v>
      </c>
      <c r="E252" s="1">
        <f>C252/3/D252</f>
        <v>5.9999999999999991</v>
      </c>
      <c r="G252">
        <v>37.549999999999997</v>
      </c>
      <c r="H252">
        <v>8.1999999999999993</v>
      </c>
      <c r="I252">
        <f>H252*D252*3</f>
        <v>88.56</v>
      </c>
      <c r="J252">
        <v>16</v>
      </c>
      <c r="K252">
        <v>9</v>
      </c>
      <c r="L252" s="3">
        <f>K252*3*D252</f>
        <v>97.2</v>
      </c>
      <c r="M252">
        <v>4.7699999999999996</v>
      </c>
      <c r="N252">
        <v>4</v>
      </c>
      <c r="O252">
        <f>N252*D252*3</f>
        <v>43.2</v>
      </c>
      <c r="P252" s="5">
        <v>7.6</v>
      </c>
      <c r="Q252" s="5">
        <f>P252*D252*3</f>
        <v>82.08</v>
      </c>
      <c r="S252" t="s">
        <v>6380</v>
      </c>
      <c r="T252">
        <v>8.8000000000000007</v>
      </c>
      <c r="U252" s="8">
        <f>T252*D252*3</f>
        <v>95.04</v>
      </c>
      <c r="V252">
        <v>34.47</v>
      </c>
      <c r="W252">
        <v>8.4</v>
      </c>
      <c r="X252" s="5">
        <f>W252*D252*3</f>
        <v>90.72</v>
      </c>
      <c r="Y252">
        <v>8.9499999999999993</v>
      </c>
      <c r="Z252">
        <v>6</v>
      </c>
      <c r="AA252">
        <f>Z252*D252*3</f>
        <v>64.800000000000011</v>
      </c>
      <c r="AC252">
        <v>47.15</v>
      </c>
      <c r="AD252">
        <v>7.9</v>
      </c>
      <c r="AE252" s="1">
        <f>AD252*3*D252</f>
        <v>85.320000000000007</v>
      </c>
      <c r="AF252">
        <v>12.01</v>
      </c>
      <c r="AG252" s="5">
        <v>7</v>
      </c>
      <c r="AH252" s="5">
        <f>AG252*D252*3</f>
        <v>75.599999999999994</v>
      </c>
      <c r="AI252" s="13"/>
      <c r="AK252" s="8">
        <f>AJ252*D252*3</f>
        <v>0</v>
      </c>
      <c r="AL252" s="13"/>
      <c r="AM252">
        <v>30.25</v>
      </c>
      <c r="AN252">
        <v>7.3</v>
      </c>
      <c r="AO252" s="8">
        <f>AN252*D252*3</f>
        <v>78.84</v>
      </c>
      <c r="AP252">
        <v>11.28</v>
      </c>
      <c r="AQ252">
        <v>10</v>
      </c>
      <c r="AR252">
        <f>AQ252*D252*3</f>
        <v>108</v>
      </c>
      <c r="AT252">
        <v>8.8000000000000007</v>
      </c>
      <c r="AU252">
        <f>AT252*D252*3</f>
        <v>95.04</v>
      </c>
      <c r="AW252">
        <v>23.25</v>
      </c>
      <c r="AX252">
        <v>9.3000000000000007</v>
      </c>
      <c r="AY252">
        <f>AX252*D252*3</f>
        <v>100.44000000000001</v>
      </c>
      <c r="AZ252">
        <v>23.25</v>
      </c>
      <c r="BA252">
        <v>9</v>
      </c>
      <c r="BB252">
        <f>BA252*D252*3</f>
        <v>97.199999999999989</v>
      </c>
      <c r="BD252">
        <v>9</v>
      </c>
      <c r="BE252">
        <f>BD252*D252*3</f>
        <v>97.199999999999989</v>
      </c>
      <c r="BG252" s="10"/>
      <c r="BH252" s="1">
        <f>CHOOSE(MATCH(MIN(ABS(BP252-C252),ABS(BQ252-C252),ABS(BR252-C252)),CHOOSE({1;2;3},ABS(BP252-C252),ABS(BQ252-C252),ABS(BR252-C252)),0),BP252,BQ252,BR252)</f>
        <v>43.2</v>
      </c>
      <c r="BJ252" s="1" cm="1">
        <f t="array" ref="BJ252">(INDEX(_xlfn._xlws.SORT(CHOOSE({1;2;3;4;5;6},BQ252,BR252,L252,AE252,BO252,BP252)),3) + INDEX(_xlfn._xlws.SORT(CHOOSE({1;2;3;4;5;6},BQ252,BR252,L252,AE252,BO252,BP252)),4))/2</f>
        <v>85.860000000000014</v>
      </c>
      <c r="BK252">
        <v>6.0492402975268202</v>
      </c>
      <c r="BL252" t="s">
        <v>6117</v>
      </c>
      <c r="BM252" s="1">
        <f>BK252*3*D252</f>
        <v>65.331795213289652</v>
      </c>
      <c r="BN252" s="1">
        <f>BM252-C252</f>
        <v>0.53179521328965507</v>
      </c>
      <c r="BO252" s="1">
        <f>GK252*3*D252</f>
        <v>56.7</v>
      </c>
      <c r="BP252" s="1">
        <f>DO252*3*D252</f>
        <v>97.2</v>
      </c>
      <c r="BQ252" s="1">
        <f>FJ252*3*D252</f>
        <v>86.4</v>
      </c>
      <c r="BR252" s="1">
        <f>GL252*3*D252</f>
        <v>43.2</v>
      </c>
      <c r="BT252">
        <v>37.549999999999997</v>
      </c>
      <c r="BU252">
        <v>8.1999999999999993</v>
      </c>
      <c r="BV252" t="s">
        <v>5803</v>
      </c>
      <c r="BW252" t="s">
        <v>5804</v>
      </c>
      <c r="CA252" t="s">
        <v>2723</v>
      </c>
      <c r="CC252" t="s">
        <v>2842</v>
      </c>
      <c r="CD252" t="s">
        <v>2439</v>
      </c>
      <c r="CE252" t="s">
        <v>2440</v>
      </c>
      <c r="CG252" t="s">
        <v>3023</v>
      </c>
      <c r="CH252" t="s">
        <v>2648</v>
      </c>
      <c r="CI252" t="s">
        <v>2443</v>
      </c>
      <c r="CK252" t="s">
        <v>3024</v>
      </c>
      <c r="CL252" t="s">
        <v>3025</v>
      </c>
      <c r="CM252" t="s">
        <v>2446</v>
      </c>
      <c r="CO252" t="s">
        <v>3026</v>
      </c>
      <c r="CP252" t="s">
        <v>2652</v>
      </c>
      <c r="CQ252" t="s">
        <v>2449</v>
      </c>
      <c r="CS252" t="s">
        <v>3027</v>
      </c>
      <c r="CT252" t="s">
        <v>3028</v>
      </c>
      <c r="CV252">
        <v>9</v>
      </c>
      <c r="CW252">
        <v>9</v>
      </c>
      <c r="CX252">
        <v>9</v>
      </c>
      <c r="CY252">
        <v>9</v>
      </c>
      <c r="CZ252">
        <v>9</v>
      </c>
      <c r="DA252">
        <v>0.1</v>
      </c>
      <c r="DB252">
        <v>0.1</v>
      </c>
      <c r="DC252">
        <v>0.2</v>
      </c>
      <c r="DD252">
        <v>0.3</v>
      </c>
      <c r="DE252">
        <v>0.3</v>
      </c>
      <c r="DF252">
        <v>0.9</v>
      </c>
      <c r="DG252">
        <v>0.9</v>
      </c>
      <c r="DH252">
        <v>1.8</v>
      </c>
      <c r="DI252">
        <v>2.7</v>
      </c>
      <c r="DJ252">
        <v>2.7</v>
      </c>
      <c r="DK252">
        <v>8.1999999999999993</v>
      </c>
      <c r="DL252">
        <v>0</v>
      </c>
      <c r="DM252">
        <v>8.1999999999999993</v>
      </c>
      <c r="DN252">
        <v>9</v>
      </c>
      <c r="DO252">
        <f>AVERAGE(CV252:CZ252)</f>
        <v>9</v>
      </c>
      <c r="DQ252">
        <v>8</v>
      </c>
      <c r="DR252" t="s">
        <v>28</v>
      </c>
      <c r="DS252" t="s">
        <v>43</v>
      </c>
      <c r="DT252" t="s">
        <v>227</v>
      </c>
      <c r="DU252" t="s">
        <v>228</v>
      </c>
      <c r="DV252" t="s">
        <v>442</v>
      </c>
      <c r="DW252" t="s">
        <v>3769</v>
      </c>
      <c r="DX252" t="s">
        <v>3770</v>
      </c>
      <c r="DY252" t="s">
        <v>3771</v>
      </c>
      <c r="DZ252" t="s">
        <v>3772</v>
      </c>
      <c r="EA252" t="s">
        <v>3806</v>
      </c>
      <c r="EB252" t="s">
        <v>3807</v>
      </c>
      <c r="EC252" t="s">
        <v>3775</v>
      </c>
      <c r="ED252" t="s">
        <v>3776</v>
      </c>
      <c r="EE252" t="s">
        <v>4199</v>
      </c>
      <c r="EF252" t="s">
        <v>3809</v>
      </c>
      <c r="EG252" t="s">
        <v>4200</v>
      </c>
      <c r="EH252" t="s">
        <v>4201</v>
      </c>
      <c r="EI252" t="s">
        <v>4735</v>
      </c>
      <c r="EJ252" t="s">
        <v>3813</v>
      </c>
      <c r="EK252" t="s">
        <v>4049</v>
      </c>
      <c r="EL252" t="s">
        <v>3815</v>
      </c>
      <c r="EM252" t="s">
        <v>3816</v>
      </c>
      <c r="EN252" t="s">
        <v>4050</v>
      </c>
      <c r="EO252" t="s">
        <v>4203</v>
      </c>
      <c r="EP252" t="s">
        <v>3818</v>
      </c>
      <c r="EQ252">
        <v>7</v>
      </c>
      <c r="ER252">
        <v>8</v>
      </c>
      <c r="ES252">
        <v>8</v>
      </c>
      <c r="ET252">
        <v>8</v>
      </c>
      <c r="EU252">
        <v>8</v>
      </c>
      <c r="EV252">
        <v>0.1</v>
      </c>
      <c r="EW252">
        <v>0.1</v>
      </c>
      <c r="EX252">
        <v>0.2</v>
      </c>
      <c r="EY252">
        <v>0.3</v>
      </c>
      <c r="EZ252">
        <v>0.3</v>
      </c>
      <c r="FA252">
        <f>EV252*EQ252</f>
        <v>0.70000000000000007</v>
      </c>
      <c r="FB252">
        <f>EW252*ER252</f>
        <v>0.8</v>
      </c>
      <c r="FC252">
        <f>EX252*ES252</f>
        <v>1.6</v>
      </c>
      <c r="FD252">
        <f>EY252*ET252</f>
        <v>2.4</v>
      </c>
      <c r="FE252">
        <f>EZ252*EU252</f>
        <v>2.4</v>
      </c>
      <c r="FF252">
        <v>15</v>
      </c>
      <c r="FG252">
        <v>0</v>
      </c>
      <c r="FH252">
        <v>15</v>
      </c>
      <c r="FI252">
        <f>FA252+FB252+FC252+FD252+FE252</f>
        <v>7.9</v>
      </c>
      <c r="FJ252">
        <f>MEDIAN(EQ252:EU252)</f>
        <v>8</v>
      </c>
      <c r="FL252">
        <v>46.92</v>
      </c>
      <c r="FN252" t="s">
        <v>1794</v>
      </c>
      <c r="FO252" t="s">
        <v>1795</v>
      </c>
      <c r="FP252" t="s">
        <v>1796</v>
      </c>
      <c r="FQ252" t="s">
        <v>1797</v>
      </c>
      <c r="FR252" t="s">
        <v>1798</v>
      </c>
      <c r="FS252">
        <v>2.5</v>
      </c>
      <c r="FT252">
        <v>3</v>
      </c>
      <c r="FU252">
        <v>4</v>
      </c>
      <c r="FV252">
        <v>6</v>
      </c>
      <c r="FW252">
        <v>7</v>
      </c>
      <c r="FX252">
        <v>0.1</v>
      </c>
      <c r="FY252">
        <v>0.1</v>
      </c>
      <c r="FZ252">
        <v>0.2</v>
      </c>
      <c r="GA252">
        <v>0.3</v>
      </c>
      <c r="GB252">
        <v>0.3</v>
      </c>
      <c r="GC252">
        <f>FS252*FX252</f>
        <v>0.25</v>
      </c>
      <c r="GD252">
        <f>FT252*FY252</f>
        <v>0.30000000000000004</v>
      </c>
      <c r="GE252">
        <f>FU252*FZ252</f>
        <v>0.8</v>
      </c>
      <c r="GF252">
        <f>FV252*GA252</f>
        <v>1.7999999999999998</v>
      </c>
      <c r="GG252">
        <f>FW252*GB252</f>
        <v>2.1</v>
      </c>
      <c r="GH252">
        <v>7.4</v>
      </c>
      <c r="GJ252">
        <v>7.4</v>
      </c>
      <c r="GK252">
        <f>GC252+GD252+GE252+GF252+GG252</f>
        <v>5.25</v>
      </c>
      <c r="GL252">
        <f>MEDIAN(FS252:FW252)</f>
        <v>4</v>
      </c>
    </row>
    <row r="253" spans="1:194" hidden="1" x14ac:dyDescent="0.25">
      <c r="A253">
        <v>252</v>
      </c>
      <c r="B253" t="s">
        <v>2</v>
      </c>
      <c r="C253" s="4">
        <v>57.6</v>
      </c>
      <c r="D253">
        <v>3.6</v>
      </c>
      <c r="E253" s="1">
        <f>C253/3/D253</f>
        <v>5.333333333333333</v>
      </c>
      <c r="G253">
        <v>38.49</v>
      </c>
      <c r="H253">
        <v>8</v>
      </c>
      <c r="I253">
        <f>H253*D253*3</f>
        <v>86.4</v>
      </c>
      <c r="J253">
        <v>13.66</v>
      </c>
      <c r="K253">
        <v>9</v>
      </c>
      <c r="L253" s="3">
        <f>K253*3*D253</f>
        <v>97.2</v>
      </c>
      <c r="M253">
        <v>6.61</v>
      </c>
      <c r="N253">
        <v>5</v>
      </c>
      <c r="O253">
        <f>N253*D253*3</f>
        <v>54</v>
      </c>
      <c r="P253" s="5">
        <v>8.6999999999999993</v>
      </c>
      <c r="Q253" s="5">
        <f>P253*D253*3</f>
        <v>93.96</v>
      </c>
      <c r="S253" t="s">
        <v>6381</v>
      </c>
      <c r="T253">
        <v>6.6</v>
      </c>
      <c r="U253" s="8">
        <f>T253*D253*3</f>
        <v>71.28</v>
      </c>
      <c r="V253">
        <v>34</v>
      </c>
      <c r="W253">
        <v>8.6999999999999993</v>
      </c>
      <c r="X253" s="5">
        <f>W253*D253*3</f>
        <v>93.96</v>
      </c>
      <c r="Y253">
        <v>11.84</v>
      </c>
      <c r="Z253">
        <v>7.5</v>
      </c>
      <c r="AA253">
        <f>Z253*D253*3</f>
        <v>81</v>
      </c>
      <c r="AC253">
        <v>45.2</v>
      </c>
      <c r="AD253">
        <v>8</v>
      </c>
      <c r="AE253" s="1">
        <f>AD253*3*D253</f>
        <v>86.4</v>
      </c>
      <c r="AF253">
        <v>12.06</v>
      </c>
      <c r="AG253" s="5">
        <v>7</v>
      </c>
      <c r="AH253" s="5">
        <f>AG253*D253*3</f>
        <v>75.599999999999994</v>
      </c>
      <c r="AI253" s="13"/>
      <c r="AJ253">
        <v>2.7</v>
      </c>
      <c r="AK253" s="8">
        <f>AJ253*D253*3</f>
        <v>29.160000000000004</v>
      </c>
      <c r="AL253" s="13"/>
      <c r="AM253">
        <v>29.91</v>
      </c>
      <c r="AN253">
        <v>8.1</v>
      </c>
      <c r="AO253" s="8">
        <f>AN253*D253*3</f>
        <v>87.48</v>
      </c>
      <c r="AP253">
        <v>14.56</v>
      </c>
      <c r="AQ253">
        <v>10</v>
      </c>
      <c r="AR253">
        <f>AQ253*D253*3</f>
        <v>108</v>
      </c>
      <c r="AT253">
        <v>8.9</v>
      </c>
      <c r="AU253">
        <f>AT253*D253*3</f>
        <v>96.12</v>
      </c>
      <c r="AW253">
        <v>23.48</v>
      </c>
      <c r="AX253">
        <v>9.4</v>
      </c>
      <c r="AY253">
        <f>AX253*D253*3</f>
        <v>101.52000000000001</v>
      </c>
      <c r="AZ253">
        <v>23.48</v>
      </c>
      <c r="BA253">
        <v>8.4</v>
      </c>
      <c r="BB253">
        <f>BA253*D253*3</f>
        <v>90.72</v>
      </c>
      <c r="BD253">
        <v>8.3000000000000007</v>
      </c>
      <c r="BE253">
        <f>BD253*D253*3</f>
        <v>89.640000000000015</v>
      </c>
      <c r="BG253" s="10"/>
      <c r="BH253" s="1">
        <f>CHOOSE(MATCH(MIN(ABS(BP253-C253),ABS(BQ253-C253),ABS(BR253-C253)),CHOOSE({1;2;3},ABS(BP253-C253),ABS(BQ253-C253),ABS(BR253-C253)),0),BP253,BQ253,BR253)</f>
        <v>64.8</v>
      </c>
      <c r="BJ253" s="1" cm="1">
        <f t="array" ref="BJ253">(INDEX(_xlfn._xlws.SORT(CHOOSE({1;2;3;4;5;6},BQ253,BR253,L253,AE253,BO253,BP253)),3) + INDEX(_xlfn._xlws.SORT(CHOOSE({1;2;3;4;5;6},BQ253,BR253,L253,AE253,BO253,BP253)),4))/2</f>
        <v>86.4</v>
      </c>
      <c r="BK253">
        <v>5.3694793013542697</v>
      </c>
      <c r="BL253" t="s">
        <v>6117</v>
      </c>
      <c r="BM253" s="1">
        <f>BK253*3*D253</f>
        <v>57.990376454626123</v>
      </c>
      <c r="BN253" s="1">
        <f>BM253-C253</f>
        <v>0.39037645462612147</v>
      </c>
      <c r="BO253" s="1">
        <f>GK253*3*D253</f>
        <v>55.08</v>
      </c>
      <c r="BP253" s="1">
        <f>DO253*3*D253</f>
        <v>97.2</v>
      </c>
      <c r="BQ253" s="1">
        <f>FJ253*3*D253</f>
        <v>86.4</v>
      </c>
      <c r="BR253" s="1">
        <f>GL253*3*D253</f>
        <v>64.8</v>
      </c>
      <c r="BT253">
        <v>38.49</v>
      </c>
      <c r="BU253">
        <v>8</v>
      </c>
      <c r="BV253" t="s">
        <v>5786</v>
      </c>
      <c r="BW253" t="s">
        <v>5805</v>
      </c>
      <c r="BX253" t="s">
        <v>5806</v>
      </c>
      <c r="BY253" t="s">
        <v>5807</v>
      </c>
      <c r="BZ253" t="s">
        <v>5808</v>
      </c>
      <c r="CA253" t="s">
        <v>2437</v>
      </c>
      <c r="CC253" t="s">
        <v>3428</v>
      </c>
      <c r="CD253" t="s">
        <v>2533</v>
      </c>
      <c r="CE253" t="s">
        <v>2440</v>
      </c>
      <c r="CG253" t="s">
        <v>3429</v>
      </c>
      <c r="CH253" t="s">
        <v>2534</v>
      </c>
      <c r="CI253" t="s">
        <v>2535</v>
      </c>
      <c r="CK253" t="s">
        <v>3430</v>
      </c>
      <c r="CL253" t="s">
        <v>2536</v>
      </c>
      <c r="CM253" t="s">
        <v>2446</v>
      </c>
      <c r="CO253" t="s">
        <v>3431</v>
      </c>
      <c r="CP253" t="s">
        <v>2537</v>
      </c>
      <c r="CQ253" t="s">
        <v>2666</v>
      </c>
      <c r="CS253" t="s">
        <v>3432</v>
      </c>
      <c r="CT253" t="s">
        <v>2539</v>
      </c>
      <c r="CV253">
        <v>9</v>
      </c>
      <c r="CW253">
        <v>9</v>
      </c>
      <c r="CX253">
        <v>9</v>
      </c>
      <c r="CY253">
        <v>9</v>
      </c>
      <c r="CZ253">
        <v>9</v>
      </c>
      <c r="DA253">
        <v>0.1</v>
      </c>
      <c r="DB253">
        <v>0.1</v>
      </c>
      <c r="DC253">
        <v>0.2</v>
      </c>
      <c r="DD253">
        <v>0.3</v>
      </c>
      <c r="DE253">
        <v>0.3</v>
      </c>
      <c r="DF253">
        <v>0.9</v>
      </c>
      <c r="DG253">
        <v>0.9</v>
      </c>
      <c r="DH253">
        <v>1.8</v>
      </c>
      <c r="DI253">
        <v>2.7</v>
      </c>
      <c r="DJ253">
        <v>2.7</v>
      </c>
      <c r="DK253">
        <v>8</v>
      </c>
      <c r="DL253">
        <v>0</v>
      </c>
      <c r="DM253">
        <v>8</v>
      </c>
      <c r="DN253">
        <v>9</v>
      </c>
      <c r="DO253">
        <f>AVERAGE(CV253:CZ253)</f>
        <v>9</v>
      </c>
      <c r="DQ253" t="s">
        <v>27</v>
      </c>
      <c r="DR253" t="s">
        <v>65</v>
      </c>
      <c r="DS253" t="s">
        <v>66</v>
      </c>
      <c r="DT253" t="s">
        <v>67</v>
      </c>
      <c r="DU253" t="s">
        <v>68</v>
      </c>
      <c r="DV253" t="s">
        <v>443</v>
      </c>
      <c r="DW253" t="s">
        <v>3836</v>
      </c>
      <c r="DX253" t="s">
        <v>3858</v>
      </c>
      <c r="DY253" t="s">
        <v>3859</v>
      </c>
      <c r="DZ253" t="s">
        <v>4736</v>
      </c>
      <c r="EA253" t="s">
        <v>3860</v>
      </c>
      <c r="EB253" t="s">
        <v>3840</v>
      </c>
      <c r="EC253" t="s">
        <v>3885</v>
      </c>
      <c r="ED253" t="s">
        <v>4737</v>
      </c>
      <c r="EE253" t="s">
        <v>4738</v>
      </c>
      <c r="EF253" t="s">
        <v>3864</v>
      </c>
      <c r="EG253" t="s">
        <v>4739</v>
      </c>
      <c r="EH253" t="s">
        <v>4740</v>
      </c>
      <c r="EI253" t="s">
        <v>3867</v>
      </c>
      <c r="EJ253" t="s">
        <v>3868</v>
      </c>
      <c r="EK253" t="s">
        <v>3869</v>
      </c>
      <c r="EL253" t="s">
        <v>4129</v>
      </c>
      <c r="EM253" t="s">
        <v>4741</v>
      </c>
      <c r="EN253" t="s">
        <v>3872</v>
      </c>
      <c r="EO253" t="s">
        <v>3873</v>
      </c>
      <c r="EP253" t="s">
        <v>4132</v>
      </c>
      <c r="EQ253">
        <v>8</v>
      </c>
      <c r="ER253">
        <v>8</v>
      </c>
      <c r="ES253">
        <v>8</v>
      </c>
      <c r="ET253">
        <v>8</v>
      </c>
      <c r="EU253">
        <v>8</v>
      </c>
      <c r="EV253">
        <v>0.1</v>
      </c>
      <c r="EW253">
        <v>0.1</v>
      </c>
      <c r="EX253">
        <v>0.2</v>
      </c>
      <c r="EY253">
        <v>0.3</v>
      </c>
      <c r="EZ253">
        <v>0.3</v>
      </c>
      <c r="FA253">
        <f>EV253*EQ253</f>
        <v>0.8</v>
      </c>
      <c r="FB253">
        <f>EW253*ER253</f>
        <v>0.8</v>
      </c>
      <c r="FC253">
        <f>EX253*ES253</f>
        <v>1.6</v>
      </c>
      <c r="FD253">
        <f>EY253*ET253</f>
        <v>2.4</v>
      </c>
      <c r="FE253">
        <f>EZ253*EU253</f>
        <v>2.4</v>
      </c>
      <c r="FF253">
        <v>16</v>
      </c>
      <c r="FG253">
        <v>0</v>
      </c>
      <c r="FH253">
        <v>8</v>
      </c>
      <c r="FI253">
        <f>FA253+FB253+FC253+FD253+FE253</f>
        <v>8</v>
      </c>
      <c r="FJ253">
        <f>MEDIAN(EQ253:EU253)</f>
        <v>8</v>
      </c>
      <c r="FL253">
        <v>38.69</v>
      </c>
      <c r="FM253">
        <v>4.8</v>
      </c>
      <c r="FN253" t="s">
        <v>1799</v>
      </c>
      <c r="FO253" t="s">
        <v>1800</v>
      </c>
      <c r="FP253" t="s">
        <v>1801</v>
      </c>
      <c r="FQ253" t="s">
        <v>1802</v>
      </c>
      <c r="FR253" t="s">
        <v>1803</v>
      </c>
      <c r="FS253">
        <v>6</v>
      </c>
      <c r="FT253">
        <v>7.5</v>
      </c>
      <c r="FU253">
        <v>4.5</v>
      </c>
      <c r="FV253">
        <v>6</v>
      </c>
      <c r="FW253">
        <v>3.5</v>
      </c>
      <c r="FX253">
        <v>0.1</v>
      </c>
      <c r="FY253">
        <v>0.1</v>
      </c>
      <c r="FZ253">
        <v>0.2</v>
      </c>
      <c r="GA253">
        <v>0.3</v>
      </c>
      <c r="GB253">
        <v>0.3</v>
      </c>
      <c r="GC253">
        <f>FS253*FX253</f>
        <v>0.60000000000000009</v>
      </c>
      <c r="GD253">
        <f>FT253*FY253</f>
        <v>0.75</v>
      </c>
      <c r="GE253">
        <f>FU253*FZ253</f>
        <v>0.9</v>
      </c>
      <c r="GF253">
        <f>FV253*GA253</f>
        <v>1.7999999999999998</v>
      </c>
      <c r="GG253">
        <f>FW253*GB253</f>
        <v>1.05</v>
      </c>
      <c r="GH253">
        <v>5.35</v>
      </c>
      <c r="GI253">
        <v>-0.5</v>
      </c>
      <c r="GJ253">
        <v>4.8</v>
      </c>
      <c r="GK253">
        <f>GC253+GD253+GE253+GF253+GG253</f>
        <v>5.0999999999999996</v>
      </c>
      <c r="GL253">
        <f>MEDIAN(FS253:FW253)</f>
        <v>6</v>
      </c>
    </row>
    <row r="254" spans="1:194" hidden="1" x14ac:dyDescent="0.25">
      <c r="A254">
        <v>253</v>
      </c>
      <c r="B254" t="s">
        <v>2</v>
      </c>
      <c r="C254" s="4">
        <v>52.8</v>
      </c>
      <c r="D254">
        <v>3.3</v>
      </c>
      <c r="E254" s="1">
        <f>C254/3/D254</f>
        <v>5.333333333333333</v>
      </c>
      <c r="G254">
        <v>101.17</v>
      </c>
      <c r="H254">
        <v>8.1999999999999993</v>
      </c>
      <c r="I254">
        <f>H254*D254*3</f>
        <v>81.179999999999978</v>
      </c>
      <c r="J254">
        <v>17.920000000000002</v>
      </c>
      <c r="K254">
        <v>8.4</v>
      </c>
      <c r="L254" s="3">
        <f>K254*3*D254</f>
        <v>83.160000000000011</v>
      </c>
      <c r="M254">
        <v>4.99</v>
      </c>
      <c r="N254">
        <v>5.5</v>
      </c>
      <c r="O254">
        <f>N254*D254*3</f>
        <v>54.449999999999996</v>
      </c>
      <c r="P254" s="5">
        <v>7</v>
      </c>
      <c r="Q254" s="5">
        <f>P254*D254*3</f>
        <v>69.3</v>
      </c>
      <c r="S254" t="s">
        <v>6382</v>
      </c>
      <c r="T254">
        <v>5.3</v>
      </c>
      <c r="U254" s="8">
        <f>T254*D254*3</f>
        <v>52.47</v>
      </c>
      <c r="V254">
        <v>34.93</v>
      </c>
      <c r="W254">
        <v>8.6999999999999993</v>
      </c>
      <c r="X254" s="5">
        <f>W254*D254*3</f>
        <v>86.13</v>
      </c>
      <c r="Y254">
        <v>11.37</v>
      </c>
      <c r="Z254">
        <v>7.8</v>
      </c>
      <c r="AA254">
        <f>Z254*D254*3</f>
        <v>77.22</v>
      </c>
      <c r="AC254">
        <v>47.99</v>
      </c>
      <c r="AD254">
        <v>7.6</v>
      </c>
      <c r="AE254" s="1">
        <f>AD254*3*D254</f>
        <v>75.239999999999981</v>
      </c>
      <c r="AF254">
        <v>12.14</v>
      </c>
      <c r="AG254" s="5">
        <v>7</v>
      </c>
      <c r="AH254" s="5">
        <f>AG254*D254*3</f>
        <v>69.3</v>
      </c>
      <c r="AI254" s="13"/>
      <c r="AJ254">
        <v>2.7</v>
      </c>
      <c r="AK254" s="8">
        <f>AJ254*D254*3</f>
        <v>26.73</v>
      </c>
      <c r="AL254" s="13"/>
      <c r="AM254">
        <v>30.61</v>
      </c>
      <c r="AN254">
        <v>7.2</v>
      </c>
      <c r="AO254" s="8">
        <f>AN254*D254*3</f>
        <v>71.28</v>
      </c>
      <c r="AP254">
        <v>14.22</v>
      </c>
      <c r="AQ254">
        <v>9.5</v>
      </c>
      <c r="AR254">
        <f>AQ254*D254*3</f>
        <v>94.05</v>
      </c>
      <c r="AT254">
        <v>8.5</v>
      </c>
      <c r="AU254">
        <f>AT254*D254*3</f>
        <v>84.149999999999991</v>
      </c>
      <c r="AW254">
        <v>24.15</v>
      </c>
      <c r="AX254">
        <v>9.6</v>
      </c>
      <c r="AY254">
        <f>AX254*D254*3</f>
        <v>95.039999999999992</v>
      </c>
      <c r="AZ254">
        <v>24.15</v>
      </c>
      <c r="BA254">
        <v>8.4</v>
      </c>
      <c r="BB254">
        <f>BA254*D254*3</f>
        <v>83.16</v>
      </c>
      <c r="BD254">
        <v>8.9</v>
      </c>
      <c r="BE254">
        <f>BD254*D254*3</f>
        <v>88.11</v>
      </c>
      <c r="BG254" s="10"/>
      <c r="BH254" s="1">
        <f>CHOOSE(MATCH(MIN(ABS(BP254-C254),ABS(BQ254-C254),ABS(BR254-C254)),CHOOSE({1;2;3},ABS(BP254-C254),ABS(BQ254-C254),ABS(BR254-C254)),0),BP254,BQ254,BR254)</f>
        <v>74.25</v>
      </c>
      <c r="BJ254" s="1" cm="1">
        <f t="array" ref="BJ254">(INDEX(_xlfn._xlws.SORT(CHOOSE({1;2;3;4;5;6},BQ254,BR254,L254,AE254,BO254,BP254)),3) + INDEX(_xlfn._xlws.SORT(CHOOSE({1;2;3;4;5;6},BQ254,BR254,L254,AE254,BO254,BP254)),4))/2</f>
        <v>77.219999999999985</v>
      </c>
      <c r="BK254">
        <v>5.42663828582105</v>
      </c>
      <c r="BL254" t="s">
        <v>6117</v>
      </c>
      <c r="BM254" s="1">
        <f>BK254*3*D254</f>
        <v>53.723719029628398</v>
      </c>
      <c r="BN254" s="1">
        <f>BM254-C254</f>
        <v>0.92371902962840124</v>
      </c>
      <c r="BO254" s="1">
        <f>GK254*3*D254</f>
        <v>66.825000000000003</v>
      </c>
      <c r="BP254" s="1">
        <f>DO254*3*D254</f>
        <v>89.1</v>
      </c>
      <c r="BQ254" s="1">
        <f>FJ254*3*D254</f>
        <v>79.199999999999989</v>
      </c>
      <c r="BR254" s="1">
        <f>GL254*3*D254</f>
        <v>74.25</v>
      </c>
      <c r="BT254">
        <v>101.17</v>
      </c>
      <c r="BU254">
        <v>8.1999999999999993</v>
      </c>
      <c r="BV254" t="s">
        <v>5028</v>
      </c>
      <c r="BW254" t="s">
        <v>5004</v>
      </c>
      <c r="BX254" t="s">
        <v>5029</v>
      </c>
      <c r="BY254" t="s">
        <v>5092</v>
      </c>
      <c r="BZ254" t="s">
        <v>5054</v>
      </c>
      <c r="CA254" t="s">
        <v>2437</v>
      </c>
      <c r="CC254" t="s">
        <v>2438</v>
      </c>
      <c r="CD254" t="s">
        <v>2439</v>
      </c>
      <c r="CE254" t="s">
        <v>2440</v>
      </c>
      <c r="CG254" t="s">
        <v>2647</v>
      </c>
      <c r="CH254" t="s">
        <v>2648</v>
      </c>
      <c r="CI254" t="s">
        <v>2535</v>
      </c>
      <c r="CK254" t="s">
        <v>2649</v>
      </c>
      <c r="CL254" t="s">
        <v>2650</v>
      </c>
      <c r="CM254" t="s">
        <v>2446</v>
      </c>
      <c r="CO254" t="s">
        <v>2651</v>
      </c>
      <c r="CP254" t="s">
        <v>2652</v>
      </c>
      <c r="CQ254" t="s">
        <v>2538</v>
      </c>
      <c r="CS254" t="s">
        <v>2653</v>
      </c>
      <c r="CT254" t="s">
        <v>2654</v>
      </c>
      <c r="CV254">
        <v>9</v>
      </c>
      <c r="CW254">
        <v>9</v>
      </c>
      <c r="CX254">
        <v>9</v>
      </c>
      <c r="CY254">
        <v>9</v>
      </c>
      <c r="CZ254">
        <v>9</v>
      </c>
      <c r="DA254">
        <v>0.1</v>
      </c>
      <c r="DB254">
        <v>0.1</v>
      </c>
      <c r="DC254">
        <v>0.2</v>
      </c>
      <c r="DD254">
        <v>0.3</v>
      </c>
      <c r="DE254">
        <v>0.3</v>
      </c>
      <c r="DF254">
        <v>0.9</v>
      </c>
      <c r="DG254">
        <v>0.9</v>
      </c>
      <c r="DH254">
        <v>1.8</v>
      </c>
      <c r="DI254">
        <v>2.7</v>
      </c>
      <c r="DJ254">
        <v>2.7</v>
      </c>
      <c r="DK254">
        <v>8.1999999999999993</v>
      </c>
      <c r="DL254">
        <v>0</v>
      </c>
      <c r="DM254">
        <v>8.1999999999999993</v>
      </c>
      <c r="DN254">
        <v>8.4</v>
      </c>
      <c r="DO254">
        <f>AVERAGE(CV254:CZ254)</f>
        <v>9</v>
      </c>
      <c r="DQ254" t="s">
        <v>27</v>
      </c>
      <c r="DR254" t="s">
        <v>47</v>
      </c>
      <c r="DS254" t="s">
        <v>444</v>
      </c>
      <c r="DT254" t="s">
        <v>445</v>
      </c>
      <c r="DU254" t="s">
        <v>446</v>
      </c>
      <c r="DV254" t="s">
        <v>447</v>
      </c>
      <c r="DW254" t="s">
        <v>3805</v>
      </c>
      <c r="DX254" t="s">
        <v>3770</v>
      </c>
      <c r="DY254" t="s">
        <v>3771</v>
      </c>
      <c r="DZ254" t="s">
        <v>3772</v>
      </c>
      <c r="EA254" t="s">
        <v>4742</v>
      </c>
      <c r="EB254" t="s">
        <v>3774</v>
      </c>
      <c r="EC254" t="s">
        <v>3775</v>
      </c>
      <c r="ED254" t="s">
        <v>3776</v>
      </c>
      <c r="EE254" t="s">
        <v>4743</v>
      </c>
      <c r="EF254" t="s">
        <v>4020</v>
      </c>
      <c r="EG254" t="s">
        <v>4744</v>
      </c>
      <c r="EH254" t="s">
        <v>3811</v>
      </c>
      <c r="EI254" t="s">
        <v>3820</v>
      </c>
      <c r="EJ254" t="s">
        <v>4174</v>
      </c>
      <c r="EK254" t="s">
        <v>4014</v>
      </c>
      <c r="EL254" t="s">
        <v>3815</v>
      </c>
      <c r="EM254" t="s">
        <v>4745</v>
      </c>
      <c r="EN254" t="s">
        <v>3823</v>
      </c>
      <c r="EO254" t="s">
        <v>4746</v>
      </c>
      <c r="EP254" t="s">
        <v>4747</v>
      </c>
      <c r="EQ254">
        <v>7</v>
      </c>
      <c r="ER254">
        <v>8</v>
      </c>
      <c r="ES254">
        <v>8</v>
      </c>
      <c r="ET254">
        <v>7</v>
      </c>
      <c r="EU254">
        <v>8</v>
      </c>
      <c r="EV254">
        <v>0.1</v>
      </c>
      <c r="EW254">
        <v>0.1</v>
      </c>
      <c r="EX254">
        <v>0.2</v>
      </c>
      <c r="EY254">
        <v>0.3</v>
      </c>
      <c r="EZ254">
        <v>0.3</v>
      </c>
      <c r="FA254">
        <f>EV254*EQ254</f>
        <v>0.70000000000000007</v>
      </c>
      <c r="FB254">
        <f>EW254*ER254</f>
        <v>0.8</v>
      </c>
      <c r="FC254">
        <f>EX254*ES254</f>
        <v>1.6</v>
      </c>
      <c r="FD254">
        <f>EY254*ET254</f>
        <v>2.1</v>
      </c>
      <c r="FE254">
        <f>EZ254*EU254</f>
        <v>2.4</v>
      </c>
      <c r="FF254">
        <v>15.5</v>
      </c>
      <c r="FG254">
        <v>0.5</v>
      </c>
      <c r="FH254">
        <v>10</v>
      </c>
      <c r="FI254">
        <f>FA254+FB254+FC254+FD254+FE254</f>
        <v>7.6</v>
      </c>
      <c r="FJ254">
        <f>MEDIAN(EQ254:EU254)</f>
        <v>8</v>
      </c>
      <c r="FL254">
        <v>83.72</v>
      </c>
      <c r="FM254">
        <v>6</v>
      </c>
      <c r="FN254" t="s">
        <v>1804</v>
      </c>
      <c r="FO254" t="s">
        <v>1805</v>
      </c>
      <c r="FP254" t="s">
        <v>1806</v>
      </c>
      <c r="FQ254" t="s">
        <v>1807</v>
      </c>
      <c r="FR254" t="s">
        <v>1808</v>
      </c>
      <c r="FS254">
        <v>10</v>
      </c>
      <c r="FT254">
        <v>7.5</v>
      </c>
      <c r="FU254">
        <v>8.5</v>
      </c>
      <c r="FV254">
        <v>6.5</v>
      </c>
      <c r="FW254">
        <v>4.5</v>
      </c>
      <c r="FX254">
        <v>0.1</v>
      </c>
      <c r="FY254">
        <v>0.1</v>
      </c>
      <c r="FZ254">
        <v>0.2</v>
      </c>
      <c r="GA254">
        <v>0.3</v>
      </c>
      <c r="GB254">
        <v>0.3</v>
      </c>
      <c r="GC254">
        <f>FS254*FX254</f>
        <v>1</v>
      </c>
      <c r="GD254">
        <f>FT254*FY254</f>
        <v>0.75</v>
      </c>
      <c r="GE254">
        <f>FU254*FZ254</f>
        <v>1.7000000000000002</v>
      </c>
      <c r="GF254">
        <f>FV254*GA254</f>
        <v>1.95</v>
      </c>
      <c r="GG254">
        <f>FW254*GB254</f>
        <v>1.3499999999999999</v>
      </c>
      <c r="GH254">
        <v>6</v>
      </c>
      <c r="GJ254">
        <v>6</v>
      </c>
      <c r="GK254">
        <f>GC254+GD254+GE254+GF254+GG254</f>
        <v>6.75</v>
      </c>
      <c r="GL254">
        <f>MEDIAN(FS254:FW254)</f>
        <v>7.5</v>
      </c>
    </row>
    <row r="255" spans="1:194" hidden="1" x14ac:dyDescent="0.25">
      <c r="A255">
        <v>254</v>
      </c>
      <c r="B255" t="s">
        <v>2</v>
      </c>
      <c r="C255" s="4">
        <v>82.5</v>
      </c>
      <c r="D255">
        <v>3.3</v>
      </c>
      <c r="E255" s="1">
        <f>C255/3/D255</f>
        <v>8.3333333333333339</v>
      </c>
      <c r="G255">
        <v>99.48</v>
      </c>
      <c r="H255">
        <v>8</v>
      </c>
      <c r="I255">
        <f>H255*D255*3</f>
        <v>79.199999999999989</v>
      </c>
      <c r="J255">
        <v>17.22</v>
      </c>
      <c r="K255">
        <v>9</v>
      </c>
      <c r="L255" s="3">
        <f>K255*3*D255</f>
        <v>89.1</v>
      </c>
      <c r="M255">
        <v>5.0599999999999996</v>
      </c>
      <c r="N255">
        <v>5</v>
      </c>
      <c r="O255">
        <f>N255*D255*3</f>
        <v>49.5</v>
      </c>
      <c r="P255" s="5">
        <v>7</v>
      </c>
      <c r="Q255" s="5">
        <f>P255*D255*3</f>
        <v>69.3</v>
      </c>
      <c r="S255" t="s">
        <v>6383</v>
      </c>
      <c r="T255">
        <v>5.2</v>
      </c>
      <c r="U255" s="8">
        <f>T255*D255*3</f>
        <v>51.480000000000004</v>
      </c>
      <c r="V255">
        <v>37.94</v>
      </c>
      <c r="W255">
        <v>6</v>
      </c>
      <c r="X255" s="5">
        <f>W255*D255*3</f>
        <v>59.399999999999991</v>
      </c>
      <c r="Y255">
        <v>9.44</v>
      </c>
      <c r="Z255">
        <v>8</v>
      </c>
      <c r="AA255">
        <f>Z255*D255*3</f>
        <v>79.199999999999989</v>
      </c>
      <c r="AC255">
        <v>49.18</v>
      </c>
      <c r="AD255">
        <v>7.3000000000000007</v>
      </c>
      <c r="AE255" s="1">
        <f>AD255*3*D255</f>
        <v>72.27000000000001</v>
      </c>
      <c r="AF255">
        <v>9.68</v>
      </c>
      <c r="AH255" s="5">
        <f>AG255*D255*3</f>
        <v>0</v>
      </c>
      <c r="AI255" s="13"/>
      <c r="AJ255">
        <v>2.8</v>
      </c>
      <c r="AK255" s="8">
        <f>AJ255*D255*3</f>
        <v>27.719999999999995</v>
      </c>
      <c r="AL255" s="13"/>
      <c r="AM255">
        <v>30.83</v>
      </c>
      <c r="AN255">
        <v>7.3</v>
      </c>
      <c r="AO255" s="8">
        <f>AN255*D255*3</f>
        <v>72.27</v>
      </c>
      <c r="AP255">
        <v>11.67</v>
      </c>
      <c r="AQ255">
        <v>10</v>
      </c>
      <c r="AR255">
        <f>AQ255*D255*3</f>
        <v>99</v>
      </c>
      <c r="AT255">
        <v>9</v>
      </c>
      <c r="AU255">
        <f>AT255*D255*3</f>
        <v>89.1</v>
      </c>
      <c r="AW255">
        <v>23.5</v>
      </c>
      <c r="AX255">
        <v>9.3000000000000007</v>
      </c>
      <c r="AY255">
        <f>AX255*D255*3</f>
        <v>92.070000000000007</v>
      </c>
      <c r="AZ255">
        <v>23.5</v>
      </c>
      <c r="BA255">
        <v>9.1</v>
      </c>
      <c r="BB255">
        <f>BA255*D255*3</f>
        <v>90.089999999999989</v>
      </c>
      <c r="BD255">
        <v>9</v>
      </c>
      <c r="BE255">
        <f>BD255*D255*3</f>
        <v>89.1</v>
      </c>
      <c r="BG255" s="10"/>
      <c r="BH255" s="1">
        <f>CHOOSE(MATCH(MIN(ABS(BP255-C255),ABS(BQ255-C255),ABS(BR255-C255)),CHOOSE({1;2;3},ABS(BP255-C255),ABS(BQ255-C255),ABS(BR255-C255)),0),BP255,BQ255,BR255)</f>
        <v>89.1</v>
      </c>
      <c r="BJ255" s="1" cm="1">
        <f t="array" ref="BJ255">(INDEX(_xlfn._xlws.SORT(CHOOSE({1;2;3;4;5;6},BQ255,BR255,L255,AE255,BO255,BP255)),3) + INDEX(_xlfn._xlws.SORT(CHOOSE({1;2;3;4;5;6},BQ255,BR255,L255,AE255,BO255,BP255)),4))/2</f>
        <v>89.1</v>
      </c>
      <c r="BK255">
        <v>8.3435633232832593</v>
      </c>
      <c r="BL255" t="s">
        <v>6117</v>
      </c>
      <c r="BM255" s="1">
        <f>BK255*3*D255</f>
        <v>82.60127690050426</v>
      </c>
      <c r="BN255" s="1">
        <f>BM255-C255</f>
        <v>0.10127690050425997</v>
      </c>
      <c r="BO255" s="1">
        <f>GK255*3*D255</f>
        <v>99</v>
      </c>
      <c r="BP255" s="1">
        <f>DO255*3*D255</f>
        <v>89.1</v>
      </c>
      <c r="BQ255" s="1">
        <f>FJ255*3*D255</f>
        <v>69.3</v>
      </c>
      <c r="BR255" s="1">
        <f>GL255*3*D255</f>
        <v>99</v>
      </c>
      <c r="BT255">
        <v>99.48</v>
      </c>
      <c r="BU255">
        <v>8</v>
      </c>
      <c r="BV255" t="s">
        <v>5032</v>
      </c>
      <c r="BW255" t="s">
        <v>5321</v>
      </c>
      <c r="BX255" t="s">
        <v>5322</v>
      </c>
      <c r="BY255" t="s">
        <v>5809</v>
      </c>
      <c r="BZ255" t="s">
        <v>5036</v>
      </c>
      <c r="CA255" t="s">
        <v>3192</v>
      </c>
      <c r="CC255" t="s">
        <v>2438</v>
      </c>
      <c r="CD255" t="s">
        <v>2453</v>
      </c>
      <c r="CE255" t="s">
        <v>2586</v>
      </c>
      <c r="CG255" t="s">
        <v>2881</v>
      </c>
      <c r="CH255" t="s">
        <v>2593</v>
      </c>
      <c r="CI255" t="s">
        <v>2567</v>
      </c>
      <c r="CK255" t="s">
        <v>3338</v>
      </c>
      <c r="CL255" t="s">
        <v>3339</v>
      </c>
      <c r="CM255" t="s">
        <v>3433</v>
      </c>
      <c r="CO255" t="s">
        <v>3340</v>
      </c>
      <c r="CP255" t="s">
        <v>3341</v>
      </c>
      <c r="CQ255" t="s">
        <v>3030</v>
      </c>
      <c r="CS255" t="s">
        <v>3041</v>
      </c>
      <c r="CT255" t="s">
        <v>3342</v>
      </c>
      <c r="CV255">
        <v>9</v>
      </c>
      <c r="CW255">
        <v>9</v>
      </c>
      <c r="CX255">
        <v>9</v>
      </c>
      <c r="CY255">
        <v>9</v>
      </c>
      <c r="CZ255">
        <v>9</v>
      </c>
      <c r="DA255">
        <v>0.1</v>
      </c>
      <c r="DB255">
        <v>0.1</v>
      </c>
      <c r="DC255">
        <v>0.2</v>
      </c>
      <c r="DD255">
        <v>0.3</v>
      </c>
      <c r="DE255">
        <v>0.3</v>
      </c>
      <c r="DF255">
        <v>0.9</v>
      </c>
      <c r="DG255">
        <v>0.9</v>
      </c>
      <c r="DH255">
        <v>1.8</v>
      </c>
      <c r="DI255">
        <v>2.7</v>
      </c>
      <c r="DJ255">
        <v>2.7</v>
      </c>
      <c r="DK255">
        <v>8</v>
      </c>
      <c r="DL255">
        <v>0</v>
      </c>
      <c r="DM255">
        <v>8</v>
      </c>
      <c r="DN255">
        <v>9</v>
      </c>
      <c r="DO255">
        <f>AVERAGE(CV255:CZ255)</f>
        <v>9</v>
      </c>
      <c r="DQ255">
        <v>16</v>
      </c>
      <c r="DR255" t="s">
        <v>448</v>
      </c>
      <c r="DS255" t="s">
        <v>449</v>
      </c>
      <c r="DT255" t="s">
        <v>197</v>
      </c>
      <c r="DU255" t="s">
        <v>450</v>
      </c>
      <c r="DV255" t="s">
        <v>451</v>
      </c>
      <c r="DW255" t="s">
        <v>4208</v>
      </c>
      <c r="DX255" t="s">
        <v>4209</v>
      </c>
      <c r="DY255" t="s">
        <v>4748</v>
      </c>
      <c r="DZ255" t="s">
        <v>4749</v>
      </c>
      <c r="EA255" t="s">
        <v>2425</v>
      </c>
      <c r="EB255" t="s">
        <v>4213</v>
      </c>
      <c r="EC255" t="s">
        <v>4750</v>
      </c>
      <c r="ED255" t="s">
        <v>4751</v>
      </c>
      <c r="EE255" t="s">
        <v>3966</v>
      </c>
      <c r="EF255" t="s">
        <v>4216</v>
      </c>
      <c r="EG255" t="s">
        <v>4752</v>
      </c>
      <c r="EH255" t="s">
        <v>4753</v>
      </c>
      <c r="EI255" t="s">
        <v>4561</v>
      </c>
      <c r="EJ255" t="s">
        <v>4220</v>
      </c>
      <c r="EK255" t="s">
        <v>4754</v>
      </c>
      <c r="EL255" t="s">
        <v>4755</v>
      </c>
      <c r="EM255" t="s">
        <v>4039</v>
      </c>
      <c r="EN255" t="s">
        <v>4564</v>
      </c>
      <c r="EO255" t="s">
        <v>4756</v>
      </c>
      <c r="EP255" t="s">
        <v>4757</v>
      </c>
      <c r="EQ255">
        <v>8</v>
      </c>
      <c r="ER255">
        <v>7</v>
      </c>
      <c r="ES255">
        <v>8</v>
      </c>
      <c r="ET255">
        <v>7</v>
      </c>
      <c r="EU255">
        <v>7</v>
      </c>
      <c r="EV255">
        <v>0.1</v>
      </c>
      <c r="EW255">
        <v>0.1</v>
      </c>
      <c r="EX255">
        <v>0.2</v>
      </c>
      <c r="EY255">
        <v>0.3</v>
      </c>
      <c r="EZ255">
        <v>0.3</v>
      </c>
      <c r="FA255">
        <f>EV255*EQ255</f>
        <v>0.8</v>
      </c>
      <c r="FB255">
        <f>EW255*ER255</f>
        <v>0.70000000000000007</v>
      </c>
      <c r="FC255">
        <f>EX255*ES255</f>
        <v>1.6</v>
      </c>
      <c r="FD255">
        <f>EY255*ET255</f>
        <v>2.1</v>
      </c>
      <c r="FE255">
        <f>EZ255*EU255</f>
        <v>2.1</v>
      </c>
      <c r="FF255">
        <v>16</v>
      </c>
      <c r="FG255">
        <v>0</v>
      </c>
      <c r="FH255">
        <v>16</v>
      </c>
      <c r="FI255">
        <f>FA255+FB255+FC255+FD255+FE255</f>
        <v>7.3000000000000007</v>
      </c>
      <c r="FJ255">
        <f>MEDIAN(EQ255:EU255)</f>
        <v>7</v>
      </c>
      <c r="FL255">
        <v>106.81</v>
      </c>
      <c r="FM255">
        <v>8</v>
      </c>
      <c r="FN255" t="s">
        <v>1809</v>
      </c>
      <c r="FO255" t="s">
        <v>1810</v>
      </c>
      <c r="FP255" t="s">
        <v>1811</v>
      </c>
      <c r="FQ255" t="s">
        <v>1812</v>
      </c>
      <c r="FR255" t="s">
        <v>1813</v>
      </c>
      <c r="FS255">
        <v>10</v>
      </c>
      <c r="FT255">
        <v>10</v>
      </c>
      <c r="FU255">
        <v>10</v>
      </c>
      <c r="FV255">
        <v>10</v>
      </c>
      <c r="FW255">
        <v>10</v>
      </c>
      <c r="FX255">
        <v>0.1</v>
      </c>
      <c r="FY255">
        <v>0.1</v>
      </c>
      <c r="FZ255">
        <v>0.2</v>
      </c>
      <c r="GA255">
        <v>0.3</v>
      </c>
      <c r="GB255">
        <v>0.3</v>
      </c>
      <c r="GC255">
        <f>FS255*FX255</f>
        <v>1</v>
      </c>
      <c r="GD255">
        <f>FT255*FY255</f>
        <v>1</v>
      </c>
      <c r="GE255">
        <f>FU255*FZ255</f>
        <v>2</v>
      </c>
      <c r="GF255">
        <f>FV255*GA255</f>
        <v>3</v>
      </c>
      <c r="GG255">
        <f>FW255*GB255</f>
        <v>3</v>
      </c>
      <c r="GH255">
        <v>8</v>
      </c>
      <c r="GI255">
        <v>0</v>
      </c>
      <c r="GJ255">
        <v>8</v>
      </c>
      <c r="GK255">
        <f>GC255+GD255+GE255+GF255+GG255</f>
        <v>10</v>
      </c>
      <c r="GL255">
        <f>MEDIAN(FS255:FW255)</f>
        <v>10</v>
      </c>
    </row>
    <row r="256" spans="1:194" x14ac:dyDescent="0.25">
      <c r="A256">
        <v>214</v>
      </c>
      <c r="B256" t="s">
        <v>2</v>
      </c>
      <c r="C256" s="4">
        <v>74.25</v>
      </c>
      <c r="D256">
        <v>3.3</v>
      </c>
      <c r="E256" s="1">
        <f>C256/3/D256</f>
        <v>7.5</v>
      </c>
      <c r="G256">
        <v>41.74</v>
      </c>
      <c r="H256">
        <v>8.6999999999999993</v>
      </c>
      <c r="I256">
        <f>H256*D256*3</f>
        <v>86.13</v>
      </c>
      <c r="J256">
        <v>18.850000000000001</v>
      </c>
      <c r="K256">
        <v>9</v>
      </c>
      <c r="L256" s="3">
        <f>K256*3*D256</f>
        <v>89.1</v>
      </c>
      <c r="M256">
        <v>4.1900000000000004</v>
      </c>
      <c r="N256">
        <v>9</v>
      </c>
      <c r="O256">
        <f>N256*D256*3</f>
        <v>89.1</v>
      </c>
      <c r="P256" s="5">
        <v>7.1</v>
      </c>
      <c r="Q256" s="5">
        <f>P256*D256*3</f>
        <v>70.289999999999992</v>
      </c>
      <c r="S256" t="s">
        <v>6346</v>
      </c>
      <c r="T256">
        <v>4</v>
      </c>
      <c r="U256" s="8">
        <f>T256*D256*3</f>
        <v>39.599999999999994</v>
      </c>
      <c r="V256">
        <v>31.89</v>
      </c>
      <c r="W256">
        <v>8</v>
      </c>
      <c r="X256" s="5">
        <f>W256*D256*3</f>
        <v>79.199999999999989</v>
      </c>
      <c r="Y256">
        <v>11.81</v>
      </c>
      <c r="Z256">
        <v>7</v>
      </c>
      <c r="AA256">
        <f>Z256*D256*3</f>
        <v>69.3</v>
      </c>
      <c r="AC256">
        <v>48.99</v>
      </c>
      <c r="AD256">
        <v>8</v>
      </c>
      <c r="AE256" s="1">
        <f>AD256*3*D256</f>
        <v>79.199999999999989</v>
      </c>
      <c r="AF256">
        <v>12.14</v>
      </c>
      <c r="AG256" s="5">
        <v>7</v>
      </c>
      <c r="AH256" s="5">
        <f>AG256*D256*3</f>
        <v>69.3</v>
      </c>
      <c r="AI256" s="13"/>
      <c r="AK256" s="8">
        <f>AJ256*D256*3</f>
        <v>0</v>
      </c>
      <c r="AL256" s="13"/>
      <c r="AM256">
        <v>30.88</v>
      </c>
      <c r="AN256">
        <v>5.2</v>
      </c>
      <c r="AO256" s="8">
        <f>AN256*D256*3</f>
        <v>51.480000000000004</v>
      </c>
      <c r="AP256">
        <v>13.4</v>
      </c>
      <c r="AQ256">
        <v>8.6</v>
      </c>
      <c r="AR256">
        <f>AQ256*D256*3</f>
        <v>85.14</v>
      </c>
      <c r="AT256">
        <v>9</v>
      </c>
      <c r="AU256">
        <f>AT256*D256*3</f>
        <v>89.1</v>
      </c>
      <c r="AW256">
        <v>24.98</v>
      </c>
      <c r="AX256">
        <v>8.8000000000000007</v>
      </c>
      <c r="AY256">
        <f>AX256*D256*3</f>
        <v>87.12</v>
      </c>
      <c r="AZ256">
        <v>24.98</v>
      </c>
      <c r="BA256">
        <v>8.6999999999999993</v>
      </c>
      <c r="BB256">
        <f>BA256*D256*3</f>
        <v>86.13</v>
      </c>
      <c r="BD256">
        <v>9</v>
      </c>
      <c r="BE256">
        <f>BD256*D256*3</f>
        <v>89.1</v>
      </c>
      <c r="BG256" s="10"/>
      <c r="BH256" s="1">
        <f>CHOOSE(MATCH(MIN(ABS(BP256-C256),ABS(BQ256-C256),ABS(BR256-C256)),CHOOSE({1;2;3},ABS(BP256-C256),ABS(BQ256-C256),ABS(BR256-C256)),0),BP256,BQ256,BR256)</f>
        <v>79.199999999999989</v>
      </c>
      <c r="BJ256" s="1" cm="1">
        <f t="array" ref="BJ256">(INDEX(_xlfn._xlws.SORT(CHOOSE({1;2;3;4;5;6},BQ256,BR256,L256,AE256,BO256,BP256)),3) + INDEX(_xlfn._xlws.SORT(CHOOSE({1;2;3;4;5;6},BQ256,BR256,L256,AE256,BO256,BP256)),4))/2</f>
        <v>79.199999999999989</v>
      </c>
      <c r="BK256">
        <v>8.4519619764298799</v>
      </c>
      <c r="BL256" s="11" t="s">
        <v>6116</v>
      </c>
      <c r="BM256" s="1">
        <f>BK256*3*D256</f>
        <v>83.674423566655818</v>
      </c>
      <c r="BN256" s="1">
        <f>BM256-C256</f>
        <v>9.4244235666558183</v>
      </c>
      <c r="BO256" s="1">
        <f>GK256*3*D256</f>
        <v>38.114999999999995</v>
      </c>
      <c r="BP256" s="1">
        <f>DO256*3*D256</f>
        <v>86.129999999999981</v>
      </c>
      <c r="BQ256" s="1">
        <f>FJ256*3*D256</f>
        <v>79.199999999999989</v>
      </c>
      <c r="BR256" s="1">
        <f>GL256*3*D256</f>
        <v>29.7</v>
      </c>
      <c r="BT256">
        <v>41.74</v>
      </c>
      <c r="BU256">
        <v>8.6999999999999993</v>
      </c>
      <c r="BV256" t="s">
        <v>5468</v>
      </c>
      <c r="BW256" t="s">
        <v>5691</v>
      </c>
      <c r="BX256" t="s">
        <v>5692</v>
      </c>
      <c r="BY256" t="s">
        <v>5693</v>
      </c>
      <c r="BZ256" t="s">
        <v>5694</v>
      </c>
      <c r="CA256" t="s">
        <v>2420</v>
      </c>
      <c r="CC256" t="s">
        <v>2525</v>
      </c>
      <c r="CD256" t="s">
        <v>2627</v>
      </c>
      <c r="CE256" t="s">
        <v>2423</v>
      </c>
      <c r="CG256" t="s">
        <v>2527</v>
      </c>
      <c r="CH256" t="s">
        <v>3343</v>
      </c>
      <c r="CI256" t="s">
        <v>2426</v>
      </c>
      <c r="CJ256" t="s">
        <v>2427</v>
      </c>
      <c r="CK256" t="s">
        <v>2529</v>
      </c>
      <c r="CL256" t="s">
        <v>3344</v>
      </c>
      <c r="CM256" t="s">
        <v>2430</v>
      </c>
      <c r="CO256" t="s">
        <v>3252</v>
      </c>
      <c r="CP256" t="s">
        <v>3345</v>
      </c>
      <c r="CQ256" t="s">
        <v>3346</v>
      </c>
      <c r="CR256" t="s">
        <v>3347</v>
      </c>
      <c r="CS256" t="s">
        <v>3348</v>
      </c>
      <c r="CT256" t="s">
        <v>3349</v>
      </c>
      <c r="CV256">
        <v>9</v>
      </c>
      <c r="CW256">
        <v>9</v>
      </c>
      <c r="CX256">
        <v>8.5</v>
      </c>
      <c r="CY256">
        <v>9.5</v>
      </c>
      <c r="CZ256">
        <v>7.5</v>
      </c>
      <c r="DA256">
        <v>0.1</v>
      </c>
      <c r="DB256">
        <v>0.1</v>
      </c>
      <c r="DC256">
        <v>0.2</v>
      </c>
      <c r="DD256">
        <v>0.3</v>
      </c>
      <c r="DE256">
        <v>0.3</v>
      </c>
      <c r="DF256">
        <v>0.9</v>
      </c>
      <c r="DG256">
        <v>0.9</v>
      </c>
      <c r="DH256">
        <v>1.7</v>
      </c>
      <c r="DI256">
        <v>2.85</v>
      </c>
      <c r="DJ256">
        <v>2.25</v>
      </c>
      <c r="DK256">
        <v>8.6999999999999993</v>
      </c>
      <c r="DL256">
        <v>0</v>
      </c>
      <c r="DM256">
        <v>8.6999999999999993</v>
      </c>
      <c r="DN256">
        <v>9</v>
      </c>
      <c r="DO256">
        <f>AVERAGE(CV256:CZ256)</f>
        <v>8.6999999999999993</v>
      </c>
      <c r="DQ256" t="s">
        <v>27</v>
      </c>
      <c r="DR256" t="s">
        <v>52</v>
      </c>
      <c r="DS256" t="s">
        <v>61</v>
      </c>
      <c r="DT256" t="s">
        <v>159</v>
      </c>
      <c r="DU256" t="s">
        <v>71</v>
      </c>
      <c r="DV256" t="s">
        <v>160</v>
      </c>
      <c r="DW256" t="s">
        <v>3836</v>
      </c>
      <c r="DX256" t="s">
        <v>3858</v>
      </c>
      <c r="DY256" t="s">
        <v>4119</v>
      </c>
      <c r="DZ256" t="s">
        <v>4349</v>
      </c>
      <c r="EA256" t="s">
        <v>3860</v>
      </c>
      <c r="EB256" t="s">
        <v>4121</v>
      </c>
      <c r="EC256" t="s">
        <v>4653</v>
      </c>
      <c r="ED256" t="s">
        <v>4244</v>
      </c>
      <c r="EE256" t="s">
        <v>3863</v>
      </c>
      <c r="EF256" t="s">
        <v>4124</v>
      </c>
      <c r="EG256" t="s">
        <v>4125</v>
      </c>
      <c r="EH256" t="s">
        <v>4126</v>
      </c>
      <c r="EI256" t="s">
        <v>3879</v>
      </c>
      <c r="EJ256" t="s">
        <v>4127</v>
      </c>
      <c r="EK256" t="s">
        <v>4128</v>
      </c>
      <c r="EL256" t="s">
        <v>4129</v>
      </c>
      <c r="EM256" t="s">
        <v>3907</v>
      </c>
      <c r="EN256" t="s">
        <v>4130</v>
      </c>
      <c r="EO256" t="s">
        <v>4131</v>
      </c>
      <c r="EP256" t="s">
        <v>4132</v>
      </c>
      <c r="EQ256">
        <v>8</v>
      </c>
      <c r="ER256">
        <v>8</v>
      </c>
      <c r="ES256">
        <v>8</v>
      </c>
      <c r="ET256">
        <v>8</v>
      </c>
      <c r="EU256">
        <v>8</v>
      </c>
      <c r="EV256">
        <v>0.1</v>
      </c>
      <c r="EW256">
        <v>0.1</v>
      </c>
      <c r="EX256">
        <v>0.2</v>
      </c>
      <c r="EY256">
        <v>0.3</v>
      </c>
      <c r="EZ256">
        <v>0.3</v>
      </c>
      <c r="FA256">
        <f>EV256*EQ256</f>
        <v>0.8</v>
      </c>
      <c r="FB256">
        <f>EW256*ER256</f>
        <v>0.8</v>
      </c>
      <c r="FC256">
        <f>EX256*ES256</f>
        <v>1.6</v>
      </c>
      <c r="FD256">
        <f>EY256*ET256</f>
        <v>2.4</v>
      </c>
      <c r="FE256">
        <f>EZ256*EU256</f>
        <v>2.4</v>
      </c>
      <c r="FF256">
        <v>16</v>
      </c>
      <c r="FG256">
        <v>0</v>
      </c>
      <c r="FH256">
        <v>9</v>
      </c>
      <c r="FI256">
        <f>FA256+FB256+FC256+FD256+FE256</f>
        <v>8</v>
      </c>
      <c r="FJ256">
        <f>MEDIAN(EQ256:EU256)</f>
        <v>8</v>
      </c>
      <c r="FL256">
        <v>45.21</v>
      </c>
      <c r="FM256">
        <v>7</v>
      </c>
      <c r="FN256" t="s">
        <v>1616</v>
      </c>
      <c r="FO256" t="s">
        <v>1617</v>
      </c>
      <c r="FP256" t="s">
        <v>1618</v>
      </c>
      <c r="FQ256" t="s">
        <v>1619</v>
      </c>
      <c r="FR256" t="s">
        <v>1620</v>
      </c>
      <c r="FS256">
        <v>2.5</v>
      </c>
      <c r="FT256">
        <v>3</v>
      </c>
      <c r="FU256">
        <v>1.5</v>
      </c>
      <c r="FV256">
        <v>4</v>
      </c>
      <c r="FW256">
        <v>6</v>
      </c>
      <c r="FX256">
        <v>0.1</v>
      </c>
      <c r="FY256">
        <v>0.1</v>
      </c>
      <c r="FZ256">
        <v>0.2</v>
      </c>
      <c r="GA256">
        <v>0.3</v>
      </c>
      <c r="GB256">
        <v>0.3</v>
      </c>
      <c r="GC256">
        <f>FS256*FX256</f>
        <v>0.25</v>
      </c>
      <c r="GD256">
        <f>FT256*FY256</f>
        <v>0.30000000000000004</v>
      </c>
      <c r="GE256">
        <f>FU256*FZ256</f>
        <v>0.30000000000000004</v>
      </c>
      <c r="GF256">
        <f>FV256*GA256</f>
        <v>1.2</v>
      </c>
      <c r="GG256">
        <f>FW256*GB256</f>
        <v>1.7999999999999998</v>
      </c>
      <c r="GH256">
        <v>7.5</v>
      </c>
      <c r="GI256">
        <v>-0.5</v>
      </c>
      <c r="GJ256">
        <v>7</v>
      </c>
      <c r="GK256">
        <f>GC256+GD256+GE256+GF256+GG256</f>
        <v>3.8499999999999996</v>
      </c>
      <c r="GL256">
        <f>MEDIAN(FS256:FW256)</f>
        <v>3</v>
      </c>
    </row>
    <row r="257" spans="1:194" hidden="1" x14ac:dyDescent="0.25">
      <c r="A257">
        <v>256</v>
      </c>
      <c r="B257" t="s">
        <v>2</v>
      </c>
      <c r="C257" s="4">
        <v>80</v>
      </c>
      <c r="D257">
        <v>3.2</v>
      </c>
      <c r="E257" s="1">
        <f>C257/3/D257</f>
        <v>8.3333333333333339</v>
      </c>
      <c r="G257">
        <v>37.32</v>
      </c>
      <c r="H257">
        <v>8</v>
      </c>
      <c r="I257">
        <f>H257*D257*3</f>
        <v>76.800000000000011</v>
      </c>
      <c r="J257">
        <v>16.63</v>
      </c>
      <c r="K257">
        <v>8.4</v>
      </c>
      <c r="L257" s="3">
        <f>K257*3*D257</f>
        <v>80.640000000000015</v>
      </c>
      <c r="M257">
        <v>4.8600000000000003</v>
      </c>
      <c r="N257">
        <v>5</v>
      </c>
      <c r="O257">
        <f>N257*D257*3</f>
        <v>48</v>
      </c>
      <c r="P257" s="5">
        <v>7</v>
      </c>
      <c r="Q257" s="5">
        <f>P257*D257*3</f>
        <v>67.2</v>
      </c>
      <c r="S257" t="s">
        <v>6385</v>
      </c>
      <c r="T257">
        <v>8.1999999999999993</v>
      </c>
      <c r="U257" s="8">
        <f>T257*D257*3</f>
        <v>78.72</v>
      </c>
      <c r="V257">
        <v>29.8</v>
      </c>
      <c r="W257">
        <v>8.4</v>
      </c>
      <c r="X257" s="5">
        <f>W257*D257*3</f>
        <v>80.640000000000015</v>
      </c>
      <c r="Y257">
        <v>10.050000000000001</v>
      </c>
      <c r="Z257">
        <v>7.8</v>
      </c>
      <c r="AA257">
        <f>Z257*D257*3</f>
        <v>74.88</v>
      </c>
      <c r="AC257">
        <v>135.41</v>
      </c>
      <c r="AD257">
        <v>8</v>
      </c>
      <c r="AE257" s="1">
        <f>AD257*3*D257</f>
        <v>76.800000000000011</v>
      </c>
      <c r="AF257">
        <v>9.5299999999999994</v>
      </c>
      <c r="AH257" s="5">
        <f>AG257*D257*3</f>
        <v>0</v>
      </c>
      <c r="AI257" s="13"/>
      <c r="AJ257">
        <v>28</v>
      </c>
      <c r="AK257" s="8">
        <f>AJ257*D257*3</f>
        <v>268.8</v>
      </c>
      <c r="AL257" s="13"/>
      <c r="AM257">
        <v>30.32</v>
      </c>
      <c r="AN257">
        <v>7.2</v>
      </c>
      <c r="AO257" s="8">
        <f>AN257*D257*3</f>
        <v>69.12</v>
      </c>
      <c r="AP257">
        <v>13.43</v>
      </c>
      <c r="AQ257">
        <v>10</v>
      </c>
      <c r="AR257">
        <f>AQ257*D257*3</f>
        <v>96</v>
      </c>
      <c r="AT257">
        <v>9.3000000000000007</v>
      </c>
      <c r="AU257">
        <f>AT257*D257*3</f>
        <v>89.280000000000015</v>
      </c>
      <c r="AW257">
        <v>22.92</v>
      </c>
      <c r="AX257">
        <v>9.3000000000000007</v>
      </c>
      <c r="AY257">
        <f>AX257*D257*3</f>
        <v>89.280000000000015</v>
      </c>
      <c r="AZ257">
        <v>22.92</v>
      </c>
      <c r="BA257">
        <v>9</v>
      </c>
      <c r="BB257">
        <f>BA257*D257*3</f>
        <v>86.4</v>
      </c>
      <c r="BD257">
        <v>9</v>
      </c>
      <c r="BE257">
        <f>BD257*D257*3</f>
        <v>86.4</v>
      </c>
      <c r="BG257" s="10"/>
      <c r="BH257" s="1">
        <f>CHOOSE(MATCH(MIN(ABS(BP257-C257),ABS(BQ257-C257),ABS(BR257-C257)),CHOOSE({1;2;3},ABS(BP257-C257),ABS(BQ257-C257),ABS(BR257-C257)),0),BP257,BQ257,BR257)</f>
        <v>76.800000000000011</v>
      </c>
      <c r="BJ257" s="1" cm="1">
        <f t="array" ref="BJ257">(INDEX(_xlfn._xlws.SORT(CHOOSE({1;2;3;4;5;6},BQ257,BR257,L257,AE257,BO257,BP257)),3) + INDEX(_xlfn._xlws.SORT(CHOOSE({1;2;3;4;5;6},BQ257,BR257,L257,AE257,BO257,BP257)),4))/2</f>
        <v>76.800000000000011</v>
      </c>
      <c r="BK257">
        <v>8.2453587959551502</v>
      </c>
      <c r="BL257" t="s">
        <v>6117</v>
      </c>
      <c r="BM257" s="1">
        <f>BK257*3*D257</f>
        <v>79.15544444116945</v>
      </c>
      <c r="BN257" s="1">
        <f>BM257-C257</f>
        <v>-0.84455555883054956</v>
      </c>
      <c r="BO257" s="1">
        <f>GK257*3*D257</f>
        <v>51.840000000000011</v>
      </c>
      <c r="BP257" s="1">
        <f>DO257*3*D257</f>
        <v>86.4</v>
      </c>
      <c r="BQ257" s="1">
        <f>FJ257*3*D257</f>
        <v>76.800000000000011</v>
      </c>
      <c r="BR257" s="1">
        <f>GL257*3*D257</f>
        <v>48</v>
      </c>
      <c r="BT257">
        <v>37.32</v>
      </c>
      <c r="BU257">
        <v>8</v>
      </c>
      <c r="BV257" t="s">
        <v>5235</v>
      </c>
      <c r="BW257" t="s">
        <v>5056</v>
      </c>
      <c r="BX257" t="s">
        <v>5057</v>
      </c>
      <c r="BY257" t="s">
        <v>5517</v>
      </c>
      <c r="BZ257" t="s">
        <v>4985</v>
      </c>
      <c r="CA257" t="s">
        <v>2437</v>
      </c>
      <c r="CC257" t="s">
        <v>2438</v>
      </c>
      <c r="CD257" t="s">
        <v>2439</v>
      </c>
      <c r="CE257" t="s">
        <v>2440</v>
      </c>
      <c r="CG257" t="s">
        <v>2441</v>
      </c>
      <c r="CH257" t="s">
        <v>2442</v>
      </c>
      <c r="CI257" t="s">
        <v>2535</v>
      </c>
      <c r="CK257" t="s">
        <v>2444</v>
      </c>
      <c r="CL257" t="s">
        <v>2445</v>
      </c>
      <c r="CM257" t="s">
        <v>2446</v>
      </c>
      <c r="CO257" t="s">
        <v>2447</v>
      </c>
      <c r="CP257" t="s">
        <v>2448</v>
      </c>
      <c r="CQ257" t="s">
        <v>2666</v>
      </c>
      <c r="CS257" t="s">
        <v>2450</v>
      </c>
      <c r="CT257" t="s">
        <v>2451</v>
      </c>
      <c r="CV257">
        <v>9</v>
      </c>
      <c r="CW257">
        <v>9</v>
      </c>
      <c r="CX257">
        <v>9</v>
      </c>
      <c r="CY257">
        <v>9</v>
      </c>
      <c r="CZ257">
        <v>9</v>
      </c>
      <c r="DA257">
        <v>0.1</v>
      </c>
      <c r="DB257">
        <v>0.1</v>
      </c>
      <c r="DC257">
        <v>0.2</v>
      </c>
      <c r="DD257">
        <v>0.3</v>
      </c>
      <c r="DE257">
        <v>0.3</v>
      </c>
      <c r="DF257">
        <v>0.9</v>
      </c>
      <c r="DG257">
        <v>0.9</v>
      </c>
      <c r="DH257">
        <v>1.8</v>
      </c>
      <c r="DI257">
        <v>2.7</v>
      </c>
      <c r="DJ257">
        <v>2.7</v>
      </c>
      <c r="DK257">
        <v>8</v>
      </c>
      <c r="DL257">
        <v>0</v>
      </c>
      <c r="DM257">
        <v>8</v>
      </c>
      <c r="DN257">
        <v>8.4</v>
      </c>
      <c r="DO257">
        <f>AVERAGE(CV257:CZ257)</f>
        <v>9</v>
      </c>
      <c r="DQ257">
        <v>8</v>
      </c>
      <c r="DR257" t="s">
        <v>33</v>
      </c>
      <c r="DS257" t="s">
        <v>34</v>
      </c>
      <c r="DT257" t="s">
        <v>35</v>
      </c>
      <c r="DU257" t="s">
        <v>36</v>
      </c>
      <c r="DV257" t="s">
        <v>420</v>
      </c>
      <c r="DW257" t="s">
        <v>3788</v>
      </c>
      <c r="DX257" t="s">
        <v>3789</v>
      </c>
      <c r="DY257" t="s">
        <v>3790</v>
      </c>
      <c r="DZ257" t="s">
        <v>3791</v>
      </c>
      <c r="EA257" t="s">
        <v>3792</v>
      </c>
      <c r="EB257" t="s">
        <v>3793</v>
      </c>
      <c r="EC257" t="s">
        <v>3794</v>
      </c>
      <c r="ED257" t="s">
        <v>3795</v>
      </c>
      <c r="EE257" t="s">
        <v>3796</v>
      </c>
      <c r="EF257" t="s">
        <v>3797</v>
      </c>
      <c r="EG257" t="s">
        <v>3798</v>
      </c>
      <c r="EH257" t="s">
        <v>3798</v>
      </c>
      <c r="EI257" t="s">
        <v>3799</v>
      </c>
      <c r="EJ257" t="s">
        <v>3800</v>
      </c>
      <c r="EK257" t="s">
        <v>3801</v>
      </c>
      <c r="EL257" t="s">
        <v>3801</v>
      </c>
      <c r="EM257" t="s">
        <v>4678</v>
      </c>
      <c r="EN257" t="s">
        <v>3803</v>
      </c>
      <c r="EO257" t="s">
        <v>4679</v>
      </c>
      <c r="EP257" t="s">
        <v>4680</v>
      </c>
      <c r="EQ257">
        <v>8</v>
      </c>
      <c r="ER257">
        <v>8</v>
      </c>
      <c r="ES257">
        <v>8</v>
      </c>
      <c r="ET257">
        <v>8</v>
      </c>
      <c r="EU257">
        <v>8</v>
      </c>
      <c r="EV257">
        <v>0.1</v>
      </c>
      <c r="EW257">
        <v>0.1</v>
      </c>
      <c r="EX257">
        <v>0.2</v>
      </c>
      <c r="EY257">
        <v>0.3</v>
      </c>
      <c r="EZ257">
        <v>0.3</v>
      </c>
      <c r="FA257">
        <f>EV257*EQ257</f>
        <v>0.8</v>
      </c>
      <c r="FB257">
        <f>EW257*ER257</f>
        <v>0.8</v>
      </c>
      <c r="FC257">
        <f>EX257*ES257</f>
        <v>1.6</v>
      </c>
      <c r="FD257">
        <f>EY257*ET257</f>
        <v>2.4</v>
      </c>
      <c r="FE257">
        <f>EZ257*EU257</f>
        <v>2.4</v>
      </c>
      <c r="FF257">
        <v>18</v>
      </c>
      <c r="FG257">
        <v>0</v>
      </c>
      <c r="FH257">
        <v>8</v>
      </c>
      <c r="FI257">
        <f>FA257+FB257+FC257+FD257+FE257</f>
        <v>8</v>
      </c>
      <c r="FJ257">
        <f>MEDIAN(EQ257:EU257)</f>
        <v>8</v>
      </c>
      <c r="FL257">
        <v>42.11</v>
      </c>
      <c r="FM257">
        <v>9</v>
      </c>
      <c r="FN257" t="s">
        <v>1819</v>
      </c>
      <c r="FO257" t="s">
        <v>1820</v>
      </c>
      <c r="FP257" t="s">
        <v>1821</v>
      </c>
      <c r="FQ257" t="s">
        <v>1822</v>
      </c>
      <c r="FR257" t="s">
        <v>1823</v>
      </c>
      <c r="FS257">
        <v>5</v>
      </c>
      <c r="FT257">
        <v>4</v>
      </c>
      <c r="FU257">
        <v>3</v>
      </c>
      <c r="FV257">
        <v>6</v>
      </c>
      <c r="FW257">
        <v>7</v>
      </c>
      <c r="FX257">
        <v>0.1</v>
      </c>
      <c r="FY257">
        <v>0.1</v>
      </c>
      <c r="FZ257">
        <v>0.2</v>
      </c>
      <c r="GA257">
        <v>0.3</v>
      </c>
      <c r="GB257">
        <v>0.3</v>
      </c>
      <c r="GC257">
        <f>FS257*FX257</f>
        <v>0.5</v>
      </c>
      <c r="GD257">
        <f>FT257*FY257</f>
        <v>0.4</v>
      </c>
      <c r="GE257">
        <f>FU257*FZ257</f>
        <v>0.60000000000000009</v>
      </c>
      <c r="GF257">
        <f>FV257*GA257</f>
        <v>1.7999999999999998</v>
      </c>
      <c r="GG257">
        <f>FW257*GB257</f>
        <v>2.1</v>
      </c>
      <c r="GH257">
        <v>9</v>
      </c>
      <c r="GI257">
        <v>0</v>
      </c>
      <c r="GJ257">
        <v>9</v>
      </c>
      <c r="GK257">
        <f>GC257+GD257+GE257+GF257+GG257</f>
        <v>5.4</v>
      </c>
      <c r="GL257">
        <f>MEDIAN(FS257:FW257)</f>
        <v>5</v>
      </c>
    </row>
    <row r="258" spans="1:194" hidden="1" x14ac:dyDescent="0.25">
      <c r="A258">
        <v>257</v>
      </c>
      <c r="B258" t="s">
        <v>2</v>
      </c>
      <c r="C258" s="4">
        <v>81.599999999999994</v>
      </c>
      <c r="D258">
        <v>3.2</v>
      </c>
      <c r="E258" s="1">
        <f>C258/3/D258</f>
        <v>8.5</v>
      </c>
      <c r="G258">
        <v>36.99</v>
      </c>
      <c r="H258">
        <v>8.4</v>
      </c>
      <c r="I258">
        <f>H258*D258*3</f>
        <v>80.640000000000015</v>
      </c>
      <c r="J258">
        <v>18.649999999999999</v>
      </c>
      <c r="K258">
        <v>9</v>
      </c>
      <c r="L258" s="3">
        <f>K258*3*D258</f>
        <v>86.4</v>
      </c>
      <c r="M258">
        <v>16.670000000000002</v>
      </c>
      <c r="O258">
        <f>N258*D258*3</f>
        <v>0</v>
      </c>
      <c r="P258" s="5">
        <v>7</v>
      </c>
      <c r="Q258" s="5">
        <f>P258*D258*3</f>
        <v>67.2</v>
      </c>
      <c r="S258" t="s">
        <v>6386</v>
      </c>
      <c r="T258">
        <v>7.4</v>
      </c>
      <c r="U258" s="8">
        <f>T258*D258*3</f>
        <v>71.040000000000006</v>
      </c>
      <c r="V258">
        <v>30.6</v>
      </c>
      <c r="W258">
        <v>8.6999999999999993</v>
      </c>
      <c r="X258" s="5">
        <f>W258*D258*3</f>
        <v>83.52</v>
      </c>
      <c r="Y258">
        <v>10.38</v>
      </c>
      <c r="Z258">
        <v>8</v>
      </c>
      <c r="AA258">
        <f>Z258*D258*3</f>
        <v>76.800000000000011</v>
      </c>
      <c r="AC258">
        <v>132.05000000000001</v>
      </c>
      <c r="AD258">
        <v>7.3000000000000007</v>
      </c>
      <c r="AE258" s="1">
        <f>AD258*3*D258</f>
        <v>70.080000000000013</v>
      </c>
      <c r="AF258">
        <v>11.84</v>
      </c>
      <c r="AG258" s="5">
        <v>7</v>
      </c>
      <c r="AH258" s="5">
        <f>AG258*D258*3</f>
        <v>67.2</v>
      </c>
      <c r="AI258" s="13"/>
      <c r="AJ258">
        <v>7.3</v>
      </c>
      <c r="AK258" s="8">
        <f>AJ258*D258*3</f>
        <v>70.08</v>
      </c>
      <c r="AL258" s="13"/>
      <c r="AM258">
        <v>30.49</v>
      </c>
      <c r="AN258">
        <v>7</v>
      </c>
      <c r="AO258" s="8">
        <f>AN258*D258*3</f>
        <v>67.2</v>
      </c>
      <c r="AP258">
        <v>15.1</v>
      </c>
      <c r="AQ258">
        <v>10</v>
      </c>
      <c r="AR258">
        <f>AQ258*D258*3</f>
        <v>96</v>
      </c>
      <c r="AT258">
        <v>8.5</v>
      </c>
      <c r="AU258">
        <f>AT258*D258*3</f>
        <v>81.600000000000009</v>
      </c>
      <c r="AW258">
        <v>25.17</v>
      </c>
      <c r="AX258">
        <v>9.4</v>
      </c>
      <c r="AY258">
        <f>AX258*D258*3</f>
        <v>90.240000000000009</v>
      </c>
      <c r="AZ258">
        <v>25.17</v>
      </c>
      <c r="BA258">
        <v>9</v>
      </c>
      <c r="BB258">
        <f>BA258*D258*3</f>
        <v>86.4</v>
      </c>
      <c r="BD258">
        <v>8.6</v>
      </c>
      <c r="BE258">
        <f>BD258*D258*3</f>
        <v>82.56</v>
      </c>
      <c r="BG258" s="10"/>
      <c r="BH258" s="1">
        <f>CHOOSE(MATCH(MIN(ABS(BP258-C258),ABS(BQ258-C258),ABS(BR258-C258)),CHOOSE({1;2;3},ABS(BP258-C258),ABS(BQ258-C258),ABS(BR258-C258)),0),BP258,BQ258,BR258)</f>
        <v>82.56</v>
      </c>
      <c r="BJ258" s="1" cm="1">
        <f t="array" ref="BJ258">(INDEX(_xlfn._xlws.SORT(CHOOSE({1;2;3;4;5;6},BQ258,BR258,L258,AE258,BO258,BP258)),3) + INDEX(_xlfn._xlws.SORT(CHOOSE({1;2;3;4;5;6},BQ258,BR258,L258,AE258,BO258,BP258)),4))/2</f>
        <v>68.640000000000015</v>
      </c>
      <c r="BK258">
        <v>8.5788450273736192</v>
      </c>
      <c r="BL258" t="s">
        <v>6117</v>
      </c>
      <c r="BM258" s="1">
        <f>BK258*3*D258</f>
        <v>82.35691226278675</v>
      </c>
      <c r="BN258" s="1">
        <f>BM258-C258</f>
        <v>0.75691226278675572</v>
      </c>
      <c r="BO258" s="1">
        <f>GK258*3*D258</f>
        <v>49.920000000000009</v>
      </c>
      <c r="BP258" s="1">
        <f>DO258*3*D258</f>
        <v>82.56</v>
      </c>
      <c r="BQ258" s="1">
        <f>FJ258*3*D258</f>
        <v>67.2</v>
      </c>
      <c r="BR258" s="1">
        <f>GL258*3*D258</f>
        <v>52.800000000000004</v>
      </c>
      <c r="BT258">
        <v>36.99</v>
      </c>
      <c r="BU258">
        <v>8.4</v>
      </c>
      <c r="BV258" t="s">
        <v>5753</v>
      </c>
      <c r="BW258" t="s">
        <v>5754</v>
      </c>
      <c r="BX258" t="s">
        <v>5810</v>
      </c>
      <c r="BY258" t="s">
        <v>5811</v>
      </c>
      <c r="BZ258" t="s">
        <v>5812</v>
      </c>
      <c r="CA258" t="s">
        <v>2437</v>
      </c>
      <c r="CC258" t="s">
        <v>2438</v>
      </c>
      <c r="CD258" t="s">
        <v>2439</v>
      </c>
      <c r="CE258" t="s">
        <v>2440</v>
      </c>
      <c r="CG258" t="s">
        <v>2441</v>
      </c>
      <c r="CH258" t="s">
        <v>2442</v>
      </c>
      <c r="CI258" t="s">
        <v>2535</v>
      </c>
      <c r="CK258" t="s">
        <v>2444</v>
      </c>
      <c r="CL258" t="s">
        <v>2445</v>
      </c>
      <c r="CM258" t="s">
        <v>2446</v>
      </c>
      <c r="CO258" t="s">
        <v>2447</v>
      </c>
      <c r="CP258" t="s">
        <v>2448</v>
      </c>
      <c r="CQ258" t="s">
        <v>3368</v>
      </c>
      <c r="CR258" t="s">
        <v>2434</v>
      </c>
      <c r="CS258" t="s">
        <v>3434</v>
      </c>
      <c r="CT258" t="s">
        <v>3435</v>
      </c>
      <c r="CV258">
        <v>9</v>
      </c>
      <c r="CW258">
        <v>9</v>
      </c>
      <c r="CX258">
        <v>9</v>
      </c>
      <c r="CY258">
        <v>9</v>
      </c>
      <c r="CZ258">
        <v>7</v>
      </c>
      <c r="DA258">
        <v>0.1</v>
      </c>
      <c r="DB258">
        <v>0.1</v>
      </c>
      <c r="DC258">
        <v>0.2</v>
      </c>
      <c r="DD258">
        <v>0.3</v>
      </c>
      <c r="DE258">
        <v>0.3</v>
      </c>
      <c r="DF258">
        <v>0.9</v>
      </c>
      <c r="DG258">
        <v>0.9</v>
      </c>
      <c r="DH258">
        <v>1.8</v>
      </c>
      <c r="DI258">
        <v>2.7</v>
      </c>
      <c r="DJ258">
        <v>2.1</v>
      </c>
      <c r="DK258">
        <v>8.4</v>
      </c>
      <c r="DL258">
        <v>0</v>
      </c>
      <c r="DM258">
        <v>8.4</v>
      </c>
      <c r="DN258">
        <v>9</v>
      </c>
      <c r="DO258">
        <f>AVERAGE(CV258:CZ258)</f>
        <v>8.6</v>
      </c>
      <c r="DQ258" t="s">
        <v>27</v>
      </c>
      <c r="DR258" t="s">
        <v>28</v>
      </c>
      <c r="DS258" t="s">
        <v>108</v>
      </c>
      <c r="DT258" t="s">
        <v>109</v>
      </c>
      <c r="DU258" t="s">
        <v>110</v>
      </c>
      <c r="DV258" t="s">
        <v>290</v>
      </c>
      <c r="DW258" t="s">
        <v>3769</v>
      </c>
      <c r="DX258" t="s">
        <v>3770</v>
      </c>
      <c r="DY258" t="s">
        <v>3771</v>
      </c>
      <c r="DZ258" t="s">
        <v>3772</v>
      </c>
      <c r="EA258" t="s">
        <v>3773</v>
      </c>
      <c r="EB258" t="s">
        <v>3774</v>
      </c>
      <c r="EC258" t="s">
        <v>3775</v>
      </c>
      <c r="ED258" t="s">
        <v>3776</v>
      </c>
      <c r="EE258" t="s">
        <v>3777</v>
      </c>
      <c r="EF258" t="s">
        <v>3778</v>
      </c>
      <c r="EG258" t="s">
        <v>3779</v>
      </c>
      <c r="EH258" t="s">
        <v>3780</v>
      </c>
      <c r="EI258" t="s">
        <v>3781</v>
      </c>
      <c r="EJ258" t="s">
        <v>3782</v>
      </c>
      <c r="EK258" t="s">
        <v>4017</v>
      </c>
      <c r="EL258" t="s">
        <v>3815</v>
      </c>
      <c r="EM258" t="s">
        <v>3930</v>
      </c>
      <c r="EN258" t="s">
        <v>3931</v>
      </c>
      <c r="EO258" t="s">
        <v>4018</v>
      </c>
      <c r="EP258" t="s">
        <v>4459</v>
      </c>
      <c r="EQ258">
        <v>7</v>
      </c>
      <c r="ER258">
        <v>8</v>
      </c>
      <c r="ES258">
        <v>8</v>
      </c>
      <c r="ET258">
        <v>7</v>
      </c>
      <c r="EU258">
        <v>7</v>
      </c>
      <c r="EV258">
        <v>0.1</v>
      </c>
      <c r="EW258">
        <v>0.1</v>
      </c>
      <c r="EX258">
        <v>0.2</v>
      </c>
      <c r="EY258">
        <v>0.3</v>
      </c>
      <c r="EZ258">
        <v>0.3</v>
      </c>
      <c r="FA258">
        <f>EV258*EQ258</f>
        <v>0.70000000000000007</v>
      </c>
      <c r="FB258">
        <f>EW258*ER258</f>
        <v>0.8</v>
      </c>
      <c r="FC258">
        <f>EX258*ES258</f>
        <v>1.6</v>
      </c>
      <c r="FD258">
        <f>EY258*ET258</f>
        <v>2.1</v>
      </c>
      <c r="FE258">
        <f>EZ258*EU258</f>
        <v>2.1</v>
      </c>
      <c r="FF258">
        <v>14.7</v>
      </c>
      <c r="FG258">
        <v>0</v>
      </c>
      <c r="FH258">
        <v>14.7</v>
      </c>
      <c r="FI258">
        <f>FA258+FB258+FC258+FD258+FE258</f>
        <v>7.3000000000000007</v>
      </c>
      <c r="FJ258">
        <f>MEDIAN(EQ258:EU258)</f>
        <v>7</v>
      </c>
      <c r="FL258">
        <v>39.840000000000003</v>
      </c>
      <c r="FM258">
        <v>7.9</v>
      </c>
      <c r="FN258" t="s">
        <v>1824</v>
      </c>
      <c r="FO258" t="s">
        <v>1825</v>
      </c>
      <c r="FP258" t="s">
        <v>1826</v>
      </c>
      <c r="FQ258" t="s">
        <v>1827</v>
      </c>
      <c r="FR258" t="s">
        <v>1828</v>
      </c>
      <c r="FS258">
        <v>6</v>
      </c>
      <c r="FT258">
        <v>5.5</v>
      </c>
      <c r="FU258">
        <v>4.5</v>
      </c>
      <c r="FV258">
        <v>7</v>
      </c>
      <c r="FW258">
        <v>3.5</v>
      </c>
      <c r="FX258">
        <v>0.1</v>
      </c>
      <c r="FY258">
        <v>0.1</v>
      </c>
      <c r="FZ258">
        <v>0.2</v>
      </c>
      <c r="GA258">
        <v>0.3</v>
      </c>
      <c r="GB258">
        <v>0.3</v>
      </c>
      <c r="GC258">
        <f>FS258*FX258</f>
        <v>0.60000000000000009</v>
      </c>
      <c r="GD258">
        <f>FT258*FY258</f>
        <v>0.55000000000000004</v>
      </c>
      <c r="GE258">
        <f>FU258*FZ258</f>
        <v>0.9</v>
      </c>
      <c r="GF258">
        <f>FV258*GA258</f>
        <v>2.1</v>
      </c>
      <c r="GG258">
        <f>FW258*GB258</f>
        <v>1.05</v>
      </c>
      <c r="GH258">
        <v>8.15</v>
      </c>
      <c r="GI258">
        <v>-0.25</v>
      </c>
      <c r="GJ258">
        <v>7.9</v>
      </c>
      <c r="GK258">
        <f>GC258+GD258+GE258+GF258+GG258</f>
        <v>5.2</v>
      </c>
      <c r="GL258">
        <f>MEDIAN(FS258:FW258)</f>
        <v>5.5</v>
      </c>
    </row>
    <row r="259" spans="1:194" hidden="1" x14ac:dyDescent="0.25">
      <c r="A259">
        <v>258</v>
      </c>
      <c r="B259" t="s">
        <v>2</v>
      </c>
      <c r="C259" s="4">
        <v>64.349999999999994</v>
      </c>
      <c r="D259">
        <v>3.3</v>
      </c>
      <c r="E259" s="1">
        <f>C259/3/D259</f>
        <v>6.5</v>
      </c>
      <c r="G259">
        <v>38.659999999999997</v>
      </c>
      <c r="H259">
        <v>8.65</v>
      </c>
      <c r="I259">
        <f>H259*D259*3</f>
        <v>85.634999999999991</v>
      </c>
      <c r="J259">
        <v>18.05</v>
      </c>
      <c r="K259">
        <v>8.6999999999999993</v>
      </c>
      <c r="L259" s="3">
        <f>K259*3*D259</f>
        <v>86.129999999999981</v>
      </c>
      <c r="M259">
        <v>4.9400000000000004</v>
      </c>
      <c r="N259">
        <v>3</v>
      </c>
      <c r="O259">
        <f>N259*D259*3</f>
        <v>29.699999999999996</v>
      </c>
      <c r="P259" s="5">
        <v>6.5</v>
      </c>
      <c r="Q259" s="5">
        <f>P259*D259*3</f>
        <v>64.349999999999994</v>
      </c>
      <c r="S259" t="s">
        <v>6387</v>
      </c>
      <c r="T259">
        <v>5.4</v>
      </c>
      <c r="U259" s="8">
        <f>T259*D259*3</f>
        <v>53.46</v>
      </c>
      <c r="V259">
        <v>32.71</v>
      </c>
      <c r="W259">
        <v>8</v>
      </c>
      <c r="X259" s="5">
        <f>W259*D259*3</f>
        <v>79.199999999999989</v>
      </c>
      <c r="Y259">
        <v>9.6300000000000008</v>
      </c>
      <c r="Z259">
        <v>7.8</v>
      </c>
      <c r="AA259">
        <f>Z259*D259*3</f>
        <v>77.22</v>
      </c>
      <c r="AC259">
        <v>133.94999999999999</v>
      </c>
      <c r="AD259">
        <v>7.1</v>
      </c>
      <c r="AE259" s="1">
        <f>AD259*3*D259</f>
        <v>70.289999999999992</v>
      </c>
      <c r="AF259">
        <v>11.98</v>
      </c>
      <c r="AG259" s="5">
        <v>7</v>
      </c>
      <c r="AH259" s="5">
        <f>AG259*D259*3</f>
        <v>69.3</v>
      </c>
      <c r="AI259" s="13"/>
      <c r="AK259" s="8">
        <f>AJ259*D259*3</f>
        <v>0</v>
      </c>
      <c r="AL259" s="13"/>
      <c r="AM259">
        <v>30.99</v>
      </c>
      <c r="AN259">
        <v>5.2</v>
      </c>
      <c r="AO259" s="8">
        <f>AN259*D259*3</f>
        <v>51.480000000000004</v>
      </c>
      <c r="AP259">
        <v>12.02</v>
      </c>
      <c r="AQ259">
        <v>10</v>
      </c>
      <c r="AR259">
        <f>AQ259*D259*3</f>
        <v>99</v>
      </c>
      <c r="AT259">
        <v>8.8000000000000007</v>
      </c>
      <c r="AU259">
        <f>AT259*D259*3</f>
        <v>87.12</v>
      </c>
      <c r="AW259">
        <v>23.51</v>
      </c>
      <c r="AX259">
        <v>9.1</v>
      </c>
      <c r="AY259">
        <f>AX259*D259*3</f>
        <v>90.089999999999989</v>
      </c>
      <c r="AZ259">
        <v>23.51</v>
      </c>
      <c r="BA259">
        <v>8.6999999999999993</v>
      </c>
      <c r="BB259">
        <f>BA259*D259*3</f>
        <v>86.13</v>
      </c>
      <c r="BD259">
        <v>9</v>
      </c>
      <c r="BE259">
        <f>BD259*D259*3</f>
        <v>89.1</v>
      </c>
      <c r="BG259" s="10"/>
      <c r="BH259" s="1">
        <f>CHOOSE(MATCH(MIN(ABS(BP259-C259),ABS(BQ259-C259),ABS(BR259-C259)),CHOOSE({1;2;3},ABS(BP259-C259),ABS(BQ259-C259),ABS(BR259-C259)),0),BP259,BQ259,BR259)</f>
        <v>69.3</v>
      </c>
      <c r="BJ259" s="1" cm="1">
        <f t="array" ref="BJ259">(INDEX(_xlfn._xlws.SORT(CHOOSE({1;2;3;4;5;6},BQ259,BR259,L259,AE259,BO259,BP259)),3) + INDEX(_xlfn._xlws.SORT(CHOOSE({1;2;3;4;5;6},BQ259,BR259,L259,AE259,BO259,BP259)),4))/2</f>
        <v>69.794999999999987</v>
      </c>
      <c r="BK259">
        <v>6.5420059045711501</v>
      </c>
      <c r="BL259" t="s">
        <v>6117</v>
      </c>
      <c r="BM259" s="1">
        <f>BK259*3*D259</f>
        <v>64.765858455254389</v>
      </c>
      <c r="BN259" s="1">
        <f>BM259-C259</f>
        <v>0.41585845525439424</v>
      </c>
      <c r="BO259" s="1">
        <f>GK259*3*D259</f>
        <v>39.599999999999994</v>
      </c>
      <c r="BP259" s="1">
        <f>DO259*3*D259</f>
        <v>87.12</v>
      </c>
      <c r="BQ259" s="1">
        <f>FJ259*3*D259</f>
        <v>69.3</v>
      </c>
      <c r="BR259" s="1">
        <f>GL259*3*D259</f>
        <v>29.7</v>
      </c>
      <c r="BT259">
        <v>38.659999999999997</v>
      </c>
      <c r="BU259">
        <v>8.65</v>
      </c>
      <c r="BV259" t="s">
        <v>5018</v>
      </c>
      <c r="BW259" t="s">
        <v>5813</v>
      </c>
      <c r="BX259" t="s">
        <v>5814</v>
      </c>
      <c r="BY259" t="s">
        <v>5815</v>
      </c>
      <c r="BZ259" t="s">
        <v>5816</v>
      </c>
      <c r="CA259" t="s">
        <v>2420</v>
      </c>
      <c r="CC259" t="s">
        <v>2525</v>
      </c>
      <c r="CD259" t="s">
        <v>2627</v>
      </c>
      <c r="CE259" t="s">
        <v>2423</v>
      </c>
      <c r="CG259" t="s">
        <v>2527</v>
      </c>
      <c r="CH259" t="s">
        <v>3250</v>
      </c>
      <c r="CI259" t="s">
        <v>2426</v>
      </c>
      <c r="CJ259" t="s">
        <v>2427</v>
      </c>
      <c r="CK259" t="s">
        <v>2529</v>
      </c>
      <c r="CL259" t="s">
        <v>3251</v>
      </c>
      <c r="CM259" t="s">
        <v>2430</v>
      </c>
      <c r="CO259" t="s">
        <v>3252</v>
      </c>
      <c r="CP259" t="s">
        <v>3253</v>
      </c>
      <c r="CQ259" t="s">
        <v>2433</v>
      </c>
      <c r="CR259" t="s">
        <v>2434</v>
      </c>
      <c r="CS259" t="s">
        <v>2532</v>
      </c>
      <c r="CT259" t="s">
        <v>3255</v>
      </c>
      <c r="CV259">
        <v>9</v>
      </c>
      <c r="CW259">
        <v>9</v>
      </c>
      <c r="CX259">
        <v>8.5</v>
      </c>
      <c r="CY259">
        <v>9.5</v>
      </c>
      <c r="CZ259">
        <v>8</v>
      </c>
      <c r="DA259">
        <v>0.1</v>
      </c>
      <c r="DB259">
        <v>0.1</v>
      </c>
      <c r="DC259">
        <v>0.2</v>
      </c>
      <c r="DD259">
        <v>0.3</v>
      </c>
      <c r="DE259">
        <v>0.3</v>
      </c>
      <c r="DF259">
        <v>0.9</v>
      </c>
      <c r="DG259">
        <v>0.9</v>
      </c>
      <c r="DH259">
        <v>1.7</v>
      </c>
      <c r="DI259">
        <v>2.85</v>
      </c>
      <c r="DJ259">
        <v>2.4</v>
      </c>
      <c r="DK259">
        <v>8.65</v>
      </c>
      <c r="DL259">
        <v>0</v>
      </c>
      <c r="DM259">
        <v>8.65</v>
      </c>
      <c r="DN259">
        <v>8.6999999999999993</v>
      </c>
      <c r="DO259">
        <f>AVERAGE(CV259:CZ259)</f>
        <v>8.8000000000000007</v>
      </c>
      <c r="DQ259">
        <v>14</v>
      </c>
      <c r="DR259" t="s">
        <v>28</v>
      </c>
      <c r="DS259" t="s">
        <v>43</v>
      </c>
      <c r="DT259" t="s">
        <v>44</v>
      </c>
      <c r="DU259" t="s">
        <v>157</v>
      </c>
      <c r="DV259" t="s">
        <v>236</v>
      </c>
      <c r="DW259" t="s">
        <v>3769</v>
      </c>
      <c r="DX259" t="s">
        <v>3770</v>
      </c>
      <c r="DY259" t="s">
        <v>3771</v>
      </c>
      <c r="DZ259" t="s">
        <v>3772</v>
      </c>
      <c r="EA259" t="s">
        <v>3806</v>
      </c>
      <c r="EB259" t="s">
        <v>3807</v>
      </c>
      <c r="EC259" t="s">
        <v>3775</v>
      </c>
      <c r="ED259" t="s">
        <v>3776</v>
      </c>
      <c r="EE259" t="s">
        <v>3819</v>
      </c>
      <c r="EF259" t="s">
        <v>3809</v>
      </c>
      <c r="EG259" t="s">
        <v>4048</v>
      </c>
      <c r="EH259" t="s">
        <v>4015</v>
      </c>
      <c r="EI259" t="s">
        <v>4105</v>
      </c>
      <c r="EJ259" t="s">
        <v>3813</v>
      </c>
      <c r="EK259" t="s">
        <v>4049</v>
      </c>
      <c r="EL259" t="s">
        <v>3815</v>
      </c>
      <c r="EM259" t="s">
        <v>3816</v>
      </c>
      <c r="EN259" t="s">
        <v>3931</v>
      </c>
      <c r="EO259" t="s">
        <v>4164</v>
      </c>
      <c r="EP259" t="s">
        <v>3818</v>
      </c>
      <c r="EQ259">
        <v>7</v>
      </c>
      <c r="ER259">
        <v>8</v>
      </c>
      <c r="ES259">
        <v>7</v>
      </c>
      <c r="ET259">
        <v>7</v>
      </c>
      <c r="EU259">
        <v>7</v>
      </c>
      <c r="EV259">
        <v>0.1</v>
      </c>
      <c r="EW259">
        <v>0.1</v>
      </c>
      <c r="EX259">
        <v>0.2</v>
      </c>
      <c r="EY259">
        <v>0.3</v>
      </c>
      <c r="EZ259">
        <v>0.3</v>
      </c>
      <c r="FA259">
        <f>EV259*EQ259</f>
        <v>0.70000000000000007</v>
      </c>
      <c r="FB259">
        <f>EW259*ER259</f>
        <v>0.8</v>
      </c>
      <c r="FC259">
        <f>EX259*ES259</f>
        <v>1.4000000000000001</v>
      </c>
      <c r="FD259">
        <f>EY259*ET259</f>
        <v>2.1</v>
      </c>
      <c r="FE259">
        <f>EZ259*EU259</f>
        <v>2.1</v>
      </c>
      <c r="FF259">
        <v>14</v>
      </c>
      <c r="FG259">
        <v>0</v>
      </c>
      <c r="FH259">
        <v>14</v>
      </c>
      <c r="FI259">
        <f>FA259+FB259+FC259+FD259+FE259</f>
        <v>7.1</v>
      </c>
      <c r="FJ259">
        <f>MEDIAN(EQ259:EU259)</f>
        <v>7</v>
      </c>
      <c r="FL259">
        <v>45.46</v>
      </c>
      <c r="FM259">
        <v>6.7</v>
      </c>
      <c r="FN259" t="s">
        <v>1829</v>
      </c>
      <c r="FO259" t="s">
        <v>1830</v>
      </c>
      <c r="FP259" t="s">
        <v>1831</v>
      </c>
      <c r="FQ259" t="s">
        <v>1832</v>
      </c>
      <c r="FR259" t="s">
        <v>1833</v>
      </c>
      <c r="FS259">
        <v>2.5</v>
      </c>
      <c r="FT259">
        <v>1.5</v>
      </c>
      <c r="FU259">
        <v>3</v>
      </c>
      <c r="FV259">
        <v>4</v>
      </c>
      <c r="FW259">
        <v>6</v>
      </c>
      <c r="FX259">
        <v>0.1</v>
      </c>
      <c r="FY259">
        <v>0.1</v>
      </c>
      <c r="FZ259">
        <v>0.2</v>
      </c>
      <c r="GA259">
        <v>0.3</v>
      </c>
      <c r="GB259">
        <v>0.3</v>
      </c>
      <c r="GC259">
        <f>FS259*FX259</f>
        <v>0.25</v>
      </c>
      <c r="GD259">
        <f>FT259*FY259</f>
        <v>0.15000000000000002</v>
      </c>
      <c r="GE259">
        <f>FU259*FZ259</f>
        <v>0.60000000000000009</v>
      </c>
      <c r="GF259">
        <f>FV259*GA259</f>
        <v>1.2</v>
      </c>
      <c r="GG259">
        <f>FW259*GB259</f>
        <v>1.7999999999999998</v>
      </c>
      <c r="GH259">
        <v>5.7</v>
      </c>
      <c r="GJ259">
        <v>6.7</v>
      </c>
      <c r="GK259">
        <f>GC259+GD259+GE259+GF259+GG259</f>
        <v>4</v>
      </c>
      <c r="GL259">
        <f>MEDIAN(FS259:FW259)</f>
        <v>3</v>
      </c>
    </row>
    <row r="260" spans="1:194" hidden="1" x14ac:dyDescent="0.25">
      <c r="A260">
        <v>259</v>
      </c>
      <c r="B260" t="s">
        <v>2</v>
      </c>
      <c r="C260" s="4">
        <v>81.599999999999994</v>
      </c>
      <c r="D260">
        <v>3.2</v>
      </c>
      <c r="E260" s="1">
        <f>C260/3/D260</f>
        <v>8.5</v>
      </c>
      <c r="G260">
        <v>37.020000000000003</v>
      </c>
      <c r="H260">
        <v>8.6999999999999993</v>
      </c>
      <c r="I260">
        <f>H260*D260*3</f>
        <v>83.52</v>
      </c>
      <c r="J260">
        <v>17.66</v>
      </c>
      <c r="K260">
        <v>8.4</v>
      </c>
      <c r="L260" s="3">
        <f>K260*3*D260</f>
        <v>80.640000000000015</v>
      </c>
      <c r="M260">
        <v>4.5199999999999996</v>
      </c>
      <c r="N260">
        <v>5</v>
      </c>
      <c r="O260">
        <f>N260*D260*3</f>
        <v>48</v>
      </c>
      <c r="P260" s="5">
        <v>7.3</v>
      </c>
      <c r="Q260" s="5">
        <f>P260*D260*3</f>
        <v>70.08</v>
      </c>
      <c r="S260" t="s">
        <v>6388</v>
      </c>
      <c r="T260">
        <v>5.5</v>
      </c>
      <c r="U260" s="8">
        <f>T260*D260*3</f>
        <v>52.800000000000004</v>
      </c>
      <c r="V260">
        <v>31.42</v>
      </c>
      <c r="W260">
        <v>8.4</v>
      </c>
      <c r="X260" s="5">
        <f>W260*D260*3</f>
        <v>80.640000000000015</v>
      </c>
      <c r="Y260">
        <v>8.89</v>
      </c>
      <c r="Z260">
        <v>6</v>
      </c>
      <c r="AA260">
        <f>Z260*D260*3</f>
        <v>57.600000000000009</v>
      </c>
      <c r="AC260">
        <v>127.17</v>
      </c>
      <c r="AD260">
        <v>7.9</v>
      </c>
      <c r="AE260" s="1">
        <f>AD260*3*D260</f>
        <v>75.840000000000018</v>
      </c>
      <c r="AF260">
        <v>11.99</v>
      </c>
      <c r="AG260" s="5">
        <v>7</v>
      </c>
      <c r="AH260" s="5">
        <f>AG260*D260*3</f>
        <v>67.2</v>
      </c>
      <c r="AI260" s="13"/>
      <c r="AK260" s="8">
        <f>AJ260*D260*3</f>
        <v>0</v>
      </c>
      <c r="AL260" s="13"/>
      <c r="AM260">
        <v>32.33</v>
      </c>
      <c r="AN260">
        <v>7.1</v>
      </c>
      <c r="AO260" s="8">
        <f>AN260*D260*3</f>
        <v>68.16</v>
      </c>
      <c r="AP260">
        <v>13.04</v>
      </c>
      <c r="AQ260">
        <v>10</v>
      </c>
      <c r="AR260">
        <f>AQ260*D260*3</f>
        <v>96</v>
      </c>
      <c r="AT260">
        <v>8.9</v>
      </c>
      <c r="AU260">
        <f>AT260*D260*3</f>
        <v>85.440000000000012</v>
      </c>
      <c r="AW260">
        <v>24.77</v>
      </c>
      <c r="AX260">
        <v>9</v>
      </c>
      <c r="AY260">
        <f>AX260*D260*3</f>
        <v>86.4</v>
      </c>
      <c r="AZ260">
        <v>24.77</v>
      </c>
      <c r="BA260">
        <v>9</v>
      </c>
      <c r="BB260">
        <f>BA260*D260*3</f>
        <v>86.4</v>
      </c>
      <c r="BD260">
        <v>9</v>
      </c>
      <c r="BE260">
        <f>BD260*D260*3</f>
        <v>86.4</v>
      </c>
      <c r="BG260" s="10"/>
      <c r="BH260" s="1">
        <f>CHOOSE(MATCH(MIN(ABS(BP260-C260),ABS(BQ260-C260),ABS(BR260-C260)),CHOOSE({1;2;3},ABS(BP260-C260),ABS(BQ260-C260),ABS(BR260-C260)),0),BP260,BQ260,BR260)</f>
        <v>84.480000000000018</v>
      </c>
      <c r="BJ260" s="1" cm="1">
        <f t="array" ref="BJ260">(INDEX(_xlfn._xlws.SORT(CHOOSE({1;2;3;4;5;6},BQ260,BR260,L260,AE260,BO260,BP260)),3) + INDEX(_xlfn._xlws.SORT(CHOOSE({1;2;3;4;5;6},BQ260,BR260,L260,AE260,BO260,BP260)),4))/2</f>
        <v>76.320000000000022</v>
      </c>
      <c r="BK260">
        <v>8.4499115871526502</v>
      </c>
      <c r="BL260" t="s">
        <v>6117</v>
      </c>
      <c r="BM260" s="1">
        <f>BK260*3*D260</f>
        <v>81.119151236665459</v>
      </c>
      <c r="BN260" s="1">
        <f>BM260-C260</f>
        <v>-0.48084876333453508</v>
      </c>
      <c r="BO260" s="1">
        <f>GK260*3*D260</f>
        <v>39.36</v>
      </c>
      <c r="BP260" s="1">
        <f>DO260*3*D260</f>
        <v>84.480000000000018</v>
      </c>
      <c r="BQ260" s="1">
        <f>FJ260*3*D260</f>
        <v>76.800000000000011</v>
      </c>
      <c r="BR260" s="1">
        <f>GL260*3*D260</f>
        <v>38.400000000000006</v>
      </c>
      <c r="BT260">
        <v>37.020000000000003</v>
      </c>
      <c r="BU260">
        <v>8.6999999999999993</v>
      </c>
      <c r="BV260" t="s">
        <v>5028</v>
      </c>
      <c r="BW260" t="s">
        <v>5004</v>
      </c>
      <c r="BX260" t="s">
        <v>5029</v>
      </c>
      <c r="BY260" t="s">
        <v>5749</v>
      </c>
      <c r="BZ260" t="s">
        <v>5054</v>
      </c>
      <c r="CA260" t="s">
        <v>2437</v>
      </c>
      <c r="CC260" t="s">
        <v>2548</v>
      </c>
      <c r="CD260" t="s">
        <v>2508</v>
      </c>
      <c r="CE260" t="s">
        <v>2440</v>
      </c>
      <c r="CG260" t="s">
        <v>2509</v>
      </c>
      <c r="CH260" t="s">
        <v>2963</v>
      </c>
      <c r="CI260" t="s">
        <v>2443</v>
      </c>
      <c r="CK260" t="s">
        <v>2655</v>
      </c>
      <c r="CL260" t="s">
        <v>2964</v>
      </c>
      <c r="CM260" t="s">
        <v>2521</v>
      </c>
      <c r="CO260" t="s">
        <v>3436</v>
      </c>
      <c r="CP260" t="s">
        <v>2966</v>
      </c>
      <c r="CQ260" t="s">
        <v>2449</v>
      </c>
      <c r="CR260" t="s">
        <v>2515</v>
      </c>
      <c r="CS260" t="s">
        <v>2952</v>
      </c>
      <c r="CT260" t="s">
        <v>3437</v>
      </c>
      <c r="CV260">
        <v>9</v>
      </c>
      <c r="CW260">
        <v>9</v>
      </c>
      <c r="CX260">
        <v>9</v>
      </c>
      <c r="CY260">
        <v>9</v>
      </c>
      <c r="CZ260">
        <v>8</v>
      </c>
      <c r="DA260">
        <v>0.1</v>
      </c>
      <c r="DB260">
        <v>0.1</v>
      </c>
      <c r="DC260">
        <v>0.2</v>
      </c>
      <c r="DD260">
        <v>0.3</v>
      </c>
      <c r="DE260">
        <v>0.3</v>
      </c>
      <c r="DF260">
        <v>0.9</v>
      </c>
      <c r="DG260">
        <v>0.9</v>
      </c>
      <c r="DH260">
        <v>1.8</v>
      </c>
      <c r="DI260">
        <v>2.7</v>
      </c>
      <c r="DJ260">
        <v>2.4</v>
      </c>
      <c r="DK260">
        <v>8.6999999999999993</v>
      </c>
      <c r="DL260">
        <v>0</v>
      </c>
      <c r="DM260">
        <v>8.6999999999999993</v>
      </c>
      <c r="DN260">
        <v>8.4</v>
      </c>
      <c r="DO260">
        <f>AVERAGE(CV260:CZ260)</f>
        <v>8.8000000000000007</v>
      </c>
      <c r="DQ260">
        <v>8</v>
      </c>
      <c r="DR260" t="s">
        <v>213</v>
      </c>
      <c r="DS260" t="s">
        <v>29</v>
      </c>
      <c r="DT260" t="s">
        <v>214</v>
      </c>
      <c r="DU260" t="s">
        <v>453</v>
      </c>
      <c r="DV260" t="s">
        <v>216</v>
      </c>
      <c r="DW260" t="s">
        <v>3836</v>
      </c>
      <c r="DX260" t="s">
        <v>3770</v>
      </c>
      <c r="DY260" t="s">
        <v>3771</v>
      </c>
      <c r="DZ260" t="s">
        <v>3772</v>
      </c>
      <c r="EA260" t="s">
        <v>3860</v>
      </c>
      <c r="EB260" t="s">
        <v>3807</v>
      </c>
      <c r="EC260" t="s">
        <v>3775</v>
      </c>
      <c r="ED260" t="s">
        <v>3776</v>
      </c>
      <c r="EE260" t="s">
        <v>3946</v>
      </c>
      <c r="EF260" t="s">
        <v>3809</v>
      </c>
      <c r="EG260" t="s">
        <v>3810</v>
      </c>
      <c r="EH260" t="s">
        <v>3811</v>
      </c>
      <c r="EI260" t="s">
        <v>4758</v>
      </c>
      <c r="EJ260" t="s">
        <v>3813</v>
      </c>
      <c r="EK260" t="s">
        <v>3855</v>
      </c>
      <c r="EL260" t="s">
        <v>4591</v>
      </c>
      <c r="EM260" t="s">
        <v>3949</v>
      </c>
      <c r="EN260" t="s">
        <v>3809</v>
      </c>
      <c r="EO260" t="s">
        <v>4252</v>
      </c>
      <c r="EP260" t="s">
        <v>3811</v>
      </c>
      <c r="EQ260">
        <v>7</v>
      </c>
      <c r="ER260">
        <v>8</v>
      </c>
      <c r="ES260">
        <v>8</v>
      </c>
      <c r="ET260">
        <v>8</v>
      </c>
      <c r="EU260">
        <v>8</v>
      </c>
      <c r="EV260">
        <v>0.1</v>
      </c>
      <c r="EW260">
        <v>0.1</v>
      </c>
      <c r="EX260">
        <v>0.2</v>
      </c>
      <c r="EY260">
        <v>0.3</v>
      </c>
      <c r="EZ260">
        <v>0.3</v>
      </c>
      <c r="FA260">
        <f>EV260*EQ260</f>
        <v>0.70000000000000007</v>
      </c>
      <c r="FB260">
        <f>EW260*ER260</f>
        <v>0.8</v>
      </c>
      <c r="FC260">
        <f>EX260*ES260</f>
        <v>1.6</v>
      </c>
      <c r="FD260">
        <f>EY260*ET260</f>
        <v>2.4</v>
      </c>
      <c r="FE260">
        <f>EZ260*EU260</f>
        <v>2.4</v>
      </c>
      <c r="FF260">
        <v>16</v>
      </c>
      <c r="FG260">
        <v>0</v>
      </c>
      <c r="FH260">
        <v>8</v>
      </c>
      <c r="FI260">
        <f>FA260+FB260+FC260+FD260+FE260</f>
        <v>7.9</v>
      </c>
      <c r="FJ260">
        <f>MEDIAN(EQ260:EU260)</f>
        <v>8</v>
      </c>
      <c r="FL260">
        <v>38.6</v>
      </c>
      <c r="FM260">
        <v>7</v>
      </c>
      <c r="FN260" t="s">
        <v>1834</v>
      </c>
      <c r="FO260" t="s">
        <v>1018</v>
      </c>
      <c r="FP260" t="s">
        <v>1019</v>
      </c>
      <c r="FQ260" t="s">
        <v>843</v>
      </c>
      <c r="FR260" t="s">
        <v>1835</v>
      </c>
      <c r="FS260">
        <v>4</v>
      </c>
      <c r="FT260">
        <v>3</v>
      </c>
      <c r="FU260">
        <v>2</v>
      </c>
      <c r="FV260">
        <v>4</v>
      </c>
      <c r="FW260">
        <v>6</v>
      </c>
      <c r="FX260">
        <v>0.1</v>
      </c>
      <c r="FY260">
        <v>0.1</v>
      </c>
      <c r="FZ260">
        <v>0.2</v>
      </c>
      <c r="GA260">
        <v>0.3</v>
      </c>
      <c r="GB260">
        <v>0.3</v>
      </c>
      <c r="GC260">
        <f>FS260*FX260</f>
        <v>0.4</v>
      </c>
      <c r="GD260">
        <f>FT260*FY260</f>
        <v>0.30000000000000004</v>
      </c>
      <c r="GE260">
        <f>FU260*FZ260</f>
        <v>0.4</v>
      </c>
      <c r="GF260">
        <f>FV260*GA260</f>
        <v>1.2</v>
      </c>
      <c r="GG260">
        <f>FW260*GB260</f>
        <v>1.7999999999999998</v>
      </c>
      <c r="GH260">
        <v>7</v>
      </c>
      <c r="GI260">
        <v>0</v>
      </c>
      <c r="GJ260">
        <v>7</v>
      </c>
      <c r="GK260">
        <f>GC260+GD260+GE260+GF260+GG260</f>
        <v>4.0999999999999996</v>
      </c>
      <c r="GL260">
        <f>MEDIAN(FS260:FW260)</f>
        <v>4</v>
      </c>
    </row>
    <row r="261" spans="1:194" hidden="1" x14ac:dyDescent="0.25">
      <c r="A261">
        <v>260</v>
      </c>
      <c r="B261" t="s">
        <v>2</v>
      </c>
      <c r="C261" s="4">
        <v>72.599999999999994</v>
      </c>
      <c r="D261">
        <v>3.3</v>
      </c>
      <c r="E261" s="1">
        <f>C261/3/D261</f>
        <v>7.3333333333333339</v>
      </c>
      <c r="G261">
        <v>35.35</v>
      </c>
      <c r="H261">
        <v>8.1999999999999993</v>
      </c>
      <c r="I261">
        <f>H261*D261*3</f>
        <v>81.179999999999978</v>
      </c>
      <c r="J261">
        <v>17.73</v>
      </c>
      <c r="K261">
        <v>8.4</v>
      </c>
      <c r="L261" s="3">
        <f>K261*3*D261</f>
        <v>83.160000000000011</v>
      </c>
      <c r="M261">
        <v>4.5</v>
      </c>
      <c r="N261">
        <v>6</v>
      </c>
      <c r="O261">
        <f>N261*D261*3</f>
        <v>59.399999999999991</v>
      </c>
      <c r="P261" s="5">
        <v>7</v>
      </c>
      <c r="Q261" s="5">
        <f>P261*D261*3</f>
        <v>69.3</v>
      </c>
      <c r="S261" t="s">
        <v>6389</v>
      </c>
      <c r="T261">
        <v>7.2</v>
      </c>
      <c r="U261" s="8">
        <f>T261*D261*3</f>
        <v>71.28</v>
      </c>
      <c r="V261">
        <v>30.35</v>
      </c>
      <c r="W261">
        <v>9</v>
      </c>
      <c r="X261" s="5">
        <f>W261*D261*3</f>
        <v>89.1</v>
      </c>
      <c r="Y261">
        <v>10.14</v>
      </c>
      <c r="Z261">
        <v>7.8</v>
      </c>
      <c r="AA261">
        <f>Z261*D261*3</f>
        <v>77.22</v>
      </c>
      <c r="AC261">
        <v>120.94</v>
      </c>
      <c r="AD261">
        <v>8</v>
      </c>
      <c r="AE261" s="1">
        <f>AD261*3*D261</f>
        <v>79.199999999999989</v>
      </c>
      <c r="AF261">
        <v>12.08</v>
      </c>
      <c r="AH261" s="5">
        <f>AG261*D261*3</f>
        <v>0</v>
      </c>
      <c r="AI261" s="13"/>
      <c r="AJ261">
        <v>2.7</v>
      </c>
      <c r="AK261" s="8">
        <f>AJ261*D261*3</f>
        <v>26.73</v>
      </c>
      <c r="AL261" s="13"/>
      <c r="AM261">
        <v>30.74</v>
      </c>
      <c r="AN261">
        <v>7.3</v>
      </c>
      <c r="AO261" s="8">
        <f>AN261*D261*3</f>
        <v>72.27</v>
      </c>
      <c r="AP261">
        <v>13.89</v>
      </c>
      <c r="AQ261">
        <v>8.5</v>
      </c>
      <c r="AR261">
        <f>AQ261*D261*3</f>
        <v>84.149999999999991</v>
      </c>
      <c r="AT261">
        <v>8.9</v>
      </c>
      <c r="AU261">
        <f>AT261*D261*3</f>
        <v>88.11</v>
      </c>
      <c r="AX261">
        <v>9.6</v>
      </c>
      <c r="AY261">
        <f>AX261*D261*3</f>
        <v>95.039999999999992</v>
      </c>
      <c r="BA261">
        <v>9.1</v>
      </c>
      <c r="BB261">
        <f>BA261*D261*3</f>
        <v>90.089999999999989</v>
      </c>
      <c r="BD261">
        <v>9</v>
      </c>
      <c r="BE261">
        <f>BD261*D261*3</f>
        <v>89.1</v>
      </c>
      <c r="BG261" s="10"/>
      <c r="BH261" s="1">
        <f>CHOOSE(MATCH(MIN(ABS(BP261-C261),ABS(BQ261-C261),ABS(BR261-C261)),CHOOSE({1;2;3},ABS(BP261-C261),ABS(BQ261-C261),ABS(BR261-C261)),0),BP261,BQ261,BR261)</f>
        <v>79.199999999999989</v>
      </c>
      <c r="BJ261" s="1" cm="1">
        <f t="array" ref="BJ261">(INDEX(_xlfn._xlws.SORT(CHOOSE({1;2;3;4;5;6},BQ261,BR261,L261,AE261,BO261,BP261)),3) + INDEX(_xlfn._xlws.SORT(CHOOSE({1;2;3;4;5;6},BQ261,BR261,L261,AE261,BO261,BP261)),4))/2</f>
        <v>79.199999999999989</v>
      </c>
      <c r="BK261">
        <v>7.3518693659886898</v>
      </c>
      <c r="BL261" t="s">
        <v>6117</v>
      </c>
      <c r="BM261" s="1">
        <f>BK261*3*D261</f>
        <v>72.783506723288028</v>
      </c>
      <c r="BN261" s="1">
        <f>BM261-C261</f>
        <v>0.18350672328803341</v>
      </c>
      <c r="BO261" s="1">
        <f>GK261*3*D261</f>
        <v>59.4</v>
      </c>
      <c r="BP261" s="1">
        <f>DO261*3*D261</f>
        <v>89.1</v>
      </c>
      <c r="BQ261" s="1">
        <f>FJ261*3*D261</f>
        <v>79.199999999999989</v>
      </c>
      <c r="BR261" s="1">
        <f>GL261*3*D261</f>
        <v>64.349999999999994</v>
      </c>
      <c r="BT261">
        <v>35.35</v>
      </c>
      <c r="BU261">
        <v>8.1999999999999993</v>
      </c>
      <c r="BV261" t="s">
        <v>5134</v>
      </c>
      <c r="BW261" t="s">
        <v>5311</v>
      </c>
      <c r="BX261" t="s">
        <v>5327</v>
      </c>
      <c r="BY261" t="s">
        <v>5817</v>
      </c>
      <c r="BZ261" t="s">
        <v>5031</v>
      </c>
      <c r="CA261" t="s">
        <v>2437</v>
      </c>
      <c r="CC261" t="s">
        <v>2518</v>
      </c>
      <c r="CD261" t="s">
        <v>2508</v>
      </c>
      <c r="CE261" t="s">
        <v>2440</v>
      </c>
      <c r="CG261" t="s">
        <v>3438</v>
      </c>
      <c r="CH261" t="s">
        <v>2510</v>
      </c>
      <c r="CI261" t="s">
        <v>2443</v>
      </c>
      <c r="CK261" t="s">
        <v>3179</v>
      </c>
      <c r="CL261" t="s">
        <v>2512</v>
      </c>
      <c r="CM261" t="s">
        <v>2446</v>
      </c>
      <c r="CO261" t="s">
        <v>3439</v>
      </c>
      <c r="CP261" t="s">
        <v>2514</v>
      </c>
      <c r="CQ261" t="s">
        <v>2449</v>
      </c>
      <c r="CS261" t="s">
        <v>3181</v>
      </c>
      <c r="CT261" t="s">
        <v>2524</v>
      </c>
      <c r="CV261">
        <v>9</v>
      </c>
      <c r="CW261">
        <v>9</v>
      </c>
      <c r="CX261">
        <v>9</v>
      </c>
      <c r="CY261">
        <v>9</v>
      </c>
      <c r="CZ261">
        <v>9</v>
      </c>
      <c r="DA261">
        <v>0.1</v>
      </c>
      <c r="DB261">
        <v>0.1</v>
      </c>
      <c r="DC261">
        <v>0.2</v>
      </c>
      <c r="DD261">
        <v>0.3</v>
      </c>
      <c r="DE261">
        <v>0.3</v>
      </c>
      <c r="DF261">
        <v>0.9</v>
      </c>
      <c r="DG261">
        <v>0.9</v>
      </c>
      <c r="DH261">
        <v>1.8</v>
      </c>
      <c r="DI261">
        <v>2.7</v>
      </c>
      <c r="DJ261">
        <v>2.7</v>
      </c>
      <c r="DK261">
        <v>8.1999999999999993</v>
      </c>
      <c r="DL261">
        <v>0</v>
      </c>
      <c r="DM261">
        <v>8.1999999999999993</v>
      </c>
      <c r="DN261">
        <v>8.4</v>
      </c>
      <c r="DO261">
        <f>AVERAGE(CV261:CZ261)</f>
        <v>9</v>
      </c>
      <c r="DQ261" t="s">
        <v>27</v>
      </c>
      <c r="DR261" t="s">
        <v>131</v>
      </c>
      <c r="DS261" t="s">
        <v>454</v>
      </c>
      <c r="DT261" t="s">
        <v>455</v>
      </c>
      <c r="DU261" t="s">
        <v>456</v>
      </c>
      <c r="DV261" t="s">
        <v>457</v>
      </c>
      <c r="DW261" t="s">
        <v>3788</v>
      </c>
      <c r="DX261" t="s">
        <v>3789</v>
      </c>
      <c r="DY261" t="s">
        <v>4066</v>
      </c>
      <c r="DZ261" t="s">
        <v>4005</v>
      </c>
      <c r="EA261" t="s">
        <v>4536</v>
      </c>
      <c r="EB261" t="s">
        <v>3793</v>
      </c>
      <c r="EC261" t="s">
        <v>4759</v>
      </c>
      <c r="ED261" t="s">
        <v>4005</v>
      </c>
      <c r="EE261" t="s">
        <v>3937</v>
      </c>
      <c r="EF261" t="s">
        <v>3797</v>
      </c>
      <c r="EG261" t="s">
        <v>4067</v>
      </c>
      <c r="EH261" t="s">
        <v>4005</v>
      </c>
      <c r="EI261" t="s">
        <v>3981</v>
      </c>
      <c r="EJ261" t="s">
        <v>3800</v>
      </c>
      <c r="EK261" t="s">
        <v>4011</v>
      </c>
      <c r="EL261" t="s">
        <v>4005</v>
      </c>
      <c r="EM261" t="s">
        <v>4760</v>
      </c>
      <c r="EN261" t="s">
        <v>3803</v>
      </c>
      <c r="EO261" t="s">
        <v>4013</v>
      </c>
      <c r="EP261" t="s">
        <v>4005</v>
      </c>
      <c r="EQ261">
        <v>8</v>
      </c>
      <c r="ER261">
        <v>8</v>
      </c>
      <c r="ES261">
        <v>8</v>
      </c>
      <c r="ET261">
        <v>8</v>
      </c>
      <c r="EU261">
        <v>8</v>
      </c>
      <c r="EV261">
        <v>0.1</v>
      </c>
      <c r="EW261">
        <v>0.1</v>
      </c>
      <c r="EX261">
        <v>0.2</v>
      </c>
      <c r="EY261">
        <v>0.3</v>
      </c>
      <c r="EZ261">
        <v>0.3</v>
      </c>
      <c r="FA261">
        <f>EV261*EQ261</f>
        <v>0.8</v>
      </c>
      <c r="FB261">
        <f>EW261*ER261</f>
        <v>0.8</v>
      </c>
      <c r="FC261">
        <f>EX261*ES261</f>
        <v>1.6</v>
      </c>
      <c r="FD261">
        <f>EY261*ET261</f>
        <v>2.4</v>
      </c>
      <c r="FE261">
        <f>EZ261*EU261</f>
        <v>2.4</v>
      </c>
      <c r="FF261">
        <v>16</v>
      </c>
      <c r="FG261">
        <v>0</v>
      </c>
      <c r="FH261">
        <v>8</v>
      </c>
      <c r="FI261">
        <f>FA261+FB261+FC261+FD261+FE261</f>
        <v>8</v>
      </c>
      <c r="FJ261">
        <f>MEDIAN(EQ261:EU261)</f>
        <v>8</v>
      </c>
      <c r="FL261">
        <v>36.4</v>
      </c>
      <c r="FM261">
        <v>2.5</v>
      </c>
      <c r="FN261" t="s">
        <v>1836</v>
      </c>
      <c r="FO261" t="s">
        <v>1837</v>
      </c>
      <c r="FP261" t="s">
        <v>1838</v>
      </c>
      <c r="FQ261" t="s">
        <v>1839</v>
      </c>
      <c r="FR261" t="s">
        <v>1840</v>
      </c>
      <c r="FS261">
        <v>6.5</v>
      </c>
      <c r="FT261">
        <v>8</v>
      </c>
      <c r="FU261">
        <v>7</v>
      </c>
      <c r="FV261">
        <v>6</v>
      </c>
      <c r="FW261">
        <v>4.5</v>
      </c>
      <c r="FX261">
        <v>0.1</v>
      </c>
      <c r="FY261">
        <v>0.1</v>
      </c>
      <c r="FZ261">
        <v>0.2</v>
      </c>
      <c r="GA261">
        <v>0.3</v>
      </c>
      <c r="GB261">
        <v>0.3</v>
      </c>
      <c r="GC261">
        <f>FS261*FX261</f>
        <v>0.65</v>
      </c>
      <c r="GD261">
        <f>FT261*FY261</f>
        <v>0.8</v>
      </c>
      <c r="GE261">
        <f>FU261*FZ261</f>
        <v>1.4000000000000001</v>
      </c>
      <c r="GF261">
        <f>FV261*GA261</f>
        <v>1.7999999999999998</v>
      </c>
      <c r="GG261">
        <f>FW261*GB261</f>
        <v>1.3499999999999999</v>
      </c>
      <c r="GH261">
        <v>6.95</v>
      </c>
      <c r="GI261">
        <v>-0.45</v>
      </c>
      <c r="GJ261">
        <v>2.5</v>
      </c>
      <c r="GK261">
        <f>GC261+GD261+GE261+GF261+GG261</f>
        <v>6</v>
      </c>
      <c r="GL261">
        <f>MEDIAN(FS261:FW261)</f>
        <v>6.5</v>
      </c>
    </row>
    <row r="262" spans="1:194" hidden="1" x14ac:dyDescent="0.25">
      <c r="A262">
        <v>261</v>
      </c>
      <c r="B262" t="s">
        <v>2</v>
      </c>
      <c r="C262" s="4">
        <v>55.8</v>
      </c>
      <c r="D262">
        <v>3.6</v>
      </c>
      <c r="E262" s="1">
        <f>C262/3/D262</f>
        <v>5.1666666666666661</v>
      </c>
      <c r="G262">
        <v>38.35</v>
      </c>
      <c r="H262">
        <v>7.8</v>
      </c>
      <c r="I262">
        <f>H262*D262*3</f>
        <v>84.24</v>
      </c>
      <c r="J262">
        <v>18.54</v>
      </c>
      <c r="K262">
        <v>8.4</v>
      </c>
      <c r="L262" s="3">
        <f>K262*3*D262</f>
        <v>90.720000000000013</v>
      </c>
      <c r="M262">
        <v>5.39</v>
      </c>
      <c r="N262">
        <v>5</v>
      </c>
      <c r="O262">
        <f>N262*D262*3</f>
        <v>54</v>
      </c>
      <c r="P262" s="5">
        <v>7</v>
      </c>
      <c r="Q262" s="5">
        <f>P262*D262*3</f>
        <v>75.599999999999994</v>
      </c>
      <c r="S262" t="s">
        <v>6390</v>
      </c>
      <c r="T262">
        <v>5.5</v>
      </c>
      <c r="U262" s="8">
        <f>T262*D262*3</f>
        <v>59.400000000000006</v>
      </c>
      <c r="V262">
        <v>30.75</v>
      </c>
      <c r="W262">
        <v>8.6999999999999993</v>
      </c>
      <c r="X262" s="5">
        <f>W262*D262*3</f>
        <v>93.96</v>
      </c>
      <c r="Y262">
        <v>11.31</v>
      </c>
      <c r="Z262">
        <v>7.8</v>
      </c>
      <c r="AA262">
        <f>Z262*D262*3</f>
        <v>84.24</v>
      </c>
      <c r="AC262">
        <v>135.77000000000001</v>
      </c>
      <c r="AD262">
        <v>8</v>
      </c>
      <c r="AE262" s="1">
        <f>AD262*3*D262</f>
        <v>86.4</v>
      </c>
      <c r="AF262">
        <v>11.84</v>
      </c>
      <c r="AG262" s="5">
        <v>7</v>
      </c>
      <c r="AH262" s="5">
        <f>AG262*D262*3</f>
        <v>75.599999999999994</v>
      </c>
      <c r="AI262" s="13"/>
      <c r="AJ262">
        <v>7.2</v>
      </c>
      <c r="AK262" s="8">
        <f>AJ262*D262*3</f>
        <v>77.760000000000005</v>
      </c>
      <c r="AL262" s="13"/>
      <c r="AM262">
        <v>31.48</v>
      </c>
      <c r="AN262">
        <v>7</v>
      </c>
      <c r="AO262" s="8">
        <f>AN262*D262*3</f>
        <v>75.599999999999994</v>
      </c>
      <c r="AP262">
        <v>15.22</v>
      </c>
      <c r="AQ262">
        <v>10</v>
      </c>
      <c r="AR262">
        <f>AQ262*D262*3</f>
        <v>108</v>
      </c>
      <c r="AT262">
        <v>8.3000000000000007</v>
      </c>
      <c r="AU262">
        <f>AT262*D262*3</f>
        <v>89.640000000000015</v>
      </c>
      <c r="AX262">
        <v>9.4</v>
      </c>
      <c r="AY262">
        <f>AX262*D262*3</f>
        <v>101.52000000000001</v>
      </c>
      <c r="BA262">
        <v>8.9</v>
      </c>
      <c r="BB262">
        <f>BA262*D262*3</f>
        <v>96.12</v>
      </c>
      <c r="BD262">
        <v>8.6</v>
      </c>
      <c r="BE262">
        <f>BD262*D262*3</f>
        <v>92.88</v>
      </c>
      <c r="BG262" s="10"/>
      <c r="BH262" s="1">
        <f>CHOOSE(MATCH(MIN(ABS(BP262-C262),ABS(BQ262-C262),ABS(BR262-C262)),CHOOSE({1;2;3},ABS(BP262-C262),ABS(BQ262-C262),ABS(BR262-C262)),0),BP262,BQ262,BR262)</f>
        <v>54</v>
      </c>
      <c r="BJ262" s="1" cm="1">
        <f t="array" ref="BJ262">(INDEX(_xlfn._xlws.SORT(CHOOSE({1;2;3;4;5;6},BQ262,BR262,L262,AE262,BO262,BP262)),3) + INDEX(_xlfn._xlws.SORT(CHOOSE({1;2;3;4;5;6},BQ262,BR262,L262,AE262,BO262,BP262)),4))/2</f>
        <v>86.4</v>
      </c>
      <c r="BK262">
        <v>5.2239359282583004</v>
      </c>
      <c r="BL262" t="s">
        <v>6117</v>
      </c>
      <c r="BM262" s="1">
        <f>BK262*3*D262</f>
        <v>56.418508025189652</v>
      </c>
      <c r="BN262" s="1">
        <f>BM262-C262</f>
        <v>0.61850802518965509</v>
      </c>
      <c r="BO262" s="1">
        <f>GK262*3*D262</f>
        <v>52.92</v>
      </c>
      <c r="BP262" s="1">
        <f>DO262*3*D262</f>
        <v>88.559999999999988</v>
      </c>
      <c r="BQ262" s="1">
        <f>FJ262*3*D262</f>
        <v>86.4</v>
      </c>
      <c r="BR262" s="1">
        <f>GL262*3*D262</f>
        <v>54</v>
      </c>
      <c r="BT262">
        <v>38.35</v>
      </c>
      <c r="BU262">
        <v>7.8</v>
      </c>
      <c r="BV262" t="s">
        <v>5018</v>
      </c>
      <c r="BW262" t="s">
        <v>5019</v>
      </c>
      <c r="BX262" t="s">
        <v>5020</v>
      </c>
      <c r="BY262" t="s">
        <v>5818</v>
      </c>
      <c r="BZ262" t="s">
        <v>5258</v>
      </c>
      <c r="CA262" t="s">
        <v>2437</v>
      </c>
      <c r="CC262" t="s">
        <v>2438</v>
      </c>
      <c r="CD262" t="s">
        <v>2439</v>
      </c>
      <c r="CE262" t="s">
        <v>2440</v>
      </c>
      <c r="CG262" t="s">
        <v>2647</v>
      </c>
      <c r="CH262" t="s">
        <v>2648</v>
      </c>
      <c r="CI262" t="s">
        <v>2535</v>
      </c>
      <c r="CK262" t="s">
        <v>2649</v>
      </c>
      <c r="CL262" t="s">
        <v>2650</v>
      </c>
      <c r="CM262" t="s">
        <v>2446</v>
      </c>
      <c r="CO262" t="s">
        <v>2651</v>
      </c>
      <c r="CP262" t="s">
        <v>2652</v>
      </c>
      <c r="CQ262" t="s">
        <v>3202</v>
      </c>
      <c r="CR262" t="s">
        <v>3202</v>
      </c>
      <c r="CS262" t="s">
        <v>3440</v>
      </c>
      <c r="CT262" t="s">
        <v>3441</v>
      </c>
      <c r="CV262">
        <v>9</v>
      </c>
      <c r="CW262">
        <v>9</v>
      </c>
      <c r="CX262">
        <v>9</v>
      </c>
      <c r="CY262">
        <v>9</v>
      </c>
      <c r="CZ262">
        <v>5</v>
      </c>
      <c r="DA262">
        <v>0.1</v>
      </c>
      <c r="DB262">
        <v>0.1</v>
      </c>
      <c r="DC262">
        <v>0.2</v>
      </c>
      <c r="DD262">
        <v>0.3</v>
      </c>
      <c r="DE262">
        <v>0.3</v>
      </c>
      <c r="DF262">
        <v>0.9</v>
      </c>
      <c r="DG262">
        <v>0.9</v>
      </c>
      <c r="DH262">
        <v>1.8</v>
      </c>
      <c r="DI262">
        <v>2.7</v>
      </c>
      <c r="DJ262">
        <v>1.5</v>
      </c>
      <c r="DK262">
        <v>7.8</v>
      </c>
      <c r="DL262">
        <v>0</v>
      </c>
      <c r="DM262">
        <v>7.8</v>
      </c>
      <c r="DN262">
        <v>8.4</v>
      </c>
      <c r="DO262">
        <f>AVERAGE(CV262:CZ262)</f>
        <v>8.1999999999999993</v>
      </c>
      <c r="DQ262" t="s">
        <v>27</v>
      </c>
      <c r="DR262" t="s">
        <v>52</v>
      </c>
      <c r="DS262" t="s">
        <v>61</v>
      </c>
      <c r="DT262" t="s">
        <v>458</v>
      </c>
      <c r="DU262" t="s">
        <v>321</v>
      </c>
      <c r="DV262" t="s">
        <v>459</v>
      </c>
      <c r="DW262" t="s">
        <v>3836</v>
      </c>
      <c r="DX262" t="s">
        <v>3858</v>
      </c>
      <c r="DY262" t="s">
        <v>4119</v>
      </c>
      <c r="DZ262" t="s">
        <v>4349</v>
      </c>
      <c r="EA262" t="s">
        <v>3860</v>
      </c>
      <c r="EB262" t="s">
        <v>4036</v>
      </c>
      <c r="EC262" t="s">
        <v>4351</v>
      </c>
      <c r="ED262" t="s">
        <v>4761</v>
      </c>
      <c r="EE262" t="s">
        <v>3843</v>
      </c>
      <c r="EF262" t="s">
        <v>4762</v>
      </c>
      <c r="EG262" t="s">
        <v>4763</v>
      </c>
      <c r="EH262" t="s">
        <v>4764</v>
      </c>
      <c r="EI262" t="s">
        <v>3820</v>
      </c>
      <c r="EJ262" t="s">
        <v>4765</v>
      </c>
      <c r="EK262" t="s">
        <v>4357</v>
      </c>
      <c r="EL262" t="s">
        <v>4766</v>
      </c>
      <c r="EM262" t="s">
        <v>4767</v>
      </c>
      <c r="EN262" t="s">
        <v>4768</v>
      </c>
      <c r="EO262" t="s">
        <v>4769</v>
      </c>
      <c r="EP262" t="s">
        <v>4770</v>
      </c>
      <c r="EQ262">
        <v>8</v>
      </c>
      <c r="ER262">
        <v>8</v>
      </c>
      <c r="ES262">
        <v>8</v>
      </c>
      <c r="ET262">
        <v>8</v>
      </c>
      <c r="EU262">
        <v>8</v>
      </c>
      <c r="EV262">
        <v>0.1</v>
      </c>
      <c r="EW262">
        <v>0.1</v>
      </c>
      <c r="EX262">
        <v>0.2</v>
      </c>
      <c r="EY262">
        <v>0.3</v>
      </c>
      <c r="EZ262">
        <v>0.3</v>
      </c>
      <c r="FA262">
        <f>EV262*EQ262</f>
        <v>0.8</v>
      </c>
      <c r="FB262">
        <f>EW262*ER262</f>
        <v>0.8</v>
      </c>
      <c r="FC262">
        <f>EX262*ES262</f>
        <v>1.6</v>
      </c>
      <c r="FD262">
        <f>EY262*ET262</f>
        <v>2.4</v>
      </c>
      <c r="FE262">
        <f>EZ262*EU262</f>
        <v>2.4</v>
      </c>
      <c r="FF262">
        <v>16</v>
      </c>
      <c r="FG262">
        <v>0</v>
      </c>
      <c r="FH262">
        <v>9</v>
      </c>
      <c r="FI262">
        <f>FA262+FB262+FC262+FD262+FE262</f>
        <v>8</v>
      </c>
      <c r="FJ262">
        <f>MEDIAN(EQ262:EU262)</f>
        <v>8</v>
      </c>
      <c r="FL262">
        <v>36.69</v>
      </c>
      <c r="FM262">
        <v>8.6999999999999993</v>
      </c>
      <c r="FN262" t="s">
        <v>1841</v>
      </c>
      <c r="FO262" t="s">
        <v>1842</v>
      </c>
      <c r="FP262" t="s">
        <v>1843</v>
      </c>
      <c r="FQ262" t="s">
        <v>1844</v>
      </c>
      <c r="FR262" t="s">
        <v>1845</v>
      </c>
      <c r="FS262">
        <v>5</v>
      </c>
      <c r="FT262">
        <v>6</v>
      </c>
      <c r="FU262">
        <v>4</v>
      </c>
      <c r="FV262">
        <v>7</v>
      </c>
      <c r="FW262">
        <v>3</v>
      </c>
      <c r="FX262">
        <v>0.1</v>
      </c>
      <c r="FY262">
        <v>0.1</v>
      </c>
      <c r="FZ262">
        <v>0.2</v>
      </c>
      <c r="GA262">
        <v>0.3</v>
      </c>
      <c r="GB262">
        <v>0.3</v>
      </c>
      <c r="GC262">
        <f>FS262*FX262</f>
        <v>0.5</v>
      </c>
      <c r="GD262">
        <f>FT262*FY262</f>
        <v>0.60000000000000009</v>
      </c>
      <c r="GE262">
        <f>FU262*FZ262</f>
        <v>0.8</v>
      </c>
      <c r="GF262">
        <f>FV262*GA262</f>
        <v>2.1</v>
      </c>
      <c r="GG262">
        <f>FW262*GB262</f>
        <v>0.89999999999999991</v>
      </c>
      <c r="GH262">
        <v>9.1999999999999993</v>
      </c>
      <c r="GI262">
        <v>-0.5</v>
      </c>
      <c r="GJ262">
        <v>8.6999999999999993</v>
      </c>
      <c r="GK262">
        <f>GC262+GD262+GE262+GF262+GG262</f>
        <v>4.9000000000000004</v>
      </c>
      <c r="GL262">
        <f>MEDIAN(FS262:FW262)</f>
        <v>5</v>
      </c>
    </row>
    <row r="263" spans="1:194" hidden="1" x14ac:dyDescent="0.25">
      <c r="A263">
        <v>262</v>
      </c>
      <c r="B263" t="s">
        <v>2</v>
      </c>
      <c r="C263" s="4">
        <v>29.7</v>
      </c>
      <c r="D263">
        <v>3.3</v>
      </c>
      <c r="E263" s="1">
        <f>C263/3/D263</f>
        <v>3.0000000000000004</v>
      </c>
      <c r="G263">
        <v>83.06</v>
      </c>
      <c r="H263">
        <v>8.1999999999999993</v>
      </c>
      <c r="I263">
        <f>H263*D263*3</f>
        <v>81.179999999999978</v>
      </c>
      <c r="J263">
        <v>16.7</v>
      </c>
      <c r="K263">
        <v>9</v>
      </c>
      <c r="L263" s="3">
        <f>K263*3*D263</f>
        <v>89.1</v>
      </c>
      <c r="M263">
        <v>5.09</v>
      </c>
      <c r="N263">
        <v>6</v>
      </c>
      <c r="O263">
        <f>N263*D263*3</f>
        <v>59.399999999999991</v>
      </c>
      <c r="P263" s="5">
        <v>7</v>
      </c>
      <c r="Q263" s="5">
        <f>P263*D263*3</f>
        <v>69.3</v>
      </c>
      <c r="S263" t="s">
        <v>6391</v>
      </c>
      <c r="T263">
        <v>5.6</v>
      </c>
      <c r="U263" s="8">
        <f>T263*D263*3</f>
        <v>55.439999999999991</v>
      </c>
      <c r="V263">
        <v>31.03</v>
      </c>
      <c r="W263">
        <v>8.4</v>
      </c>
      <c r="X263" s="5">
        <f>W263*D263*3</f>
        <v>83.16</v>
      </c>
      <c r="Y263">
        <v>9.0399999999999991</v>
      </c>
      <c r="Z263">
        <v>7.5</v>
      </c>
      <c r="AA263">
        <f>Z263*D263*3</f>
        <v>74.25</v>
      </c>
      <c r="AC263">
        <v>139.69999999999999</v>
      </c>
      <c r="AD263">
        <v>7.1</v>
      </c>
      <c r="AE263" s="1">
        <f>AD263*3*D263</f>
        <v>70.289999999999992</v>
      </c>
      <c r="AF263">
        <v>9.58</v>
      </c>
      <c r="AH263" s="5">
        <f>AG263*D263*3</f>
        <v>0</v>
      </c>
      <c r="AI263" s="13"/>
      <c r="AJ263">
        <v>2.7</v>
      </c>
      <c r="AK263" s="8">
        <f>AJ263*D263*3</f>
        <v>26.73</v>
      </c>
      <c r="AL263" s="13"/>
      <c r="AM263">
        <v>30.88</v>
      </c>
      <c r="AN263">
        <v>7.5</v>
      </c>
      <c r="AO263" s="8">
        <f>AN263*D263*3</f>
        <v>74.25</v>
      </c>
      <c r="AP263">
        <v>13.84</v>
      </c>
      <c r="AQ263">
        <v>9.4</v>
      </c>
      <c r="AR263">
        <f>AQ263*D263*3</f>
        <v>93.06</v>
      </c>
      <c r="AT263">
        <v>9.3000000000000007</v>
      </c>
      <c r="AU263">
        <f>AT263*D263*3</f>
        <v>92.070000000000007</v>
      </c>
      <c r="AX263">
        <v>8.8000000000000007</v>
      </c>
      <c r="AY263">
        <f>AX263*D263*3</f>
        <v>87.12</v>
      </c>
      <c r="BA263">
        <v>9.1</v>
      </c>
      <c r="BB263">
        <f>BA263*D263*3</f>
        <v>90.089999999999989</v>
      </c>
      <c r="BD263">
        <v>8.9</v>
      </c>
      <c r="BE263">
        <f>BD263*D263*3</f>
        <v>88.11</v>
      </c>
      <c r="BG263" s="10"/>
      <c r="BH263" s="1">
        <f>CHOOSE(MATCH(MIN(ABS(BP263-C263),ABS(BQ263-C263),ABS(BR263-C263)),CHOOSE({1;2;3},ABS(BP263-C263),ABS(BQ263-C263),ABS(BR263-C263)),0),BP263,BQ263,BR263)</f>
        <v>59.4</v>
      </c>
      <c r="BJ263" s="1" cm="1">
        <f t="array" ref="BJ263">(INDEX(_xlfn._xlws.SORT(CHOOSE({1;2;3;4;5;6},BQ263,BR263,L263,AE263,BO263,BP263)),3) + INDEX(_xlfn._xlws.SORT(CHOOSE({1;2;3;4;5;6},BQ263,BR263,L263,AE263,BO263,BP263)),4))/2</f>
        <v>69.794999999999987</v>
      </c>
      <c r="BK263">
        <v>3.06744640690387</v>
      </c>
      <c r="BL263" t="s">
        <v>6117</v>
      </c>
      <c r="BM263" s="1">
        <f>BK263*3*D263</f>
        <v>30.367719428348316</v>
      </c>
      <c r="BN263" s="1">
        <f>BM263-C263</f>
        <v>0.66771942834831677</v>
      </c>
      <c r="BO263" s="1">
        <f>GK263*3*D263</f>
        <v>57.419999999999995</v>
      </c>
      <c r="BP263" s="1">
        <f>DO263*3*D263</f>
        <v>89.1</v>
      </c>
      <c r="BQ263" s="1">
        <f>FJ263*3*D263</f>
        <v>69.3</v>
      </c>
      <c r="BR263" s="1">
        <f>GL263*3*D263</f>
        <v>59.4</v>
      </c>
      <c r="BT263">
        <v>83.06</v>
      </c>
      <c r="BU263">
        <v>8.1999999999999993</v>
      </c>
      <c r="BV263" t="s">
        <v>5819</v>
      </c>
      <c r="BW263" t="s">
        <v>5700</v>
      </c>
      <c r="BX263" t="s">
        <v>5553</v>
      </c>
      <c r="BY263" t="s">
        <v>5820</v>
      </c>
      <c r="BZ263" t="s">
        <v>5821</v>
      </c>
      <c r="CA263" t="s">
        <v>2437</v>
      </c>
      <c r="CC263" t="s">
        <v>2758</v>
      </c>
      <c r="CD263" t="s">
        <v>2873</v>
      </c>
      <c r="CE263" t="s">
        <v>2440</v>
      </c>
      <c r="CG263" t="s">
        <v>2761</v>
      </c>
      <c r="CH263" t="s">
        <v>2874</v>
      </c>
      <c r="CI263" t="s">
        <v>2443</v>
      </c>
      <c r="CK263" t="s">
        <v>2795</v>
      </c>
      <c r="CL263" t="s">
        <v>2875</v>
      </c>
      <c r="CM263" t="s">
        <v>2446</v>
      </c>
      <c r="CO263" t="s">
        <v>2796</v>
      </c>
      <c r="CP263" t="s">
        <v>2876</v>
      </c>
      <c r="CQ263" t="s">
        <v>2449</v>
      </c>
      <c r="CS263" t="s">
        <v>2679</v>
      </c>
      <c r="CT263" t="s">
        <v>2877</v>
      </c>
      <c r="CV263">
        <v>9</v>
      </c>
      <c r="CW263">
        <v>9</v>
      </c>
      <c r="CX263">
        <v>9</v>
      </c>
      <c r="CY263">
        <v>9</v>
      </c>
      <c r="CZ263">
        <v>9</v>
      </c>
      <c r="DA263">
        <v>0.1</v>
      </c>
      <c r="DB263">
        <v>0.1</v>
      </c>
      <c r="DC263">
        <v>0.2</v>
      </c>
      <c r="DD263">
        <v>0.3</v>
      </c>
      <c r="DE263">
        <v>0.3</v>
      </c>
      <c r="DF263">
        <v>0.9</v>
      </c>
      <c r="DG263">
        <v>0.9</v>
      </c>
      <c r="DH263">
        <v>1.8</v>
      </c>
      <c r="DI263">
        <v>2.7</v>
      </c>
      <c r="DJ263">
        <v>2.7</v>
      </c>
      <c r="DK263">
        <v>8.1999999999999993</v>
      </c>
      <c r="DL263">
        <v>0</v>
      </c>
      <c r="DM263">
        <v>8.1999999999999993</v>
      </c>
      <c r="DN263">
        <v>9</v>
      </c>
      <c r="DO263">
        <f>AVERAGE(CV263:CZ263)</f>
        <v>9</v>
      </c>
      <c r="DQ263" t="s">
        <v>125</v>
      </c>
      <c r="DR263" t="s">
        <v>361</v>
      </c>
      <c r="DS263" t="s">
        <v>460</v>
      </c>
      <c r="DT263" t="s">
        <v>461</v>
      </c>
      <c r="DU263" t="s">
        <v>304</v>
      </c>
      <c r="DV263" t="s">
        <v>462</v>
      </c>
      <c r="DW263" t="s">
        <v>3769</v>
      </c>
      <c r="DX263" t="s">
        <v>3770</v>
      </c>
      <c r="DY263" t="s">
        <v>3771</v>
      </c>
      <c r="DZ263" t="s">
        <v>3772</v>
      </c>
      <c r="EA263" t="s">
        <v>3860</v>
      </c>
      <c r="EB263" t="s">
        <v>3807</v>
      </c>
      <c r="EC263" t="s">
        <v>3775</v>
      </c>
      <c r="ED263" t="s">
        <v>3776</v>
      </c>
      <c r="EE263" t="s">
        <v>3819</v>
      </c>
      <c r="EF263" t="s">
        <v>3809</v>
      </c>
      <c r="EG263" t="s">
        <v>4048</v>
      </c>
      <c r="EH263" t="s">
        <v>4015</v>
      </c>
      <c r="EI263" t="s">
        <v>3820</v>
      </c>
      <c r="EJ263" t="s">
        <v>3813</v>
      </c>
      <c r="EK263" t="s">
        <v>4049</v>
      </c>
      <c r="EL263" t="s">
        <v>3815</v>
      </c>
      <c r="EM263" t="s">
        <v>3816</v>
      </c>
      <c r="EN263" t="s">
        <v>4050</v>
      </c>
      <c r="EO263" t="s">
        <v>4018</v>
      </c>
      <c r="EP263" t="s">
        <v>4051</v>
      </c>
      <c r="EQ263">
        <v>7</v>
      </c>
      <c r="ER263">
        <v>8</v>
      </c>
      <c r="ES263">
        <v>7</v>
      </c>
      <c r="ET263">
        <v>7</v>
      </c>
      <c r="EU263">
        <v>7</v>
      </c>
      <c r="EV263">
        <v>0.1</v>
      </c>
      <c r="EW263">
        <v>0.1</v>
      </c>
      <c r="EX263">
        <v>0.2</v>
      </c>
      <c r="EY263">
        <v>0.3</v>
      </c>
      <c r="EZ263">
        <v>0.3</v>
      </c>
      <c r="FA263">
        <f>EV263*EQ263</f>
        <v>0.70000000000000007</v>
      </c>
      <c r="FB263">
        <f>EW263*ER263</f>
        <v>0.8</v>
      </c>
      <c r="FC263">
        <f>EX263*ES263</f>
        <v>1.4000000000000001</v>
      </c>
      <c r="FD263">
        <f>EY263*ET263</f>
        <v>2.1</v>
      </c>
      <c r="FE263">
        <f>EZ263*EU263</f>
        <v>2.1</v>
      </c>
      <c r="FF263">
        <v>19</v>
      </c>
      <c r="FG263">
        <v>0</v>
      </c>
      <c r="FH263">
        <v>19</v>
      </c>
      <c r="FI263">
        <f>FA263+FB263+FC263+FD263+FE263</f>
        <v>7.1</v>
      </c>
      <c r="FJ263">
        <f>MEDIAN(EQ263:EU263)</f>
        <v>7</v>
      </c>
      <c r="FL263">
        <v>73.33</v>
      </c>
      <c r="FM263">
        <v>6.5</v>
      </c>
      <c r="FN263" t="s">
        <v>1846</v>
      </c>
      <c r="FO263" t="s">
        <v>1847</v>
      </c>
      <c r="FP263" t="s">
        <v>1848</v>
      </c>
      <c r="FQ263" t="s">
        <v>1849</v>
      </c>
      <c r="FR263" t="s">
        <v>1850</v>
      </c>
      <c r="FS263">
        <v>5</v>
      </c>
      <c r="FT263">
        <v>8</v>
      </c>
      <c r="FU263">
        <v>6</v>
      </c>
      <c r="FV263">
        <v>7</v>
      </c>
      <c r="FW263">
        <v>4</v>
      </c>
      <c r="FX263">
        <v>0.1</v>
      </c>
      <c r="FY263">
        <v>0.1</v>
      </c>
      <c r="FZ263">
        <v>0.2</v>
      </c>
      <c r="GA263">
        <v>0.3</v>
      </c>
      <c r="GB263">
        <v>0.3</v>
      </c>
      <c r="GC263">
        <f>FS263*FX263</f>
        <v>0.5</v>
      </c>
      <c r="GD263">
        <f>FT263*FY263</f>
        <v>0.8</v>
      </c>
      <c r="GE263">
        <f>FU263*FZ263</f>
        <v>1.2000000000000002</v>
      </c>
      <c r="GF263">
        <f>FV263*GA263</f>
        <v>2.1</v>
      </c>
      <c r="GG263">
        <f>FW263*GB263</f>
        <v>1.2</v>
      </c>
      <c r="GH263">
        <v>6.6</v>
      </c>
      <c r="GI263">
        <v>-0.1</v>
      </c>
      <c r="GJ263">
        <v>6.5</v>
      </c>
      <c r="GK263">
        <f>GC263+GD263+GE263+GF263+GG263</f>
        <v>5.8</v>
      </c>
      <c r="GL263">
        <f>MEDIAN(FS263:FW263)</f>
        <v>6</v>
      </c>
    </row>
    <row r="264" spans="1:194" hidden="1" x14ac:dyDescent="0.25">
      <c r="A264">
        <v>263</v>
      </c>
      <c r="B264" t="s">
        <v>2</v>
      </c>
      <c r="C264" s="4">
        <v>77.900000000000006</v>
      </c>
      <c r="D264">
        <v>4.0999999999999996</v>
      </c>
      <c r="E264" s="1">
        <f>C264/3/D264</f>
        <v>6.3333333333333339</v>
      </c>
      <c r="G264">
        <v>36.28</v>
      </c>
      <c r="H264">
        <v>8.1999999999999993</v>
      </c>
      <c r="I264">
        <f>H264*D264*3</f>
        <v>100.85999999999999</v>
      </c>
      <c r="J264">
        <v>17.72</v>
      </c>
      <c r="K264">
        <v>8.4</v>
      </c>
      <c r="L264" s="3">
        <f>K264*3*D264</f>
        <v>103.32000000000001</v>
      </c>
      <c r="M264">
        <v>4.68</v>
      </c>
      <c r="N264">
        <v>5.5</v>
      </c>
      <c r="O264">
        <f>N264*D264*3</f>
        <v>67.649999999999991</v>
      </c>
      <c r="P264" s="5">
        <v>7.2</v>
      </c>
      <c r="Q264" s="5">
        <f>P264*D264*3</f>
        <v>88.56</v>
      </c>
      <c r="S264" t="s">
        <v>6392</v>
      </c>
      <c r="T264">
        <v>7.4</v>
      </c>
      <c r="U264" s="8">
        <f>T264*D264*3</f>
        <v>91.02</v>
      </c>
      <c r="V264">
        <v>30.83</v>
      </c>
      <c r="W264">
        <v>8.6999999999999993</v>
      </c>
      <c r="X264" s="5">
        <f>W264*D264*3</f>
        <v>107.00999999999999</v>
      </c>
      <c r="Y264">
        <v>9.8000000000000007</v>
      </c>
      <c r="Z264">
        <v>7.5</v>
      </c>
      <c r="AA264">
        <f>Z264*D264*3</f>
        <v>92.249999999999986</v>
      </c>
      <c r="AC264">
        <v>149.27000000000001</v>
      </c>
      <c r="AD264">
        <v>7.4</v>
      </c>
      <c r="AE264" s="1">
        <f>AD264*3*D264</f>
        <v>91.02000000000001</v>
      </c>
      <c r="AF264">
        <v>12.13</v>
      </c>
      <c r="AG264" s="5">
        <v>7</v>
      </c>
      <c r="AH264" s="5">
        <f>AG264*D264*3</f>
        <v>86.1</v>
      </c>
      <c r="AI264" s="13"/>
      <c r="AJ264">
        <v>29.5</v>
      </c>
      <c r="AK264" s="8">
        <f>AJ264*D264*3</f>
        <v>362.84999999999997</v>
      </c>
      <c r="AL264" s="13"/>
      <c r="AM264">
        <v>30.19</v>
      </c>
      <c r="AN264">
        <v>7.2</v>
      </c>
      <c r="AO264" s="8">
        <f>AN264*D264*3</f>
        <v>88.56</v>
      </c>
      <c r="AP264">
        <v>13.87</v>
      </c>
      <c r="AQ264">
        <v>10</v>
      </c>
      <c r="AR264">
        <f>AQ264*D264*3</f>
        <v>123</v>
      </c>
      <c r="AT264">
        <v>8.5</v>
      </c>
      <c r="AU264">
        <f>AT264*D264*3</f>
        <v>104.54999999999998</v>
      </c>
      <c r="AX264">
        <v>8.8000000000000007</v>
      </c>
      <c r="AY264">
        <f>AX264*D264*3</f>
        <v>108.24</v>
      </c>
      <c r="BA264">
        <v>8.4</v>
      </c>
      <c r="BB264">
        <f>BA264*D264*3</f>
        <v>103.32</v>
      </c>
      <c r="BD264">
        <v>8.9</v>
      </c>
      <c r="BE264">
        <f>BD264*D264*3</f>
        <v>109.46999999999998</v>
      </c>
      <c r="BG264" s="10"/>
      <c r="BH264" s="1">
        <f>CHOOSE(MATCH(MIN(ABS(BP264-C264),ABS(BQ264-C264),ABS(BR264-C264)),CHOOSE({1;2;3},ABS(BP264-C264),ABS(BQ264-C264),ABS(BR264-C264)),0),BP264,BQ264,BR264)</f>
        <v>73.8</v>
      </c>
      <c r="BJ264" s="1" cm="1">
        <f t="array" ref="BJ264">(INDEX(_xlfn._xlws.SORT(CHOOSE({1;2;3;4;5;6},BQ264,BR264,L264,AE264,BO264,BP264)),3) + INDEX(_xlfn._xlws.SORT(CHOOSE({1;2;3;4;5;6},BQ264,BR264,L264,AE264,BO264,BP264)),4))/2</f>
        <v>88.56</v>
      </c>
      <c r="BK264">
        <v>6.3956192345059399</v>
      </c>
      <c r="BL264" t="s">
        <v>6117</v>
      </c>
      <c r="BM264" s="1">
        <f>BK264*3*D264</f>
        <v>78.666116584423051</v>
      </c>
      <c r="BN264" s="1">
        <f>BM264-C264</f>
        <v>0.76611658442304531</v>
      </c>
      <c r="BO264" s="1">
        <f>GK264*3*D264</f>
        <v>72.570000000000007</v>
      </c>
      <c r="BP264" s="1">
        <f>DO264*3*D264</f>
        <v>110.69999999999999</v>
      </c>
      <c r="BQ264" s="1">
        <f>FJ264*3*D264</f>
        <v>86.1</v>
      </c>
      <c r="BR264" s="1">
        <f>GL264*3*D264</f>
        <v>73.8</v>
      </c>
      <c r="BT264">
        <v>36.28</v>
      </c>
      <c r="BU264">
        <v>8.1999999999999993</v>
      </c>
      <c r="BV264" t="s">
        <v>5003</v>
      </c>
      <c r="BW264" t="s">
        <v>5004</v>
      </c>
      <c r="BX264" t="s">
        <v>5029</v>
      </c>
      <c r="BY264" t="s">
        <v>5053</v>
      </c>
      <c r="BZ264" t="s">
        <v>5031</v>
      </c>
      <c r="CA264" t="s">
        <v>2437</v>
      </c>
      <c r="CC264" t="s">
        <v>2758</v>
      </c>
      <c r="CD264" t="s">
        <v>2508</v>
      </c>
      <c r="CE264" t="s">
        <v>2440</v>
      </c>
      <c r="CG264" t="s">
        <v>2761</v>
      </c>
      <c r="CH264" t="s">
        <v>2510</v>
      </c>
      <c r="CI264" t="s">
        <v>2443</v>
      </c>
      <c r="CK264" t="s">
        <v>2795</v>
      </c>
      <c r="CL264" t="s">
        <v>2512</v>
      </c>
      <c r="CM264" t="s">
        <v>2446</v>
      </c>
      <c r="CO264" t="s">
        <v>2796</v>
      </c>
      <c r="CP264" t="s">
        <v>2514</v>
      </c>
      <c r="CQ264" t="s">
        <v>2449</v>
      </c>
      <c r="CS264" t="s">
        <v>2679</v>
      </c>
      <c r="CT264" t="s">
        <v>2524</v>
      </c>
      <c r="CV264">
        <v>9</v>
      </c>
      <c r="CW264">
        <v>9</v>
      </c>
      <c r="CX264">
        <v>9</v>
      </c>
      <c r="CY264">
        <v>9</v>
      </c>
      <c r="CZ264">
        <v>9</v>
      </c>
      <c r="DA264">
        <v>0.1</v>
      </c>
      <c r="DB264">
        <v>0.1</v>
      </c>
      <c r="DC264">
        <v>0.2</v>
      </c>
      <c r="DD264">
        <v>0.3</v>
      </c>
      <c r="DE264">
        <v>0.3</v>
      </c>
      <c r="DF264">
        <v>0.9</v>
      </c>
      <c r="DG264">
        <v>0.9</v>
      </c>
      <c r="DH264">
        <v>1.8</v>
      </c>
      <c r="DI264">
        <v>2.7</v>
      </c>
      <c r="DJ264">
        <v>2.7</v>
      </c>
      <c r="DK264">
        <v>8.1999999999999993</v>
      </c>
      <c r="DL264">
        <v>0</v>
      </c>
      <c r="DM264">
        <v>8.1999999999999993</v>
      </c>
      <c r="DN264">
        <v>8.4</v>
      </c>
      <c r="DO264">
        <f>AVERAGE(CV264:CZ264)</f>
        <v>9</v>
      </c>
      <c r="DQ264" t="s">
        <v>27</v>
      </c>
      <c r="DR264" t="s">
        <v>161</v>
      </c>
      <c r="DS264" t="s">
        <v>463</v>
      </c>
      <c r="DT264" t="s">
        <v>163</v>
      </c>
      <c r="DU264" t="s">
        <v>400</v>
      </c>
      <c r="DV264" t="s">
        <v>464</v>
      </c>
      <c r="DW264" t="s">
        <v>3788</v>
      </c>
      <c r="DX264" t="s">
        <v>4071</v>
      </c>
      <c r="DY264" t="s">
        <v>4072</v>
      </c>
      <c r="DZ264" t="s">
        <v>4073</v>
      </c>
      <c r="EA264" t="s">
        <v>3792</v>
      </c>
      <c r="EB264" t="s">
        <v>4074</v>
      </c>
      <c r="EC264" t="s">
        <v>4075</v>
      </c>
      <c r="ED264" t="s">
        <v>4076</v>
      </c>
      <c r="EE264" t="s">
        <v>3796</v>
      </c>
      <c r="EF264" t="s">
        <v>4136</v>
      </c>
      <c r="EG264" t="s">
        <v>4771</v>
      </c>
      <c r="EH264" t="s">
        <v>4079</v>
      </c>
      <c r="EI264" t="s">
        <v>4080</v>
      </c>
      <c r="EJ264" t="s">
        <v>4628</v>
      </c>
      <c r="EK264" t="s">
        <v>4629</v>
      </c>
      <c r="EL264" t="s">
        <v>4772</v>
      </c>
      <c r="EM264" t="s">
        <v>4084</v>
      </c>
      <c r="EN264" t="s">
        <v>4085</v>
      </c>
      <c r="EO264" t="s">
        <v>4086</v>
      </c>
      <c r="EP264" t="s">
        <v>4631</v>
      </c>
      <c r="EQ264">
        <v>7</v>
      </c>
      <c r="ER264">
        <v>8</v>
      </c>
      <c r="ES264">
        <v>7</v>
      </c>
      <c r="ET264">
        <v>8</v>
      </c>
      <c r="EU264">
        <v>7</v>
      </c>
      <c r="EV264">
        <v>0.1</v>
      </c>
      <c r="EW264">
        <v>0.1</v>
      </c>
      <c r="EX264">
        <v>0.2</v>
      </c>
      <c r="EY264">
        <v>0.3</v>
      </c>
      <c r="EZ264">
        <v>0.3</v>
      </c>
      <c r="FA264">
        <f>EV264*EQ264</f>
        <v>0.70000000000000007</v>
      </c>
      <c r="FB264">
        <f>EW264*ER264</f>
        <v>0.8</v>
      </c>
      <c r="FC264">
        <f>EX264*ES264</f>
        <v>1.4000000000000001</v>
      </c>
      <c r="FD264">
        <f>EY264*ET264</f>
        <v>2.4</v>
      </c>
      <c r="FE264">
        <f>EZ264*EU264</f>
        <v>2.1</v>
      </c>
      <c r="FF264">
        <v>21</v>
      </c>
      <c r="FG264">
        <v>0</v>
      </c>
      <c r="FH264">
        <v>8</v>
      </c>
      <c r="FI264">
        <f>FA264+FB264+FC264+FD264+FE264</f>
        <v>7.4</v>
      </c>
      <c r="FJ264">
        <f>MEDIAN(EQ264:EU264)</f>
        <v>7</v>
      </c>
      <c r="FL264">
        <v>37.08</v>
      </c>
      <c r="FM264">
        <v>7</v>
      </c>
      <c r="FN264" t="s">
        <v>1851</v>
      </c>
      <c r="FO264" t="s">
        <v>1852</v>
      </c>
      <c r="FP264" t="s">
        <v>1853</v>
      </c>
      <c r="FQ264" t="s">
        <v>1854</v>
      </c>
      <c r="FR264" t="s">
        <v>1855</v>
      </c>
      <c r="FS264">
        <v>6</v>
      </c>
      <c r="FT264">
        <v>7</v>
      </c>
      <c r="FU264">
        <v>5</v>
      </c>
      <c r="FV264">
        <v>4</v>
      </c>
      <c r="FW264">
        <v>8</v>
      </c>
      <c r="FX264">
        <v>0.1</v>
      </c>
      <c r="FY264">
        <v>0.1</v>
      </c>
      <c r="FZ264">
        <v>0.2</v>
      </c>
      <c r="GA264">
        <v>0.3</v>
      </c>
      <c r="GB264">
        <v>0.3</v>
      </c>
      <c r="GC264">
        <f>FS264*FX264</f>
        <v>0.60000000000000009</v>
      </c>
      <c r="GD264">
        <f>FT264*FY264</f>
        <v>0.70000000000000007</v>
      </c>
      <c r="GE264">
        <f>FU264*FZ264</f>
        <v>1</v>
      </c>
      <c r="GF264">
        <f>FV264*GA264</f>
        <v>1.2</v>
      </c>
      <c r="GG264">
        <f>FW264*GB264</f>
        <v>2.4</v>
      </c>
      <c r="GH264">
        <v>6.9</v>
      </c>
      <c r="GI264">
        <v>0.1</v>
      </c>
      <c r="GJ264">
        <v>7</v>
      </c>
      <c r="GK264">
        <f>GC264+GD264+GE264+GF264+GG264</f>
        <v>5.9</v>
      </c>
      <c r="GL264">
        <f>MEDIAN(FS264:FW264)</f>
        <v>6</v>
      </c>
    </row>
    <row r="265" spans="1:194" hidden="1" x14ac:dyDescent="0.25">
      <c r="A265">
        <v>264</v>
      </c>
      <c r="B265" t="s">
        <v>2</v>
      </c>
      <c r="C265" s="4">
        <v>77.7</v>
      </c>
      <c r="D265">
        <v>3.7</v>
      </c>
      <c r="E265" s="1">
        <f>C265/3/D265</f>
        <v>7</v>
      </c>
      <c r="G265">
        <v>34.68</v>
      </c>
      <c r="H265">
        <v>8.1999999999999993</v>
      </c>
      <c r="I265">
        <f>H265*D265*3</f>
        <v>91.02</v>
      </c>
      <c r="J265">
        <v>18.36</v>
      </c>
      <c r="K265">
        <v>9</v>
      </c>
      <c r="L265" s="3">
        <f>K265*3*D265</f>
        <v>99.9</v>
      </c>
      <c r="M265">
        <v>5.86</v>
      </c>
      <c r="N265">
        <v>5</v>
      </c>
      <c r="O265">
        <f>N265*D265*3</f>
        <v>55.5</v>
      </c>
      <c r="P265" s="5">
        <v>8.6999999999999993</v>
      </c>
      <c r="Q265" s="5">
        <f>P265*D265*3</f>
        <v>96.57</v>
      </c>
      <c r="S265" t="s">
        <v>6158</v>
      </c>
      <c r="T265">
        <v>7</v>
      </c>
      <c r="U265" s="8">
        <f>T265*D265*3</f>
        <v>77.7</v>
      </c>
      <c r="V265">
        <v>32.06</v>
      </c>
      <c r="W265">
        <v>8.4</v>
      </c>
      <c r="X265" s="5">
        <f>W265*D265*3</f>
        <v>93.240000000000009</v>
      </c>
      <c r="Y265">
        <v>9.49</v>
      </c>
      <c r="Z265">
        <v>6</v>
      </c>
      <c r="AA265">
        <f>Z265*D265*3</f>
        <v>66.600000000000009</v>
      </c>
      <c r="AC265">
        <v>129.80000000000001</v>
      </c>
      <c r="AD265">
        <v>7.9</v>
      </c>
      <c r="AE265" s="1">
        <f>AD265*3*D265</f>
        <v>87.690000000000012</v>
      </c>
      <c r="AF265">
        <v>11.9</v>
      </c>
      <c r="AG265" s="5">
        <v>7</v>
      </c>
      <c r="AH265" s="5">
        <f>AG265*D265*3</f>
        <v>77.7</v>
      </c>
      <c r="AI265" s="13"/>
      <c r="AJ265">
        <v>1.8</v>
      </c>
      <c r="AK265" s="8">
        <f>AJ265*D265*3</f>
        <v>19.98</v>
      </c>
      <c r="AL265" s="13"/>
      <c r="AM265">
        <v>32.35</v>
      </c>
      <c r="AN265">
        <v>7.7</v>
      </c>
      <c r="AO265" s="8">
        <f>AN265*D265*3</f>
        <v>85.47</v>
      </c>
      <c r="AP265">
        <v>13.29</v>
      </c>
      <c r="AQ265">
        <v>9.5</v>
      </c>
      <c r="AR265">
        <f>AQ265*D265*3</f>
        <v>105.44999999999999</v>
      </c>
      <c r="AT265">
        <v>8.6999999999999993</v>
      </c>
      <c r="AU265">
        <f>AT265*D265*3</f>
        <v>96.57</v>
      </c>
      <c r="AX265">
        <v>9.9</v>
      </c>
      <c r="AY265">
        <f>AX265*D265*3</f>
        <v>109.89000000000001</v>
      </c>
      <c r="BA265">
        <v>9</v>
      </c>
      <c r="BB265">
        <f>BA265*D265*3</f>
        <v>99.9</v>
      </c>
      <c r="BD265">
        <v>9</v>
      </c>
      <c r="BE265">
        <f>BD265*D265*3</f>
        <v>99.9</v>
      </c>
      <c r="BG265" s="10"/>
      <c r="BH265" s="1">
        <f>CHOOSE(MATCH(MIN(ABS(BP265-C265),ABS(BQ265-C265),ABS(BR265-C265)),CHOOSE({1;2;3},ABS(BP265-C265),ABS(BQ265-C265),ABS(BR265-C265)),0),BP265,BQ265,BR265)</f>
        <v>77.7</v>
      </c>
      <c r="BJ265" s="1" cm="1">
        <f t="array" ref="BJ265">(INDEX(_xlfn._xlws.SORT(CHOOSE({1;2;3;4;5;6},BQ265,BR265,L265,AE265,BO265,BP265)),3) + INDEX(_xlfn._xlws.SORT(CHOOSE({1;2;3;4;5;6},BQ265,BR265,L265,AE265,BO265,BP265)),4))/2</f>
        <v>88.245000000000005</v>
      </c>
      <c r="BK265">
        <v>7.0496874262082496</v>
      </c>
      <c r="BL265" t="s">
        <v>6117</v>
      </c>
      <c r="BM265" s="1">
        <f>BK265*3*D265</f>
        <v>78.251530430911572</v>
      </c>
      <c r="BN265" s="1">
        <f>BM265-C265</f>
        <v>0.55153043091156917</v>
      </c>
      <c r="BO265" s="1">
        <f>GK265*3*D265</f>
        <v>68.820000000000007</v>
      </c>
      <c r="BP265" s="1">
        <f>DO265*3*D265</f>
        <v>99.9</v>
      </c>
      <c r="BQ265" s="1">
        <f>FJ265*3*D265</f>
        <v>88.800000000000011</v>
      </c>
      <c r="BR265" s="1">
        <f>GL265*3*D265</f>
        <v>77.7</v>
      </c>
      <c r="BT265">
        <v>34.68</v>
      </c>
      <c r="BU265">
        <v>8.1999999999999993</v>
      </c>
      <c r="BV265" t="s">
        <v>5114</v>
      </c>
      <c r="BW265" t="s">
        <v>5822</v>
      </c>
      <c r="BX265" t="s">
        <v>5823</v>
      </c>
      <c r="BY265" t="s">
        <v>5824</v>
      </c>
      <c r="BZ265" t="s">
        <v>5825</v>
      </c>
      <c r="CA265" t="s">
        <v>2437</v>
      </c>
      <c r="CC265" t="s">
        <v>2758</v>
      </c>
      <c r="CD265" t="s">
        <v>2508</v>
      </c>
      <c r="CE265" t="s">
        <v>2440</v>
      </c>
      <c r="CG265" t="s">
        <v>2761</v>
      </c>
      <c r="CH265" t="s">
        <v>2510</v>
      </c>
      <c r="CI265" t="s">
        <v>2443</v>
      </c>
      <c r="CK265" t="s">
        <v>2795</v>
      </c>
      <c r="CL265" t="s">
        <v>2512</v>
      </c>
      <c r="CM265" t="s">
        <v>2446</v>
      </c>
      <c r="CO265" t="s">
        <v>2796</v>
      </c>
      <c r="CP265" t="s">
        <v>2514</v>
      </c>
      <c r="CQ265" t="s">
        <v>2449</v>
      </c>
      <c r="CS265" t="s">
        <v>2679</v>
      </c>
      <c r="CT265" t="s">
        <v>2524</v>
      </c>
      <c r="CV265">
        <v>9</v>
      </c>
      <c r="CW265">
        <v>9</v>
      </c>
      <c r="CX265">
        <v>9</v>
      </c>
      <c r="CY265">
        <v>9</v>
      </c>
      <c r="CZ265">
        <v>9</v>
      </c>
      <c r="DA265">
        <v>0.1</v>
      </c>
      <c r="DB265">
        <v>0.1</v>
      </c>
      <c r="DC265">
        <v>0.2</v>
      </c>
      <c r="DD265">
        <v>0.3</v>
      </c>
      <c r="DE265">
        <v>0.3</v>
      </c>
      <c r="DF265">
        <v>0.9</v>
      </c>
      <c r="DG265">
        <v>0.9</v>
      </c>
      <c r="DH265">
        <v>1.8</v>
      </c>
      <c r="DI265">
        <v>2.7</v>
      </c>
      <c r="DJ265">
        <v>2.7</v>
      </c>
      <c r="DK265">
        <v>8.1999999999999993</v>
      </c>
      <c r="DL265">
        <v>0</v>
      </c>
      <c r="DM265">
        <v>8.1999999999999993</v>
      </c>
      <c r="DN265">
        <v>9</v>
      </c>
      <c r="DO265">
        <f>AVERAGE(CV265:CZ265)</f>
        <v>9</v>
      </c>
      <c r="DQ265">
        <v>8</v>
      </c>
      <c r="DR265" t="s">
        <v>28</v>
      </c>
      <c r="DS265" t="s">
        <v>61</v>
      </c>
      <c r="DT265" t="s">
        <v>120</v>
      </c>
      <c r="DU265" t="s">
        <v>465</v>
      </c>
      <c r="DV265" t="s">
        <v>466</v>
      </c>
      <c r="DW265" t="s">
        <v>3769</v>
      </c>
      <c r="DX265" t="s">
        <v>3770</v>
      </c>
      <c r="DY265" t="s">
        <v>4042</v>
      </c>
      <c r="DZ265" t="s">
        <v>4043</v>
      </c>
      <c r="EA265" t="s">
        <v>3860</v>
      </c>
      <c r="EB265" t="s">
        <v>3964</v>
      </c>
      <c r="EE265" t="s">
        <v>3886</v>
      </c>
      <c r="EF265" t="s">
        <v>4044</v>
      </c>
      <c r="EI265" t="s">
        <v>4773</v>
      </c>
      <c r="EJ265" t="s">
        <v>4021</v>
      </c>
      <c r="EM265" t="s">
        <v>3989</v>
      </c>
      <c r="EN265" t="s">
        <v>4047</v>
      </c>
      <c r="EQ265">
        <v>7</v>
      </c>
      <c r="ER265">
        <v>8</v>
      </c>
      <c r="ES265">
        <v>8</v>
      </c>
      <c r="ET265">
        <v>8</v>
      </c>
      <c r="EU265">
        <v>8</v>
      </c>
      <c r="EV265">
        <v>0.1</v>
      </c>
      <c r="EW265">
        <v>0.1</v>
      </c>
      <c r="EX265">
        <v>0.2</v>
      </c>
      <c r="EY265">
        <v>0.3</v>
      </c>
      <c r="EZ265">
        <v>0.3</v>
      </c>
      <c r="FA265">
        <f>EV265*EQ265</f>
        <v>0.70000000000000007</v>
      </c>
      <c r="FB265">
        <f>EW265*ER265</f>
        <v>0.8</v>
      </c>
      <c r="FC265">
        <f>EX265*ES265</f>
        <v>1.6</v>
      </c>
      <c r="FD265">
        <f>EY265*ET265</f>
        <v>2.4</v>
      </c>
      <c r="FE265">
        <f>EZ265*EU265</f>
        <v>2.4</v>
      </c>
      <c r="FF265">
        <v>17</v>
      </c>
      <c r="FG265">
        <v>0</v>
      </c>
      <c r="FH265">
        <v>8</v>
      </c>
      <c r="FI265">
        <f>FA265+FB265+FC265+FD265+FE265</f>
        <v>7.9</v>
      </c>
      <c r="FJ265">
        <f>MEDIAN(EQ265:EU265)</f>
        <v>8</v>
      </c>
      <c r="FL265">
        <v>40.9</v>
      </c>
      <c r="FM265">
        <v>9</v>
      </c>
      <c r="FN265" t="s">
        <v>1856</v>
      </c>
      <c r="FO265" t="s">
        <v>1857</v>
      </c>
      <c r="FP265" t="s">
        <v>1858</v>
      </c>
      <c r="FQ265" t="s">
        <v>1859</v>
      </c>
      <c r="FR265" t="s">
        <v>1860</v>
      </c>
      <c r="FS265">
        <v>7</v>
      </c>
      <c r="FT265">
        <v>9</v>
      </c>
      <c r="FU265">
        <v>8</v>
      </c>
      <c r="FV265">
        <v>6</v>
      </c>
      <c r="FW265">
        <v>4</v>
      </c>
      <c r="FX265">
        <v>0.1</v>
      </c>
      <c r="FY265">
        <v>0.1</v>
      </c>
      <c r="FZ265">
        <v>0.2</v>
      </c>
      <c r="GA265">
        <v>0.3</v>
      </c>
      <c r="GB265">
        <v>0.3</v>
      </c>
      <c r="GC265">
        <f>FS265*FX265</f>
        <v>0.70000000000000007</v>
      </c>
      <c r="GD265">
        <f>FT265*FY265</f>
        <v>0.9</v>
      </c>
      <c r="GE265">
        <f>FU265*FZ265</f>
        <v>1.6</v>
      </c>
      <c r="GF265">
        <f>FV265*GA265</f>
        <v>1.7999999999999998</v>
      </c>
      <c r="GG265">
        <f>FW265*GB265</f>
        <v>1.2</v>
      </c>
      <c r="GH265">
        <v>5.6</v>
      </c>
      <c r="GI265">
        <v>0.4</v>
      </c>
      <c r="GJ265">
        <v>9</v>
      </c>
      <c r="GK265">
        <f>GC265+GD265+GE265+GF265+GG265</f>
        <v>6.2</v>
      </c>
      <c r="GL265">
        <f>MEDIAN(FS265:FW265)</f>
        <v>7</v>
      </c>
    </row>
    <row r="266" spans="1:194" x14ac:dyDescent="0.25">
      <c r="A266">
        <v>140</v>
      </c>
      <c r="B266" t="s">
        <v>2</v>
      </c>
      <c r="C266" s="4">
        <v>86.1</v>
      </c>
      <c r="D266">
        <v>4.0999999999999996</v>
      </c>
      <c r="E266" s="1">
        <f>C266/3/D266</f>
        <v>7</v>
      </c>
      <c r="G266">
        <v>34.67</v>
      </c>
      <c r="H266">
        <v>8.1</v>
      </c>
      <c r="I266">
        <f>H266*D266*3</f>
        <v>99.629999999999981</v>
      </c>
      <c r="J266">
        <v>18.03</v>
      </c>
      <c r="K266">
        <v>8.4</v>
      </c>
      <c r="L266" s="3">
        <f>K266*3*D266</f>
        <v>103.32000000000001</v>
      </c>
      <c r="M266">
        <v>4.83</v>
      </c>
      <c r="N266">
        <v>5.5</v>
      </c>
      <c r="O266">
        <f>N266*D266*3</f>
        <v>67.649999999999991</v>
      </c>
      <c r="P266" s="5">
        <v>8.6999999999999993</v>
      </c>
      <c r="Q266" s="5">
        <f>P266*D266*3</f>
        <v>107.00999999999999</v>
      </c>
      <c r="S266" t="s">
        <v>6274</v>
      </c>
      <c r="T266">
        <v>6</v>
      </c>
      <c r="U266" s="8">
        <f>T266*D266*3</f>
        <v>73.8</v>
      </c>
      <c r="V266">
        <v>34.53</v>
      </c>
      <c r="W266">
        <v>8</v>
      </c>
      <c r="X266" s="5">
        <f>W266*D266*3</f>
        <v>98.399999999999991</v>
      </c>
      <c r="Y266">
        <v>11.75</v>
      </c>
      <c r="Z266">
        <v>7.6</v>
      </c>
      <c r="AA266">
        <f>Z266*D266*3</f>
        <v>93.47999999999999</v>
      </c>
      <c r="AC266">
        <v>46.6</v>
      </c>
      <c r="AD266">
        <v>8</v>
      </c>
      <c r="AE266" s="1">
        <f>AD266*3*D266</f>
        <v>98.399999999999991</v>
      </c>
      <c r="AF266">
        <v>11.99</v>
      </c>
      <c r="AG266" s="5">
        <v>7</v>
      </c>
      <c r="AH266" s="5">
        <f>AG266*D266*3</f>
        <v>86.1</v>
      </c>
      <c r="AI266" s="13"/>
      <c r="AK266" s="8">
        <f>AJ266*D266*3</f>
        <v>0</v>
      </c>
      <c r="AL266" s="13"/>
      <c r="AM266">
        <v>30.29</v>
      </c>
      <c r="AN266">
        <v>7.5</v>
      </c>
      <c r="AO266" s="8">
        <f>AN266*D266*3</f>
        <v>92.249999999999986</v>
      </c>
      <c r="AP266">
        <v>14.01</v>
      </c>
      <c r="AQ266">
        <v>10</v>
      </c>
      <c r="AR266">
        <f>AQ266*D266*3</f>
        <v>123</v>
      </c>
      <c r="AT266">
        <v>8.8000000000000007</v>
      </c>
      <c r="AU266">
        <f>AT266*D266*3</f>
        <v>108.24</v>
      </c>
      <c r="AW266">
        <v>23.74</v>
      </c>
      <c r="AX266">
        <v>9.6</v>
      </c>
      <c r="AY266">
        <f>AX266*D266*3</f>
        <v>118.07999999999998</v>
      </c>
      <c r="AZ266">
        <v>23.74</v>
      </c>
      <c r="BA266">
        <v>7.9</v>
      </c>
      <c r="BB266">
        <f>BA266*D266*3</f>
        <v>97.17</v>
      </c>
      <c r="BD266">
        <v>8.6</v>
      </c>
      <c r="BE266">
        <f>BD266*D266*3</f>
        <v>105.78</v>
      </c>
      <c r="BG266" s="10"/>
      <c r="BH266" s="1">
        <f>CHOOSE(MATCH(MIN(ABS(BP266-C266),ABS(BQ266-C266),ABS(BR266-C266)),CHOOSE({1;2;3},ABS(BP266-C266),ABS(BQ266-C266),ABS(BR266-C266)),0),BP266,BQ266,BR266)</f>
        <v>98.399999999999991</v>
      </c>
      <c r="BJ266" s="1" cm="1">
        <f t="array" ref="BJ266">(INDEX(_xlfn._xlws.SORT(CHOOSE({1;2;3;4;5;6},BQ266,BR266,L266,AE266,BO266,BP266)),3) + INDEX(_xlfn._xlws.SORT(CHOOSE({1;2;3;4;5;6},BQ266,BR266,L266,AE266,BO266,BP266)),4))/2</f>
        <v>98.399999999999991</v>
      </c>
      <c r="BK266">
        <v>7.7778471145238699</v>
      </c>
      <c r="BL266" s="11" t="s">
        <v>6116</v>
      </c>
      <c r="BM266" s="1">
        <f>BK266*3*D266</f>
        <v>95.667519508643593</v>
      </c>
      <c r="BN266" s="1">
        <f>BM266-C266</f>
        <v>9.5675195086435991</v>
      </c>
      <c r="BO266" s="1">
        <f>GK266*3*D266</f>
        <v>55.965000000000003</v>
      </c>
      <c r="BP266" s="1">
        <f>DO266*3*D266</f>
        <v>110.69999999999999</v>
      </c>
      <c r="BQ266" s="1">
        <f>FJ266*3*D266</f>
        <v>98.399999999999991</v>
      </c>
      <c r="BR266" s="1">
        <f>GL266*3*D266</f>
        <v>61.499999999999993</v>
      </c>
      <c r="BT266">
        <v>34.67</v>
      </c>
      <c r="BU266">
        <v>8.1</v>
      </c>
      <c r="BV266" t="s">
        <v>5003</v>
      </c>
      <c r="BW266" t="s">
        <v>5004</v>
      </c>
      <c r="BX266" t="s">
        <v>5029</v>
      </c>
      <c r="BY266" t="s">
        <v>5030</v>
      </c>
      <c r="BZ266" t="s">
        <v>5031</v>
      </c>
      <c r="CA266" t="s">
        <v>2437</v>
      </c>
      <c r="CC266" t="s">
        <v>2758</v>
      </c>
      <c r="CD266" t="s">
        <v>2508</v>
      </c>
      <c r="CE266" t="s">
        <v>2440</v>
      </c>
      <c r="CG266" t="s">
        <v>2761</v>
      </c>
      <c r="CH266" t="s">
        <v>2510</v>
      </c>
      <c r="CI266" t="s">
        <v>2443</v>
      </c>
      <c r="CK266" t="s">
        <v>2795</v>
      </c>
      <c r="CL266" t="s">
        <v>2512</v>
      </c>
      <c r="CM266" t="s">
        <v>2446</v>
      </c>
      <c r="CO266" t="s">
        <v>2796</v>
      </c>
      <c r="CP266" t="s">
        <v>2514</v>
      </c>
      <c r="CQ266" t="s">
        <v>2449</v>
      </c>
      <c r="CS266" t="s">
        <v>2679</v>
      </c>
      <c r="CT266" t="s">
        <v>2524</v>
      </c>
      <c r="CV266">
        <v>9</v>
      </c>
      <c r="CW266">
        <v>9</v>
      </c>
      <c r="CX266">
        <v>9</v>
      </c>
      <c r="CY266">
        <v>9</v>
      </c>
      <c r="CZ266">
        <v>9</v>
      </c>
      <c r="DA266">
        <v>0.1</v>
      </c>
      <c r="DB266">
        <v>0.1</v>
      </c>
      <c r="DC266">
        <v>0.2</v>
      </c>
      <c r="DD266">
        <v>0.3</v>
      </c>
      <c r="DE266">
        <v>0.3</v>
      </c>
      <c r="DF266">
        <v>0.9</v>
      </c>
      <c r="DG266">
        <v>0.9</v>
      </c>
      <c r="DH266">
        <v>1.8</v>
      </c>
      <c r="DI266">
        <v>2.7</v>
      </c>
      <c r="DJ266">
        <v>2.7</v>
      </c>
      <c r="DK266">
        <v>8.1</v>
      </c>
      <c r="DL266">
        <v>0</v>
      </c>
      <c r="DM266">
        <v>8.1</v>
      </c>
      <c r="DN266">
        <v>8.4</v>
      </c>
      <c r="DO266">
        <f>AVERAGE(CV266:CZ266)</f>
        <v>9</v>
      </c>
      <c r="DQ266">
        <v>8</v>
      </c>
      <c r="DR266" t="s">
        <v>33</v>
      </c>
      <c r="DS266" t="s">
        <v>100</v>
      </c>
      <c r="DT266" t="s">
        <v>101</v>
      </c>
      <c r="DU266" t="s">
        <v>102</v>
      </c>
      <c r="DV266" t="s">
        <v>103</v>
      </c>
      <c r="DW266" t="s">
        <v>3788</v>
      </c>
      <c r="DX266" t="s">
        <v>3789</v>
      </c>
      <c r="DY266" t="s">
        <v>3790</v>
      </c>
      <c r="DZ266" t="s">
        <v>3992</v>
      </c>
      <c r="EA266" t="s">
        <v>3993</v>
      </c>
      <c r="EB266" t="s">
        <v>3793</v>
      </c>
      <c r="EC266" t="s">
        <v>3994</v>
      </c>
      <c r="ED266" t="s">
        <v>3995</v>
      </c>
      <c r="EE266" t="s">
        <v>3996</v>
      </c>
      <c r="EF266" t="s">
        <v>3797</v>
      </c>
      <c r="EG266" t="s">
        <v>3997</v>
      </c>
      <c r="EH266" t="s">
        <v>3998</v>
      </c>
      <c r="EI266" t="s">
        <v>3981</v>
      </c>
      <c r="EJ266" t="s">
        <v>3800</v>
      </c>
      <c r="EK266" t="s">
        <v>3999</v>
      </c>
      <c r="EL266" t="s">
        <v>4000</v>
      </c>
      <c r="EM266" t="s">
        <v>4001</v>
      </c>
      <c r="EN266" t="s">
        <v>3803</v>
      </c>
      <c r="EO266" t="s">
        <v>4002</v>
      </c>
      <c r="EP266" t="s">
        <v>4003</v>
      </c>
      <c r="EQ266">
        <v>8</v>
      </c>
      <c r="ER266">
        <v>8</v>
      </c>
      <c r="ES266">
        <v>8</v>
      </c>
      <c r="ET266">
        <v>8</v>
      </c>
      <c r="EU266">
        <v>8</v>
      </c>
      <c r="EV266">
        <v>0.1</v>
      </c>
      <c r="EW266">
        <v>0.1</v>
      </c>
      <c r="EX266">
        <v>0.2</v>
      </c>
      <c r="EY266">
        <v>0.3</v>
      </c>
      <c r="EZ266">
        <v>0.3</v>
      </c>
      <c r="FA266">
        <f>EV266*EQ266</f>
        <v>0.8</v>
      </c>
      <c r="FB266">
        <f>EW266*ER266</f>
        <v>0.8</v>
      </c>
      <c r="FC266">
        <f>EX266*ES266</f>
        <v>1.6</v>
      </c>
      <c r="FD266">
        <f>EY266*ET266</f>
        <v>2.4</v>
      </c>
      <c r="FE266">
        <f>EZ266*EU266</f>
        <v>2.4</v>
      </c>
      <c r="FF266">
        <v>16</v>
      </c>
      <c r="FG266">
        <v>0</v>
      </c>
      <c r="FH266">
        <v>8</v>
      </c>
      <c r="FI266">
        <f>FA266+FB266+FC266+FD266+FE266</f>
        <v>8</v>
      </c>
      <c r="FJ266">
        <f>MEDIAN(EQ266:EU266)</f>
        <v>8</v>
      </c>
      <c r="FL266">
        <v>38.58</v>
      </c>
      <c r="FM266">
        <v>4.5999999999999996</v>
      </c>
      <c r="FN266" t="s">
        <v>1271</v>
      </c>
      <c r="FO266" t="s">
        <v>971</v>
      </c>
      <c r="FP266" t="s">
        <v>1272</v>
      </c>
      <c r="FQ266" t="s">
        <v>1273</v>
      </c>
      <c r="FR266" t="s">
        <v>974</v>
      </c>
      <c r="FS266">
        <v>5</v>
      </c>
      <c r="FT266">
        <v>7.5</v>
      </c>
      <c r="FU266">
        <v>6</v>
      </c>
      <c r="FV266">
        <v>4</v>
      </c>
      <c r="FW266">
        <v>3</v>
      </c>
      <c r="FX266">
        <v>0.1</v>
      </c>
      <c r="FY266">
        <v>0.1</v>
      </c>
      <c r="FZ266">
        <v>0.2</v>
      </c>
      <c r="GA266">
        <v>0.3</v>
      </c>
      <c r="GB266">
        <v>0.3</v>
      </c>
      <c r="GC266">
        <f>FS266*FX266</f>
        <v>0.5</v>
      </c>
      <c r="GD266">
        <f>FT266*FY266</f>
        <v>0.75</v>
      </c>
      <c r="GE266">
        <f>FU266*FZ266</f>
        <v>1.2000000000000002</v>
      </c>
      <c r="GF266">
        <f>FV266*GA266</f>
        <v>1.2</v>
      </c>
      <c r="GG266">
        <f>FW266*GB266</f>
        <v>0.89999999999999991</v>
      </c>
      <c r="GH266">
        <v>4.8</v>
      </c>
      <c r="GI266">
        <v>-0.2</v>
      </c>
      <c r="GJ266">
        <v>4.5999999999999996</v>
      </c>
      <c r="GK266">
        <f>GC266+GD266+GE266+GF266+GG266</f>
        <v>4.5500000000000007</v>
      </c>
      <c r="GL266">
        <f>MEDIAN(FS266:FW266)</f>
        <v>5</v>
      </c>
    </row>
    <row r="267" spans="1:194" hidden="1" x14ac:dyDescent="0.25">
      <c r="A267">
        <v>266</v>
      </c>
      <c r="B267" t="s">
        <v>2</v>
      </c>
      <c r="C267" s="4">
        <v>37.950000000000003</v>
      </c>
      <c r="D267">
        <v>3.3</v>
      </c>
      <c r="E267" s="1">
        <f>C267/3/D267</f>
        <v>3.8333333333333335</v>
      </c>
      <c r="G267">
        <v>38.229999999999997</v>
      </c>
      <c r="H267">
        <v>8.1999999999999993</v>
      </c>
      <c r="I267">
        <f>H267*D267*3</f>
        <v>81.179999999999978</v>
      </c>
      <c r="J267">
        <v>16.02</v>
      </c>
      <c r="K267">
        <v>9</v>
      </c>
      <c r="L267" s="3">
        <f>K267*3*D267</f>
        <v>89.1</v>
      </c>
      <c r="M267">
        <v>5.87</v>
      </c>
      <c r="N267">
        <v>9</v>
      </c>
      <c r="O267">
        <f>N267*D267*3</f>
        <v>89.1</v>
      </c>
      <c r="P267" s="5">
        <v>7.3</v>
      </c>
      <c r="Q267" s="5">
        <f>P267*D267*3</f>
        <v>72.27</v>
      </c>
      <c r="S267" t="s">
        <v>6394</v>
      </c>
      <c r="T267">
        <v>7</v>
      </c>
      <c r="U267" s="8">
        <f>T267*D267*3</f>
        <v>69.3</v>
      </c>
      <c r="V267">
        <v>32.17</v>
      </c>
      <c r="W267">
        <v>8.4</v>
      </c>
      <c r="X267" s="5">
        <f>W267*D267*3</f>
        <v>83.16</v>
      </c>
      <c r="Y267">
        <v>9.27</v>
      </c>
      <c r="Z267">
        <v>7.5</v>
      </c>
      <c r="AA267">
        <f>Z267*D267*3</f>
        <v>74.25</v>
      </c>
      <c r="AC267">
        <v>124.41</v>
      </c>
      <c r="AD267">
        <v>7.3000000000000007</v>
      </c>
      <c r="AE267" s="1">
        <f>AD267*3*D267</f>
        <v>72.27000000000001</v>
      </c>
      <c r="AF267">
        <v>12.16</v>
      </c>
      <c r="AG267" s="5">
        <v>7</v>
      </c>
      <c r="AH267" s="5">
        <f>AG267*D267*3</f>
        <v>69.3</v>
      </c>
      <c r="AI267" s="13"/>
      <c r="AJ267">
        <v>9</v>
      </c>
      <c r="AK267" s="8">
        <f>AJ267*D267*3</f>
        <v>89.1</v>
      </c>
      <c r="AL267" s="13"/>
      <c r="AM267">
        <v>30.45</v>
      </c>
      <c r="AN267">
        <v>7.3</v>
      </c>
      <c r="AO267" s="8">
        <f>AN267*D267*3</f>
        <v>72.27</v>
      </c>
      <c r="AP267">
        <v>14.94</v>
      </c>
      <c r="AQ267">
        <v>9.4</v>
      </c>
      <c r="AR267">
        <f>AQ267*D267*3</f>
        <v>93.06</v>
      </c>
      <c r="AT267">
        <v>9.1999999999999993</v>
      </c>
      <c r="AU267">
        <f>AT267*D267*3</f>
        <v>91.079999999999984</v>
      </c>
      <c r="AX267">
        <v>9.6</v>
      </c>
      <c r="AY267">
        <f>AX267*D267*3</f>
        <v>95.039999999999992</v>
      </c>
      <c r="BA267">
        <v>8.6999999999999993</v>
      </c>
      <c r="BB267">
        <f>BA267*D267*3</f>
        <v>86.13</v>
      </c>
      <c r="BD267">
        <v>8.3000000000000007</v>
      </c>
      <c r="BE267">
        <f>BD267*D267*3</f>
        <v>82.17</v>
      </c>
      <c r="BG267" s="10"/>
      <c r="BH267" s="1">
        <f>CHOOSE(MATCH(MIN(ABS(BP267-C267),ABS(BQ267-C267),ABS(BR267-C267)),CHOOSE({1;2;3},ABS(BP267-C267),ABS(BQ267-C267),ABS(BR267-C267)),0),BP267,BQ267,BR267)</f>
        <v>49.5</v>
      </c>
      <c r="BJ267" s="1" cm="1">
        <f t="array" ref="BJ267">(INDEX(_xlfn._xlws.SORT(CHOOSE({1;2;3;4;5;6},BQ267,BR267,L267,AE267,BO267,BP267)),3) + INDEX(_xlfn._xlws.SORT(CHOOSE({1;2;3;4;5;6},BQ267,BR267,L267,AE267,BO267,BP267)),4))/2</f>
        <v>70.784999999999997</v>
      </c>
      <c r="BK267">
        <v>3.86451188445022</v>
      </c>
      <c r="BL267" t="s">
        <v>6117</v>
      </c>
      <c r="BM267" s="1">
        <f>BK267*3*D267</f>
        <v>38.258667656057177</v>
      </c>
      <c r="BN267" s="1">
        <f>BM267-C267</f>
        <v>0.30866765605717461</v>
      </c>
      <c r="BO267" s="1">
        <f>GK267*3*D267</f>
        <v>53.460000000000008</v>
      </c>
      <c r="BP267" s="1">
        <f>DO267*3*D267</f>
        <v>89.1</v>
      </c>
      <c r="BQ267" s="1">
        <f>FJ267*3*D267</f>
        <v>69.3</v>
      </c>
      <c r="BR267" s="1">
        <f>GL267*3*D267</f>
        <v>49.5</v>
      </c>
      <c r="BT267">
        <v>38.229999999999997</v>
      </c>
      <c r="BU267">
        <v>8.1999999999999993</v>
      </c>
      <c r="BV267" t="s">
        <v>5826</v>
      </c>
      <c r="BW267" t="s">
        <v>5056</v>
      </c>
      <c r="BX267" t="s">
        <v>5200</v>
      </c>
      <c r="BY267" t="s">
        <v>5827</v>
      </c>
      <c r="BZ267" t="s">
        <v>5828</v>
      </c>
      <c r="CA267" t="s">
        <v>2506</v>
      </c>
      <c r="CC267" t="s">
        <v>3065</v>
      </c>
      <c r="CD267" t="s">
        <v>2508</v>
      </c>
      <c r="CE267" t="s">
        <v>2440</v>
      </c>
      <c r="CG267" t="s">
        <v>2509</v>
      </c>
      <c r="CH267" t="s">
        <v>2510</v>
      </c>
      <c r="CI267" t="s">
        <v>2443</v>
      </c>
      <c r="CK267" t="s">
        <v>2511</v>
      </c>
      <c r="CL267" t="s">
        <v>2512</v>
      </c>
      <c r="CM267" t="s">
        <v>2446</v>
      </c>
      <c r="CO267" t="s">
        <v>2513</v>
      </c>
      <c r="CP267" t="s">
        <v>2514</v>
      </c>
      <c r="CQ267" t="s">
        <v>2449</v>
      </c>
      <c r="CS267" t="s">
        <v>2523</v>
      </c>
      <c r="CT267" t="s">
        <v>2524</v>
      </c>
      <c r="CV267">
        <v>9</v>
      </c>
      <c r="CW267">
        <v>9</v>
      </c>
      <c r="CX267">
        <v>9</v>
      </c>
      <c r="CY267">
        <v>9</v>
      </c>
      <c r="CZ267">
        <v>9</v>
      </c>
      <c r="DA267">
        <v>0.1</v>
      </c>
      <c r="DB267">
        <v>0.1</v>
      </c>
      <c r="DC267">
        <v>0.2</v>
      </c>
      <c r="DD267">
        <v>0.3</v>
      </c>
      <c r="DE267">
        <v>0.3</v>
      </c>
      <c r="DF267">
        <v>0.9</v>
      </c>
      <c r="DG267">
        <v>0.9</v>
      </c>
      <c r="DH267">
        <v>1.8</v>
      </c>
      <c r="DI267">
        <v>2.7</v>
      </c>
      <c r="DJ267">
        <v>2.7</v>
      </c>
      <c r="DK267">
        <v>8.1999999999999993</v>
      </c>
      <c r="DL267">
        <v>0</v>
      </c>
      <c r="DM267">
        <v>8.1999999999999993</v>
      </c>
      <c r="DN267">
        <v>9</v>
      </c>
      <c r="DO267">
        <f>AVERAGE(CV267:CZ267)</f>
        <v>9</v>
      </c>
      <c r="DQ267" t="s">
        <v>27</v>
      </c>
      <c r="DR267" t="s">
        <v>65</v>
      </c>
      <c r="DS267" t="s">
        <v>66</v>
      </c>
      <c r="DT267" t="s">
        <v>67</v>
      </c>
      <c r="DU267" t="s">
        <v>325</v>
      </c>
      <c r="DV267" t="s">
        <v>81</v>
      </c>
      <c r="DW267" t="s">
        <v>3769</v>
      </c>
      <c r="DX267" t="s">
        <v>3770</v>
      </c>
      <c r="DY267" t="s">
        <v>3771</v>
      </c>
      <c r="DZ267" t="s">
        <v>3772</v>
      </c>
      <c r="EA267" t="s">
        <v>3773</v>
      </c>
      <c r="EB267" t="s">
        <v>3774</v>
      </c>
      <c r="EC267" t="s">
        <v>3775</v>
      </c>
      <c r="ED267" t="s">
        <v>3776</v>
      </c>
      <c r="EE267" t="s">
        <v>3777</v>
      </c>
      <c r="EF267" t="s">
        <v>3778</v>
      </c>
      <c r="EG267" t="s">
        <v>3779</v>
      </c>
      <c r="EH267" t="s">
        <v>3780</v>
      </c>
      <c r="EI267" t="s">
        <v>3781</v>
      </c>
      <c r="EJ267" t="s">
        <v>3782</v>
      </c>
      <c r="EK267" t="s">
        <v>4017</v>
      </c>
      <c r="EL267" t="s">
        <v>3815</v>
      </c>
      <c r="EM267" t="s">
        <v>3930</v>
      </c>
      <c r="EN267" t="s">
        <v>3931</v>
      </c>
      <c r="EO267" t="s">
        <v>4106</v>
      </c>
      <c r="EP267" t="s">
        <v>4107</v>
      </c>
      <c r="EQ267">
        <v>7</v>
      </c>
      <c r="ER267">
        <v>8</v>
      </c>
      <c r="ES267">
        <v>8</v>
      </c>
      <c r="ET267">
        <v>7</v>
      </c>
      <c r="EU267">
        <v>7</v>
      </c>
      <c r="EV267">
        <v>0.1</v>
      </c>
      <c r="EW267">
        <v>0.1</v>
      </c>
      <c r="EX267">
        <v>0.2</v>
      </c>
      <c r="EY267">
        <v>0.3</v>
      </c>
      <c r="EZ267">
        <v>0.3</v>
      </c>
      <c r="FA267">
        <f>EV267*EQ267</f>
        <v>0.70000000000000007</v>
      </c>
      <c r="FB267">
        <f>EW267*ER267</f>
        <v>0.8</v>
      </c>
      <c r="FC267">
        <f>EX267*ES267</f>
        <v>1.6</v>
      </c>
      <c r="FD267">
        <f>EY267*ET267</f>
        <v>2.1</v>
      </c>
      <c r="FE267">
        <f>EZ267*EU267</f>
        <v>2.1</v>
      </c>
      <c r="FF267">
        <v>14.7</v>
      </c>
      <c r="FG267">
        <v>0.5</v>
      </c>
      <c r="FH267">
        <v>10</v>
      </c>
      <c r="FI267">
        <f>FA267+FB267+FC267+FD267+FE267</f>
        <v>7.3000000000000007</v>
      </c>
      <c r="FJ267">
        <f>MEDIAN(EQ267:EU267)</f>
        <v>7</v>
      </c>
      <c r="FL267">
        <v>39.520000000000003</v>
      </c>
      <c r="FM267">
        <v>9</v>
      </c>
      <c r="FN267" t="s">
        <v>1866</v>
      </c>
      <c r="FO267" t="s">
        <v>1867</v>
      </c>
      <c r="FP267" t="s">
        <v>1868</v>
      </c>
      <c r="FQ267" t="s">
        <v>1869</v>
      </c>
      <c r="FR267" t="s">
        <v>1870</v>
      </c>
      <c r="FS267">
        <v>5</v>
      </c>
      <c r="FT267">
        <v>4</v>
      </c>
      <c r="FU267">
        <v>3</v>
      </c>
      <c r="FV267">
        <v>6</v>
      </c>
      <c r="FW267">
        <v>7</v>
      </c>
      <c r="FX267">
        <v>0.1</v>
      </c>
      <c r="FY267">
        <v>0.1</v>
      </c>
      <c r="FZ267">
        <v>0.2</v>
      </c>
      <c r="GA267">
        <v>0.3</v>
      </c>
      <c r="GB267">
        <v>0.3</v>
      </c>
      <c r="GC267">
        <f>FS267*FX267</f>
        <v>0.5</v>
      </c>
      <c r="GD267">
        <f>FT267*FY267</f>
        <v>0.4</v>
      </c>
      <c r="GE267">
        <f>FU267*FZ267</f>
        <v>0.60000000000000009</v>
      </c>
      <c r="GF267">
        <f>FV267*GA267</f>
        <v>1.7999999999999998</v>
      </c>
      <c r="GG267">
        <f>FW267*GB267</f>
        <v>2.1</v>
      </c>
      <c r="GH267">
        <v>9</v>
      </c>
      <c r="GI267">
        <v>0</v>
      </c>
      <c r="GJ267">
        <v>9</v>
      </c>
      <c r="GK267">
        <f>GC267+GD267+GE267+GF267+GG267</f>
        <v>5.4</v>
      </c>
      <c r="GL267">
        <f>MEDIAN(FS267:FW267)</f>
        <v>5</v>
      </c>
    </row>
    <row r="268" spans="1:194" hidden="1" x14ac:dyDescent="0.25">
      <c r="A268">
        <v>267</v>
      </c>
      <c r="B268" t="s">
        <v>2</v>
      </c>
      <c r="C268" s="4">
        <v>88.8</v>
      </c>
      <c r="D268">
        <v>3.7</v>
      </c>
      <c r="E268" s="1">
        <f>C268/3/D268</f>
        <v>7.9999999999999991</v>
      </c>
      <c r="G268">
        <v>83.19</v>
      </c>
      <c r="H268">
        <v>8.1999999999999993</v>
      </c>
      <c r="I268">
        <f>H268*D268*3</f>
        <v>91.02</v>
      </c>
      <c r="J268">
        <v>16.61</v>
      </c>
      <c r="K268">
        <v>9</v>
      </c>
      <c r="L268" s="3">
        <f>K268*3*D268</f>
        <v>99.9</v>
      </c>
      <c r="M268">
        <v>4.09</v>
      </c>
      <c r="N268">
        <v>8.9</v>
      </c>
      <c r="O268">
        <f>N268*D268*3</f>
        <v>98.789999999999992</v>
      </c>
      <c r="P268" s="5">
        <v>8.1999999999999993</v>
      </c>
      <c r="Q268" s="5">
        <f>P268*D268*3</f>
        <v>91.02</v>
      </c>
      <c r="S268" t="s">
        <v>6395</v>
      </c>
      <c r="T268">
        <v>7.4</v>
      </c>
      <c r="U268" s="8">
        <f>T268*D268*3</f>
        <v>82.140000000000015</v>
      </c>
      <c r="V268">
        <v>30.63</v>
      </c>
      <c r="W268">
        <v>8.4</v>
      </c>
      <c r="X268" s="5">
        <f>W268*D268*3</f>
        <v>93.240000000000009</v>
      </c>
      <c r="Y268">
        <v>8.89</v>
      </c>
      <c r="Z268">
        <v>6</v>
      </c>
      <c r="AA268">
        <f>Z268*D268*3</f>
        <v>66.600000000000009</v>
      </c>
      <c r="AC268">
        <v>141.12</v>
      </c>
      <c r="AD268">
        <v>7.9</v>
      </c>
      <c r="AE268" s="1">
        <f>AD268*3*D268</f>
        <v>87.690000000000012</v>
      </c>
      <c r="AF268">
        <v>9.67</v>
      </c>
      <c r="AH268" s="5">
        <f>AG268*D268*3</f>
        <v>0</v>
      </c>
      <c r="AI268" s="13"/>
      <c r="AJ268">
        <v>2.8</v>
      </c>
      <c r="AK268" s="8">
        <f>AJ268*D268*3</f>
        <v>31.08</v>
      </c>
      <c r="AL268" s="13"/>
      <c r="AM268">
        <v>32.58</v>
      </c>
      <c r="AN268">
        <v>7.3</v>
      </c>
      <c r="AO268" s="8">
        <f>AN268*D268*3</f>
        <v>81.03</v>
      </c>
      <c r="AP268">
        <v>15.25</v>
      </c>
      <c r="AQ268">
        <v>10</v>
      </c>
      <c r="AR268">
        <f>AQ268*D268*3</f>
        <v>111</v>
      </c>
      <c r="AT268">
        <v>9</v>
      </c>
      <c r="AU268">
        <f>AT268*D268*3</f>
        <v>99.9</v>
      </c>
      <c r="AX268">
        <v>9</v>
      </c>
      <c r="AY268">
        <f>AX268*D268*3</f>
        <v>99.9</v>
      </c>
      <c r="BA268">
        <v>9.4</v>
      </c>
      <c r="BB268">
        <f>BA268*D268*3</f>
        <v>104.34</v>
      </c>
      <c r="BD268">
        <v>9</v>
      </c>
      <c r="BE268">
        <f>BD268*D268*3</f>
        <v>99.9</v>
      </c>
      <c r="BG268" s="10"/>
      <c r="BH268" s="1">
        <f>CHOOSE(MATCH(MIN(ABS(BP268-C268),ABS(BQ268-C268),ABS(BR268-C268)),CHOOSE({1;2;3},ABS(BP268-C268),ABS(BQ268-C268),ABS(BR268-C268)),0),BP268,BQ268,BR268)</f>
        <v>88.800000000000011</v>
      </c>
      <c r="BJ268" s="1" cm="1">
        <f t="array" ref="BJ268">(INDEX(_xlfn._xlws.SORT(CHOOSE({1;2;3;4;5;6},BQ268,BR268,L268,AE268,BO268,BP268)),3) + INDEX(_xlfn._xlws.SORT(CHOOSE({1;2;3;4;5;6},BQ268,BR268,L268,AE268,BO268,BP268)),4))/2</f>
        <v>88.800000000000011</v>
      </c>
      <c r="BK268">
        <v>7.9701020492049803</v>
      </c>
      <c r="BL268" t="s">
        <v>6117</v>
      </c>
      <c r="BM268" s="1">
        <f>BK268*3*D268</f>
        <v>88.468132746175286</v>
      </c>
      <c r="BN268" s="1">
        <f>BM268-C268</f>
        <v>-0.33186725382471138</v>
      </c>
      <c r="BO268" s="1">
        <f>GK268*3*D268</f>
        <v>84.360000000000014</v>
      </c>
      <c r="BP268" s="1">
        <f>DO268*3*D268</f>
        <v>99.9</v>
      </c>
      <c r="BQ268" s="1">
        <f>FJ268*3*D268</f>
        <v>88.800000000000011</v>
      </c>
      <c r="BR268" s="1">
        <f>GL268*3*D268</f>
        <v>88.800000000000011</v>
      </c>
      <c r="BT268">
        <v>83.19</v>
      </c>
      <c r="BU268">
        <v>8.1999999999999993</v>
      </c>
      <c r="BV268" t="s">
        <v>5032</v>
      </c>
      <c r="BW268" t="s">
        <v>5033</v>
      </c>
      <c r="BX268" t="s">
        <v>5322</v>
      </c>
      <c r="BY268" t="s">
        <v>5829</v>
      </c>
      <c r="BZ268" t="s">
        <v>5036</v>
      </c>
      <c r="CA268" t="s">
        <v>2550</v>
      </c>
      <c r="CC268" t="s">
        <v>2634</v>
      </c>
      <c r="CD268" t="s">
        <v>2635</v>
      </c>
      <c r="CE268" t="s">
        <v>2482</v>
      </c>
      <c r="CG268" t="s">
        <v>2636</v>
      </c>
      <c r="CH268" t="s">
        <v>2637</v>
      </c>
      <c r="CI268" t="s">
        <v>3452</v>
      </c>
      <c r="CK268" t="s">
        <v>3278</v>
      </c>
      <c r="CL268" t="s">
        <v>3279</v>
      </c>
      <c r="CM268" t="s">
        <v>2670</v>
      </c>
      <c r="CO268" t="s">
        <v>3453</v>
      </c>
      <c r="CP268" t="s">
        <v>3426</v>
      </c>
      <c r="CQ268" t="s">
        <v>2672</v>
      </c>
      <c r="CS268" t="s">
        <v>2645</v>
      </c>
      <c r="CT268" t="s">
        <v>2930</v>
      </c>
      <c r="CV268">
        <v>9</v>
      </c>
      <c r="CW268">
        <v>9</v>
      </c>
      <c r="CX268">
        <v>9</v>
      </c>
      <c r="CY268">
        <v>9</v>
      </c>
      <c r="CZ268">
        <v>9</v>
      </c>
      <c r="DA268">
        <v>0.1</v>
      </c>
      <c r="DB268">
        <v>0.1</v>
      </c>
      <c r="DC268">
        <v>0.2</v>
      </c>
      <c r="DD268">
        <v>0.3</v>
      </c>
      <c r="DE268">
        <v>0.3</v>
      </c>
      <c r="DF268">
        <v>0.9</v>
      </c>
      <c r="DG268">
        <v>0.9</v>
      </c>
      <c r="DH268">
        <v>1.8</v>
      </c>
      <c r="DI268">
        <v>2.7</v>
      </c>
      <c r="DJ268">
        <v>2.7</v>
      </c>
      <c r="DK268">
        <v>8.1999999999999993</v>
      </c>
      <c r="DL268">
        <v>0</v>
      </c>
      <c r="DM268">
        <v>8.1999999999999993</v>
      </c>
      <c r="DN268">
        <v>9</v>
      </c>
      <c r="DO268">
        <f>AVERAGE(CV268:CZ268)</f>
        <v>9</v>
      </c>
      <c r="DQ268">
        <v>15</v>
      </c>
      <c r="DR268" t="s">
        <v>28</v>
      </c>
      <c r="DS268" t="s">
        <v>29</v>
      </c>
      <c r="DT268" t="s">
        <v>227</v>
      </c>
      <c r="DU268" t="s">
        <v>215</v>
      </c>
      <c r="DV268" t="s">
        <v>229</v>
      </c>
      <c r="DW268" t="s">
        <v>3805</v>
      </c>
      <c r="DX268" t="s">
        <v>3770</v>
      </c>
      <c r="DY268" t="s">
        <v>3771</v>
      </c>
      <c r="DZ268" t="s">
        <v>3772</v>
      </c>
      <c r="EA268" t="s">
        <v>3806</v>
      </c>
      <c r="EB268" t="s">
        <v>3807</v>
      </c>
      <c r="EC268" t="s">
        <v>3775</v>
      </c>
      <c r="ED268" t="s">
        <v>3776</v>
      </c>
      <c r="EE268" t="s">
        <v>4240</v>
      </c>
      <c r="EF268" t="s">
        <v>3809</v>
      </c>
      <c r="EG268" t="s">
        <v>4588</v>
      </c>
      <c r="EH268" t="s">
        <v>3811</v>
      </c>
      <c r="EI268" t="s">
        <v>4468</v>
      </c>
      <c r="EJ268" t="s">
        <v>3813</v>
      </c>
      <c r="EK268" t="s">
        <v>4469</v>
      </c>
      <c r="EL268" t="s">
        <v>3815</v>
      </c>
      <c r="EM268" t="s">
        <v>4470</v>
      </c>
      <c r="EN268" t="s">
        <v>3809</v>
      </c>
      <c r="EO268" t="s">
        <v>4589</v>
      </c>
      <c r="EP268" t="s">
        <v>3818</v>
      </c>
      <c r="EQ268">
        <v>7</v>
      </c>
      <c r="ER268">
        <v>8</v>
      </c>
      <c r="ES268">
        <v>8</v>
      </c>
      <c r="ET268">
        <v>8</v>
      </c>
      <c r="EU268">
        <v>8</v>
      </c>
      <c r="EV268">
        <v>0.1</v>
      </c>
      <c r="EW268">
        <v>0.1</v>
      </c>
      <c r="EX268">
        <v>0.2</v>
      </c>
      <c r="EY268">
        <v>0.3</v>
      </c>
      <c r="EZ268">
        <v>0.3</v>
      </c>
      <c r="FA268">
        <f>EV268*EQ268</f>
        <v>0.70000000000000007</v>
      </c>
      <c r="FB268">
        <f>EW268*ER268</f>
        <v>0.8</v>
      </c>
      <c r="FC268">
        <f>EX268*ES268</f>
        <v>1.6</v>
      </c>
      <c r="FD268">
        <f>EY268*ET268</f>
        <v>2.4</v>
      </c>
      <c r="FE268">
        <f>EZ268*EU268</f>
        <v>2.4</v>
      </c>
      <c r="FF268">
        <v>15</v>
      </c>
      <c r="FG268">
        <v>0</v>
      </c>
      <c r="FH268">
        <v>15</v>
      </c>
      <c r="FI268">
        <f>FA268+FB268+FC268+FD268+FE268</f>
        <v>7.9</v>
      </c>
      <c r="FJ268">
        <f>MEDIAN(EQ268:EU268)</f>
        <v>8</v>
      </c>
      <c r="FL268">
        <v>77.69</v>
      </c>
      <c r="FM268">
        <v>7</v>
      </c>
      <c r="FN268" t="s">
        <v>1871</v>
      </c>
      <c r="FO268" t="s">
        <v>1872</v>
      </c>
      <c r="FP268" t="s">
        <v>1873</v>
      </c>
      <c r="FQ268" t="s">
        <v>1874</v>
      </c>
      <c r="FR268" t="s">
        <v>1875</v>
      </c>
      <c r="FS268">
        <v>10</v>
      </c>
      <c r="FT268">
        <v>9.5</v>
      </c>
      <c r="FU268">
        <v>8</v>
      </c>
      <c r="FV268">
        <v>7.5</v>
      </c>
      <c r="FW268">
        <v>6</v>
      </c>
      <c r="FX268">
        <v>0.1</v>
      </c>
      <c r="FY268">
        <v>0.1</v>
      </c>
      <c r="FZ268">
        <v>0.2</v>
      </c>
      <c r="GA268">
        <v>0.3</v>
      </c>
      <c r="GB268">
        <v>0.3</v>
      </c>
      <c r="GC268">
        <f>FS268*FX268</f>
        <v>1</v>
      </c>
      <c r="GD268">
        <f>FT268*FY268</f>
        <v>0.95000000000000007</v>
      </c>
      <c r="GE268">
        <f>FU268*FZ268</f>
        <v>1.6</v>
      </c>
      <c r="GF268">
        <f>FV268*GA268</f>
        <v>2.25</v>
      </c>
      <c r="GG268">
        <f>FW268*GB268</f>
        <v>1.7999999999999998</v>
      </c>
      <c r="GH268">
        <v>6.4</v>
      </c>
      <c r="GI268">
        <v>0.6</v>
      </c>
      <c r="GJ268">
        <v>7</v>
      </c>
      <c r="GK268">
        <f>GC268+GD268+GE268+GF268+GG268</f>
        <v>7.6000000000000005</v>
      </c>
      <c r="GL268">
        <f>MEDIAN(FS268:FW268)</f>
        <v>8</v>
      </c>
    </row>
    <row r="269" spans="1:194" hidden="1" x14ac:dyDescent="0.25">
      <c r="A269">
        <v>268</v>
      </c>
      <c r="B269" t="s">
        <v>2</v>
      </c>
      <c r="C269" s="4">
        <v>94.05</v>
      </c>
      <c r="D269">
        <v>3.3</v>
      </c>
      <c r="E269" s="1">
        <f>C269/3/D269</f>
        <v>9.5</v>
      </c>
      <c r="G269">
        <v>38.840000000000003</v>
      </c>
      <c r="H269">
        <v>8.1999999999999993</v>
      </c>
      <c r="I269">
        <f>H269*D269*3</f>
        <v>81.179999999999978</v>
      </c>
      <c r="J269">
        <v>18.649999999999999</v>
      </c>
      <c r="K269">
        <v>9</v>
      </c>
      <c r="L269" s="3">
        <f>K269*3*D269</f>
        <v>89.1</v>
      </c>
      <c r="M269">
        <v>4.3899999999999997</v>
      </c>
      <c r="N269">
        <v>3</v>
      </c>
      <c r="O269">
        <f>N269*D269*3</f>
        <v>29.699999999999996</v>
      </c>
      <c r="P269" s="5">
        <v>8.1999999999999993</v>
      </c>
      <c r="Q269" s="5">
        <f>P269*D269*3</f>
        <v>81.179999999999978</v>
      </c>
      <c r="S269" t="s">
        <v>6396</v>
      </c>
      <c r="T269">
        <v>7</v>
      </c>
      <c r="U269" s="8">
        <f>T269*D269*3</f>
        <v>69.3</v>
      </c>
      <c r="V269">
        <v>31.67</v>
      </c>
      <c r="W269">
        <v>8</v>
      </c>
      <c r="X269" s="5">
        <f>W269*D269*3</f>
        <v>79.199999999999989</v>
      </c>
      <c r="Y269">
        <v>9.17</v>
      </c>
      <c r="Z269">
        <v>6</v>
      </c>
      <c r="AA269">
        <f>Z269*D269*3</f>
        <v>59.399999999999991</v>
      </c>
      <c r="AC269">
        <v>117.75</v>
      </c>
      <c r="AD269">
        <v>7.9</v>
      </c>
      <c r="AE269" s="1">
        <f>AD269*3*D269</f>
        <v>78.210000000000008</v>
      </c>
      <c r="AF269">
        <v>13.44</v>
      </c>
      <c r="AH269" s="5">
        <f>AG269*D269*3</f>
        <v>0</v>
      </c>
      <c r="AI269" s="13"/>
      <c r="AJ269">
        <v>23</v>
      </c>
      <c r="AK269" s="8">
        <f>AJ269*D269*3</f>
        <v>227.7</v>
      </c>
      <c r="AL269" s="13"/>
      <c r="AM269">
        <v>30.93</v>
      </c>
      <c r="AN269">
        <v>7.3</v>
      </c>
      <c r="AO269" s="8">
        <f>AN269*D269*3</f>
        <v>72.27</v>
      </c>
      <c r="AP269">
        <v>13.17</v>
      </c>
      <c r="AQ269">
        <v>10</v>
      </c>
      <c r="AR269">
        <f>AQ269*D269*3</f>
        <v>99</v>
      </c>
      <c r="AT269">
        <v>8.9</v>
      </c>
      <c r="AU269">
        <f>AT269*D269*3</f>
        <v>88.11</v>
      </c>
      <c r="AX269">
        <v>9.1</v>
      </c>
      <c r="AY269">
        <f>AX269*D269*3</f>
        <v>90.089999999999989</v>
      </c>
      <c r="BA269">
        <v>8.6999999999999993</v>
      </c>
      <c r="BB269">
        <f>BA269*D269*3</f>
        <v>86.13</v>
      </c>
      <c r="BD269">
        <v>9</v>
      </c>
      <c r="BE269">
        <f>BD269*D269*3</f>
        <v>89.1</v>
      </c>
      <c r="BG269" s="10"/>
      <c r="BH269" s="1">
        <f>CHOOSE(MATCH(MIN(ABS(BP269-C269),ABS(BQ269-C269),ABS(BR269-C269)),CHOOSE({1;2;3},ABS(BP269-C269),ABS(BQ269-C269),ABS(BR269-C269)),0),BP269,BQ269,BR269)</f>
        <v>89.1</v>
      </c>
      <c r="BJ269" s="1" cm="1">
        <f t="array" ref="BJ269">(INDEX(_xlfn._xlws.SORT(CHOOSE({1;2;3;4;5;6},BQ269,BR269,L269,AE269,BO269,BP269)),3) + INDEX(_xlfn._xlws.SORT(CHOOSE({1;2;3;4;5;6},BQ269,BR269,L269,AE269,BO269,BP269)),4))/2</f>
        <v>78.704999999999998</v>
      </c>
      <c r="BK269">
        <v>9.4748990671005302</v>
      </c>
      <c r="BL269" t="s">
        <v>6117</v>
      </c>
      <c r="BM269" s="1">
        <f>BK269*3*D269</f>
        <v>93.801500764295241</v>
      </c>
      <c r="BN269" s="1">
        <f>BM269-C269</f>
        <v>-0.24849923570475596</v>
      </c>
      <c r="BO269" s="1">
        <f>GK269*3*D269</f>
        <v>51.480000000000004</v>
      </c>
      <c r="BP269" s="1">
        <f>DO269*3*D269</f>
        <v>89.1</v>
      </c>
      <c r="BQ269" s="1">
        <f>FJ269*3*D269</f>
        <v>79.199999999999989</v>
      </c>
      <c r="BR269" s="1">
        <f>GL269*3*D269</f>
        <v>49.5</v>
      </c>
      <c r="BT269">
        <v>38.840000000000003</v>
      </c>
      <c r="BU269">
        <v>8.1999999999999993</v>
      </c>
      <c r="BV269" t="s">
        <v>5114</v>
      </c>
      <c r="BW269" t="s">
        <v>5830</v>
      </c>
      <c r="BX269" t="s">
        <v>5095</v>
      </c>
      <c r="BY269" t="s">
        <v>5831</v>
      </c>
      <c r="BZ269" t="s">
        <v>5832</v>
      </c>
      <c r="CA269" t="s">
        <v>2550</v>
      </c>
      <c r="CC269" t="s">
        <v>2481</v>
      </c>
      <c r="CD269" t="s">
        <v>2481</v>
      </c>
      <c r="CE269" t="s">
        <v>3034</v>
      </c>
      <c r="CG269" t="s">
        <v>2483</v>
      </c>
      <c r="CH269" t="s">
        <v>2483</v>
      </c>
      <c r="CI269" t="s">
        <v>3454</v>
      </c>
      <c r="CK269" t="s">
        <v>3455</v>
      </c>
      <c r="CL269" t="s">
        <v>3455</v>
      </c>
      <c r="CM269" t="s">
        <v>3136</v>
      </c>
      <c r="CO269" t="s">
        <v>2487</v>
      </c>
      <c r="CP269" t="s">
        <v>2487</v>
      </c>
      <c r="CQ269" t="s">
        <v>3456</v>
      </c>
      <c r="CS269" t="s">
        <v>3388</v>
      </c>
      <c r="CT269" t="s">
        <v>3388</v>
      </c>
      <c r="CV269">
        <v>9</v>
      </c>
      <c r="CW269">
        <v>9</v>
      </c>
      <c r="CX269">
        <v>9</v>
      </c>
      <c r="CY269">
        <v>9</v>
      </c>
      <c r="CZ269">
        <v>9</v>
      </c>
      <c r="DA269">
        <v>0.1</v>
      </c>
      <c r="DB269">
        <v>0.1</v>
      </c>
      <c r="DC269">
        <v>0.2</v>
      </c>
      <c r="DD269">
        <v>0.3</v>
      </c>
      <c r="DE269">
        <v>0.3</v>
      </c>
      <c r="DF269">
        <v>0.9</v>
      </c>
      <c r="DG269">
        <v>0.9</v>
      </c>
      <c r="DH269">
        <v>1.8</v>
      </c>
      <c r="DI269">
        <v>2.7</v>
      </c>
      <c r="DJ269">
        <v>2.7</v>
      </c>
      <c r="DK269">
        <v>8.1999999999999993</v>
      </c>
      <c r="DL269">
        <v>0</v>
      </c>
      <c r="DM269">
        <v>8.1999999999999993</v>
      </c>
      <c r="DN269">
        <v>9</v>
      </c>
      <c r="DO269">
        <f>AVERAGE(CV269:CZ269)</f>
        <v>9</v>
      </c>
      <c r="DQ269">
        <v>8</v>
      </c>
      <c r="DR269" t="s">
        <v>65</v>
      </c>
      <c r="DS269" t="s">
        <v>66</v>
      </c>
      <c r="DT269" t="s">
        <v>67</v>
      </c>
      <c r="DU269" t="s">
        <v>68</v>
      </c>
      <c r="DV269" t="s">
        <v>97</v>
      </c>
      <c r="DW269" t="s">
        <v>3836</v>
      </c>
      <c r="DX269" t="s">
        <v>4341</v>
      </c>
      <c r="DY269" t="s">
        <v>4342</v>
      </c>
      <c r="DZ269" t="s">
        <v>4343</v>
      </c>
      <c r="EA269" t="s">
        <v>3860</v>
      </c>
      <c r="EB269" t="s">
        <v>3964</v>
      </c>
      <c r="EE269" t="s">
        <v>3886</v>
      </c>
      <c r="EF269" t="s">
        <v>4044</v>
      </c>
      <c r="EI269" t="s">
        <v>4045</v>
      </c>
      <c r="EJ269" t="s">
        <v>4046</v>
      </c>
      <c r="EM269" t="s">
        <v>4780</v>
      </c>
      <c r="EN269" t="s">
        <v>4346</v>
      </c>
      <c r="EQ269">
        <v>7</v>
      </c>
      <c r="ER269">
        <v>8</v>
      </c>
      <c r="ES269">
        <v>8</v>
      </c>
      <c r="ET269">
        <v>8</v>
      </c>
      <c r="EU269">
        <v>8</v>
      </c>
      <c r="EV269">
        <v>0.1</v>
      </c>
      <c r="EW269">
        <v>0.1</v>
      </c>
      <c r="EX269">
        <v>0.2</v>
      </c>
      <c r="EY269">
        <v>0.3</v>
      </c>
      <c r="EZ269">
        <v>0.3</v>
      </c>
      <c r="FA269">
        <f>EV269*EQ269</f>
        <v>0.70000000000000007</v>
      </c>
      <c r="FB269">
        <f>EW269*ER269</f>
        <v>0.8</v>
      </c>
      <c r="FC269">
        <f>EX269*ES269</f>
        <v>1.6</v>
      </c>
      <c r="FD269">
        <f>EY269*ET269</f>
        <v>2.4</v>
      </c>
      <c r="FE269">
        <f>EZ269*EU269</f>
        <v>2.4</v>
      </c>
      <c r="FF269">
        <v>17</v>
      </c>
      <c r="FG269">
        <v>0</v>
      </c>
      <c r="FH269">
        <v>8</v>
      </c>
      <c r="FI269">
        <f>FA269+FB269+FC269+FD269+FE269</f>
        <v>7.9</v>
      </c>
      <c r="FJ269">
        <f>MEDIAN(EQ269:EU269)</f>
        <v>8</v>
      </c>
      <c r="FL269">
        <v>38.69</v>
      </c>
      <c r="FM269">
        <v>6.6</v>
      </c>
      <c r="FN269" t="s">
        <v>1876</v>
      </c>
      <c r="FO269" t="s">
        <v>1877</v>
      </c>
      <c r="FP269" t="s">
        <v>1878</v>
      </c>
      <c r="FQ269" t="s">
        <v>1879</v>
      </c>
      <c r="FR269" t="s">
        <v>1880</v>
      </c>
      <c r="FS269">
        <v>6</v>
      </c>
      <c r="FT269">
        <v>4</v>
      </c>
      <c r="FU269">
        <v>3</v>
      </c>
      <c r="FV269">
        <v>5</v>
      </c>
      <c r="FW269">
        <v>7</v>
      </c>
      <c r="FX269">
        <v>0.1</v>
      </c>
      <c r="FY269">
        <v>0.1</v>
      </c>
      <c r="FZ269">
        <v>0.2</v>
      </c>
      <c r="GA269">
        <v>0.3</v>
      </c>
      <c r="GB269">
        <v>0.3</v>
      </c>
      <c r="GC269">
        <f>FS269*FX269</f>
        <v>0.60000000000000009</v>
      </c>
      <c r="GD269">
        <f>FT269*FY269</f>
        <v>0.4</v>
      </c>
      <c r="GE269">
        <f>FU269*FZ269</f>
        <v>0.60000000000000009</v>
      </c>
      <c r="GF269">
        <f>FV269*GA269</f>
        <v>1.5</v>
      </c>
      <c r="GG269">
        <f>FW269*GB269</f>
        <v>2.1</v>
      </c>
      <c r="GH269">
        <v>6.6</v>
      </c>
      <c r="GI269">
        <v>0</v>
      </c>
      <c r="GJ269">
        <v>6.6</v>
      </c>
      <c r="GK269">
        <f>GC269+GD269+GE269+GF269+GG269</f>
        <v>5.2</v>
      </c>
      <c r="GL269">
        <f>MEDIAN(FS269:FW269)</f>
        <v>5</v>
      </c>
    </row>
    <row r="270" spans="1:194" hidden="1" x14ac:dyDescent="0.25">
      <c r="A270">
        <v>269</v>
      </c>
      <c r="B270" t="s">
        <v>2</v>
      </c>
      <c r="C270" s="4">
        <v>92.75</v>
      </c>
      <c r="D270">
        <v>3.5</v>
      </c>
      <c r="E270" s="1">
        <f>C270/3/D270</f>
        <v>8.8333333333333339</v>
      </c>
      <c r="G270">
        <v>40.049999999999997</v>
      </c>
      <c r="H270">
        <v>8.1</v>
      </c>
      <c r="I270">
        <f>H270*D270*3</f>
        <v>85.05</v>
      </c>
      <c r="J270">
        <v>18.350000000000001</v>
      </c>
      <c r="K270">
        <v>9</v>
      </c>
      <c r="L270" s="3">
        <f>K270*3*D270</f>
        <v>94.5</v>
      </c>
      <c r="M270">
        <v>4.9400000000000004</v>
      </c>
      <c r="N270">
        <v>5.5</v>
      </c>
      <c r="O270">
        <f>N270*D270*3</f>
        <v>57.75</v>
      </c>
      <c r="P270" s="5">
        <v>8.6999999999999993</v>
      </c>
      <c r="Q270" s="5">
        <f>P270*D270*3</f>
        <v>91.35</v>
      </c>
      <c r="S270" t="s">
        <v>6397</v>
      </c>
      <c r="T270">
        <v>4.5</v>
      </c>
      <c r="U270" s="8">
        <f>T270*D270*3</f>
        <v>47.25</v>
      </c>
      <c r="V270">
        <v>31.54</v>
      </c>
      <c r="W270">
        <v>9</v>
      </c>
      <c r="X270" s="5">
        <f>W270*D270*3</f>
        <v>94.5</v>
      </c>
      <c r="Y270">
        <v>11.9</v>
      </c>
      <c r="Z270">
        <v>7.5</v>
      </c>
      <c r="AA270">
        <f>Z270*D270*3</f>
        <v>78.75</v>
      </c>
      <c r="AC270">
        <v>139.33000000000001</v>
      </c>
      <c r="AD270">
        <v>7.1</v>
      </c>
      <c r="AE270" s="1">
        <f>AD270*3*D270</f>
        <v>74.549999999999983</v>
      </c>
      <c r="AF270">
        <v>12.29</v>
      </c>
      <c r="AG270" s="5">
        <v>7</v>
      </c>
      <c r="AH270" s="5">
        <f>AG270*D270*3</f>
        <v>73.5</v>
      </c>
      <c r="AI270" s="13"/>
      <c r="AJ270">
        <v>23</v>
      </c>
      <c r="AK270" s="8">
        <f>AJ270*D270*3</f>
        <v>241.5</v>
      </c>
      <c r="AL270" s="13"/>
      <c r="AM270">
        <v>30.97</v>
      </c>
      <c r="AN270">
        <v>7.3</v>
      </c>
      <c r="AO270" s="8">
        <f>AN270*D270*3</f>
        <v>76.650000000000006</v>
      </c>
      <c r="AP270">
        <v>14.07</v>
      </c>
      <c r="AQ270">
        <v>9.5</v>
      </c>
      <c r="AR270">
        <f>AQ270*D270*3</f>
        <v>99.75</v>
      </c>
      <c r="AT270">
        <v>7.5</v>
      </c>
      <c r="AU270">
        <f>AT270*D270*3</f>
        <v>78.75</v>
      </c>
      <c r="AX270">
        <v>9.4</v>
      </c>
      <c r="AY270">
        <f>AX270*D270*3</f>
        <v>98.699999999999989</v>
      </c>
      <c r="BA270">
        <v>9.1</v>
      </c>
      <c r="BB270">
        <f>BA270*D270*3</f>
        <v>95.55</v>
      </c>
      <c r="BD270">
        <v>8.9</v>
      </c>
      <c r="BE270">
        <f>BD270*D270*3</f>
        <v>93.45</v>
      </c>
      <c r="BG270" s="10"/>
      <c r="BH270" s="1">
        <f>CHOOSE(MATCH(MIN(ABS(BP270-C270),ABS(BQ270-C270),ABS(BR270-C270)),CHOOSE({1;2;3},ABS(BP270-C270),ABS(BQ270-C270),ABS(BR270-C270)),0),BP270,BQ270,BR270)</f>
        <v>88.200000000000017</v>
      </c>
      <c r="BJ270" s="1" cm="1">
        <f t="array" ref="BJ270">(INDEX(_xlfn._xlws.SORT(CHOOSE({1;2;3;4;5;6},BQ270,BR270,L270,AE270,BO270,BP270)),3) + INDEX(_xlfn._xlws.SORT(CHOOSE({1;2;3;4;5;6},BQ270,BR270,L270,AE270,BO270,BP270)),4))/2</f>
        <v>82.6875</v>
      </c>
      <c r="BK270">
        <v>8.7999045278215906</v>
      </c>
      <c r="BL270" t="s">
        <v>6117</v>
      </c>
      <c r="BM270" s="1">
        <f>BK270*3*D270</f>
        <v>92.398997542126708</v>
      </c>
      <c r="BN270" s="1">
        <f>BM270-C270</f>
        <v>-0.35100245787329243</v>
      </c>
      <c r="BO270" s="1">
        <f>GK270*3*D270</f>
        <v>81.375000000000014</v>
      </c>
      <c r="BP270" s="1">
        <f>DO270*3*D270</f>
        <v>88.200000000000017</v>
      </c>
      <c r="BQ270" s="1">
        <f>FJ270*3*D270</f>
        <v>73.5</v>
      </c>
      <c r="BR270" s="1">
        <f>GL270*3*D270</f>
        <v>84</v>
      </c>
      <c r="BT270">
        <v>40.049999999999997</v>
      </c>
      <c r="BU270">
        <v>8.1</v>
      </c>
      <c r="BV270" t="s">
        <v>5412</v>
      </c>
      <c r="BW270" t="s">
        <v>5754</v>
      </c>
      <c r="BX270" t="s">
        <v>5833</v>
      </c>
      <c r="BY270" t="s">
        <v>5834</v>
      </c>
      <c r="BZ270" t="s">
        <v>5835</v>
      </c>
      <c r="CA270" t="s">
        <v>2437</v>
      </c>
      <c r="CC270" t="s">
        <v>2438</v>
      </c>
      <c r="CD270" t="s">
        <v>2439</v>
      </c>
      <c r="CE270" t="s">
        <v>2440</v>
      </c>
      <c r="CG270" t="s">
        <v>2647</v>
      </c>
      <c r="CH270" t="s">
        <v>2648</v>
      </c>
      <c r="CI270" t="s">
        <v>2535</v>
      </c>
      <c r="CK270" t="s">
        <v>2649</v>
      </c>
      <c r="CL270" t="s">
        <v>2650</v>
      </c>
      <c r="CM270" t="s">
        <v>2658</v>
      </c>
      <c r="CO270" t="s">
        <v>3140</v>
      </c>
      <c r="CP270" t="s">
        <v>3141</v>
      </c>
      <c r="CQ270" t="s">
        <v>3202</v>
      </c>
      <c r="CR270" t="s">
        <v>3202</v>
      </c>
      <c r="CS270" t="s">
        <v>3440</v>
      </c>
      <c r="CT270" t="s">
        <v>3457</v>
      </c>
      <c r="CV270">
        <v>9</v>
      </c>
      <c r="CW270">
        <v>9</v>
      </c>
      <c r="CX270">
        <v>9</v>
      </c>
      <c r="CY270">
        <v>9</v>
      </c>
      <c r="CZ270">
        <v>6</v>
      </c>
      <c r="DA270">
        <v>0.1</v>
      </c>
      <c r="DB270">
        <v>0.1</v>
      </c>
      <c r="DC270">
        <v>0.2</v>
      </c>
      <c r="DD270">
        <v>0.3</v>
      </c>
      <c r="DE270">
        <v>0.3</v>
      </c>
      <c r="DF270">
        <v>0.9</v>
      </c>
      <c r="DG270">
        <v>0.9</v>
      </c>
      <c r="DH270">
        <v>1.8</v>
      </c>
      <c r="DI270">
        <v>2.7</v>
      </c>
      <c r="DJ270">
        <v>1.8</v>
      </c>
      <c r="DK270">
        <v>8.1</v>
      </c>
      <c r="DL270">
        <v>0</v>
      </c>
      <c r="DM270">
        <v>8.1</v>
      </c>
      <c r="DN270">
        <v>9</v>
      </c>
      <c r="DO270">
        <f>AVERAGE(CV270:CZ270)</f>
        <v>8.4</v>
      </c>
      <c r="DQ270">
        <v>14</v>
      </c>
      <c r="DR270" t="s">
        <v>28</v>
      </c>
      <c r="DS270" t="s">
        <v>108</v>
      </c>
      <c r="DT270" t="s">
        <v>109</v>
      </c>
      <c r="DU270" t="s">
        <v>110</v>
      </c>
      <c r="DV270" t="s">
        <v>290</v>
      </c>
      <c r="DW270" t="s">
        <v>3769</v>
      </c>
      <c r="DX270" t="s">
        <v>3770</v>
      </c>
      <c r="DY270" t="s">
        <v>3771</v>
      </c>
      <c r="DZ270" t="s">
        <v>3772</v>
      </c>
      <c r="EA270" t="s">
        <v>3773</v>
      </c>
      <c r="EB270" t="s">
        <v>3774</v>
      </c>
      <c r="EC270" t="s">
        <v>3775</v>
      </c>
      <c r="ED270" t="s">
        <v>3776</v>
      </c>
      <c r="EE270" t="s">
        <v>3777</v>
      </c>
      <c r="EF270" t="s">
        <v>3778</v>
      </c>
      <c r="EG270" t="s">
        <v>4014</v>
      </c>
      <c r="EH270" t="s">
        <v>4015</v>
      </c>
      <c r="EI270" t="s">
        <v>4016</v>
      </c>
      <c r="EJ270" t="s">
        <v>3782</v>
      </c>
      <c r="EK270" t="s">
        <v>4017</v>
      </c>
      <c r="EL270" t="s">
        <v>3815</v>
      </c>
      <c r="EM270" t="s">
        <v>3930</v>
      </c>
      <c r="EN270" t="s">
        <v>3931</v>
      </c>
      <c r="EO270" t="s">
        <v>4018</v>
      </c>
      <c r="EP270" t="s">
        <v>4459</v>
      </c>
      <c r="EQ270">
        <v>7</v>
      </c>
      <c r="ER270">
        <v>8</v>
      </c>
      <c r="ES270">
        <v>7</v>
      </c>
      <c r="ET270">
        <v>7</v>
      </c>
      <c r="EU270">
        <v>7</v>
      </c>
      <c r="EV270">
        <v>0.1</v>
      </c>
      <c r="EW270">
        <v>0.1</v>
      </c>
      <c r="EX270">
        <v>0.2</v>
      </c>
      <c r="EY270">
        <v>0.3</v>
      </c>
      <c r="EZ270">
        <v>0.3</v>
      </c>
      <c r="FA270">
        <f>EV270*EQ270</f>
        <v>0.70000000000000007</v>
      </c>
      <c r="FB270">
        <f>EW270*ER270</f>
        <v>0.8</v>
      </c>
      <c r="FC270">
        <f>EX270*ES270</f>
        <v>1.4000000000000001</v>
      </c>
      <c r="FD270">
        <f>EY270*ET270</f>
        <v>2.1</v>
      </c>
      <c r="FE270">
        <f>EZ270*EU270</f>
        <v>2.1</v>
      </c>
      <c r="FF270">
        <v>14</v>
      </c>
      <c r="FG270">
        <v>0</v>
      </c>
      <c r="FH270">
        <v>14</v>
      </c>
      <c r="FI270">
        <f>FA270+FB270+FC270+FD270+FE270</f>
        <v>7.1</v>
      </c>
      <c r="FJ270">
        <f>MEDIAN(EQ270:EU270)</f>
        <v>7</v>
      </c>
      <c r="FL270">
        <v>38.479999999999997</v>
      </c>
      <c r="FM270">
        <v>7</v>
      </c>
      <c r="FN270" t="s">
        <v>1881</v>
      </c>
      <c r="FO270" t="s">
        <v>1882</v>
      </c>
      <c r="FP270" t="s">
        <v>1883</v>
      </c>
      <c r="FQ270" t="s">
        <v>1884</v>
      </c>
      <c r="FR270" t="s">
        <v>1885</v>
      </c>
      <c r="FS270">
        <v>10</v>
      </c>
      <c r="FT270">
        <v>9.5</v>
      </c>
      <c r="FU270">
        <v>8</v>
      </c>
      <c r="FV270">
        <v>7.5</v>
      </c>
      <c r="FW270">
        <v>6.5</v>
      </c>
      <c r="FX270">
        <v>0.1</v>
      </c>
      <c r="FY270">
        <v>0.1</v>
      </c>
      <c r="FZ270">
        <v>0.2</v>
      </c>
      <c r="GA270">
        <v>0.3</v>
      </c>
      <c r="GB270">
        <v>0.3</v>
      </c>
      <c r="GC270">
        <f>FS270*FX270</f>
        <v>1</v>
      </c>
      <c r="GD270">
        <f>FT270*FY270</f>
        <v>0.95000000000000007</v>
      </c>
      <c r="GE270">
        <f>FU270*FZ270</f>
        <v>1.6</v>
      </c>
      <c r="GF270">
        <f>FV270*GA270</f>
        <v>2.25</v>
      </c>
      <c r="GG270">
        <f>FW270*GB270</f>
        <v>1.95</v>
      </c>
      <c r="GH270">
        <v>6.4</v>
      </c>
      <c r="GI270">
        <v>0.6</v>
      </c>
      <c r="GJ270">
        <v>7</v>
      </c>
      <c r="GK270">
        <f>GC270+GD270+GE270+GF270+GG270</f>
        <v>7.7500000000000009</v>
      </c>
      <c r="GL270">
        <f>MEDIAN(FS270:FW270)</f>
        <v>8</v>
      </c>
    </row>
    <row r="271" spans="1:194" hidden="1" x14ac:dyDescent="0.25">
      <c r="A271">
        <v>270</v>
      </c>
      <c r="B271" t="s">
        <v>2</v>
      </c>
      <c r="C271" s="4">
        <v>74.400000000000006</v>
      </c>
      <c r="D271">
        <v>3.1</v>
      </c>
      <c r="E271" s="1">
        <f>C271/3/D271</f>
        <v>8</v>
      </c>
      <c r="G271">
        <v>88.18</v>
      </c>
      <c r="H271">
        <v>8</v>
      </c>
      <c r="I271">
        <f>H271*D271*3</f>
        <v>74.400000000000006</v>
      </c>
      <c r="J271">
        <v>18.89</v>
      </c>
      <c r="K271">
        <v>8.6999999999999993</v>
      </c>
      <c r="L271" s="3">
        <f>K271*3*D271</f>
        <v>80.91</v>
      </c>
      <c r="M271">
        <v>5.57</v>
      </c>
      <c r="N271">
        <v>6.8</v>
      </c>
      <c r="O271">
        <f>N271*D271*3</f>
        <v>63.239999999999995</v>
      </c>
      <c r="P271" s="5">
        <v>7.4</v>
      </c>
      <c r="Q271" s="5">
        <f>P271*D271*3</f>
        <v>68.820000000000007</v>
      </c>
      <c r="S271" t="s">
        <v>6398</v>
      </c>
      <c r="T271">
        <v>5.3</v>
      </c>
      <c r="U271" s="8">
        <f>T271*D271*3</f>
        <v>49.29</v>
      </c>
      <c r="V271">
        <v>30.75</v>
      </c>
      <c r="W271">
        <v>9</v>
      </c>
      <c r="X271" s="5">
        <f>W271*D271*3</f>
        <v>83.7</v>
      </c>
      <c r="Y271">
        <v>10.08</v>
      </c>
      <c r="Z271">
        <v>7.6</v>
      </c>
      <c r="AA271">
        <f>Z271*D271*3</f>
        <v>70.679999999999993</v>
      </c>
      <c r="AC271">
        <v>150.69999999999999</v>
      </c>
      <c r="AD271">
        <v>8</v>
      </c>
      <c r="AE271" s="1">
        <f>AD271*3*D271</f>
        <v>74.400000000000006</v>
      </c>
      <c r="AF271">
        <v>9.61</v>
      </c>
      <c r="AH271" s="5">
        <f>AG271*D271*3</f>
        <v>0</v>
      </c>
      <c r="AI271" s="13"/>
      <c r="AJ271">
        <v>2.7</v>
      </c>
      <c r="AK271" s="8">
        <f>AJ271*D271*3</f>
        <v>25.110000000000003</v>
      </c>
      <c r="AL271" s="13"/>
      <c r="AM271">
        <v>32.4</v>
      </c>
      <c r="AN271">
        <v>7.7</v>
      </c>
      <c r="AO271" s="8">
        <f>AN271*D271*3</f>
        <v>71.61</v>
      </c>
      <c r="AP271">
        <v>14.9</v>
      </c>
      <c r="AQ271">
        <v>10</v>
      </c>
      <c r="AR271">
        <f>AQ271*D271*3</f>
        <v>93</v>
      </c>
      <c r="AT271">
        <v>9.1999999999999993</v>
      </c>
      <c r="AU271">
        <f>AT271*D271*3</f>
        <v>85.56</v>
      </c>
      <c r="AX271">
        <v>9.4</v>
      </c>
      <c r="AY271">
        <f>AX271*D271*3</f>
        <v>87.42</v>
      </c>
      <c r="BA271">
        <v>9</v>
      </c>
      <c r="BB271">
        <f>BA271*D271*3</f>
        <v>83.7</v>
      </c>
      <c r="BD271">
        <v>9</v>
      </c>
      <c r="BE271">
        <f>BD271*D271*3</f>
        <v>83.7</v>
      </c>
      <c r="BG271" s="10"/>
      <c r="BH271" s="1">
        <f>CHOOSE(MATCH(MIN(ABS(BP271-C271),ABS(BQ271-C271),ABS(BR271-C271)),CHOOSE({1;2;3},ABS(BP271-C271),ABS(BQ271-C271),ABS(BR271-C271)),0),BP271,BQ271,BR271)</f>
        <v>74.400000000000006</v>
      </c>
      <c r="BJ271" s="1" cm="1">
        <f t="array" ref="BJ271">(INDEX(_xlfn._xlws.SORT(CHOOSE({1;2;3;4;5;6},BQ271,BR271,L271,AE271,BO271,BP271)),3) + INDEX(_xlfn._xlws.SORT(CHOOSE({1;2;3;4;5;6},BQ271,BR271,L271,AE271,BO271,BP271)),4))/2</f>
        <v>74.400000000000006</v>
      </c>
      <c r="BK271">
        <v>7.9774552688868097</v>
      </c>
      <c r="BL271" t="s">
        <v>6117</v>
      </c>
      <c r="BM271" s="1">
        <f>BK271*3*D271</f>
        <v>74.190334000647326</v>
      </c>
      <c r="BN271" s="1">
        <f>BM271-C271</f>
        <v>-0.20966599935267993</v>
      </c>
      <c r="BO271" s="1">
        <f>GK271*3*D271</f>
        <v>53.94</v>
      </c>
      <c r="BP271" s="1">
        <f>DO271*3*D271</f>
        <v>83.7</v>
      </c>
      <c r="BQ271" s="1">
        <f>FJ271*3*D271</f>
        <v>74.400000000000006</v>
      </c>
      <c r="BR271" s="1">
        <f>GL271*3*D271</f>
        <v>55.800000000000004</v>
      </c>
      <c r="BT271">
        <v>88.18</v>
      </c>
      <c r="BU271">
        <v>8</v>
      </c>
      <c r="BV271" t="s">
        <v>5355</v>
      </c>
      <c r="BW271" t="s">
        <v>5836</v>
      </c>
      <c r="BX271" t="s">
        <v>5837</v>
      </c>
      <c r="BY271" t="s">
        <v>5838</v>
      </c>
      <c r="BZ271" t="s">
        <v>5839</v>
      </c>
      <c r="CA271" t="s">
        <v>2437</v>
      </c>
      <c r="CC271" t="s">
        <v>2438</v>
      </c>
      <c r="CD271" t="s">
        <v>2439</v>
      </c>
      <c r="CE271" t="s">
        <v>2440</v>
      </c>
      <c r="CG271" t="s">
        <v>2441</v>
      </c>
      <c r="CH271" t="s">
        <v>2442</v>
      </c>
      <c r="CI271" t="s">
        <v>2535</v>
      </c>
      <c r="CK271" t="s">
        <v>2444</v>
      </c>
      <c r="CL271" t="s">
        <v>2445</v>
      </c>
      <c r="CM271" t="s">
        <v>2446</v>
      </c>
      <c r="CO271" t="s">
        <v>2447</v>
      </c>
      <c r="CP271" t="s">
        <v>2448</v>
      </c>
      <c r="CQ271" t="s">
        <v>2666</v>
      </c>
      <c r="CS271" t="s">
        <v>2450</v>
      </c>
      <c r="CT271" t="s">
        <v>2451</v>
      </c>
      <c r="CV271">
        <v>9</v>
      </c>
      <c r="CW271">
        <v>9</v>
      </c>
      <c r="CX271">
        <v>9</v>
      </c>
      <c r="CY271">
        <v>9</v>
      </c>
      <c r="CZ271">
        <v>9</v>
      </c>
      <c r="DA271">
        <v>0.1</v>
      </c>
      <c r="DB271">
        <v>0.1</v>
      </c>
      <c r="DC271">
        <v>0.2</v>
      </c>
      <c r="DD271">
        <v>0.3</v>
      </c>
      <c r="DE271">
        <v>0.3</v>
      </c>
      <c r="DF271">
        <v>0.9</v>
      </c>
      <c r="DG271">
        <v>0.9</v>
      </c>
      <c r="DH271">
        <v>1.8</v>
      </c>
      <c r="DI271">
        <v>2.7</v>
      </c>
      <c r="DJ271">
        <v>2.7</v>
      </c>
      <c r="DK271">
        <v>8</v>
      </c>
      <c r="DL271">
        <v>0</v>
      </c>
      <c r="DM271">
        <v>8</v>
      </c>
      <c r="DN271">
        <v>8.6999999999999993</v>
      </c>
      <c r="DO271">
        <f>AVERAGE(CV271:CZ271)</f>
        <v>9</v>
      </c>
      <c r="DQ271">
        <v>9</v>
      </c>
      <c r="DR271" t="s">
        <v>467</v>
      </c>
      <c r="DS271" t="s">
        <v>61</v>
      </c>
      <c r="DT271" t="s">
        <v>118</v>
      </c>
      <c r="DU271" t="s">
        <v>68</v>
      </c>
      <c r="DV271" t="s">
        <v>468</v>
      </c>
      <c r="DW271" t="s">
        <v>3836</v>
      </c>
      <c r="DX271" t="s">
        <v>3858</v>
      </c>
      <c r="DY271" t="s">
        <v>4781</v>
      </c>
      <c r="DZ271" t="s">
        <v>4782</v>
      </c>
      <c r="EA271" t="s">
        <v>3860</v>
      </c>
      <c r="EB271" t="s">
        <v>3840</v>
      </c>
      <c r="EC271" t="s">
        <v>4783</v>
      </c>
      <c r="ED271" t="s">
        <v>4784</v>
      </c>
      <c r="EE271" t="s">
        <v>3966</v>
      </c>
      <c r="EF271" t="s">
        <v>4785</v>
      </c>
      <c r="EG271" t="s">
        <v>4786</v>
      </c>
      <c r="EH271" t="s">
        <v>4787</v>
      </c>
      <c r="EI271" t="s">
        <v>3246</v>
      </c>
      <c r="EJ271" t="s">
        <v>4785</v>
      </c>
      <c r="EK271" t="s">
        <v>4788</v>
      </c>
      <c r="EL271" t="s">
        <v>4789</v>
      </c>
      <c r="EM271" t="s">
        <v>3971</v>
      </c>
      <c r="EN271" t="s">
        <v>4785</v>
      </c>
      <c r="EO271" t="s">
        <v>4790</v>
      </c>
      <c r="EP271" t="s">
        <v>4791</v>
      </c>
      <c r="EQ271">
        <v>8</v>
      </c>
      <c r="ER271">
        <v>8</v>
      </c>
      <c r="ES271">
        <v>8</v>
      </c>
      <c r="ET271">
        <v>8</v>
      </c>
      <c r="EU271">
        <v>8</v>
      </c>
      <c r="EV271">
        <v>0.1</v>
      </c>
      <c r="EW271">
        <v>0.1</v>
      </c>
      <c r="EX271">
        <v>0.2</v>
      </c>
      <c r="EY271">
        <v>0.3</v>
      </c>
      <c r="EZ271">
        <v>0.3</v>
      </c>
      <c r="FA271">
        <f>EV271*EQ271</f>
        <v>0.8</v>
      </c>
      <c r="FB271">
        <f>EW271*ER271</f>
        <v>0.8</v>
      </c>
      <c r="FC271">
        <f>EX271*ES271</f>
        <v>1.6</v>
      </c>
      <c r="FD271">
        <f>EY271*ET271</f>
        <v>2.4</v>
      </c>
      <c r="FE271">
        <f>EZ271*EU271</f>
        <v>2.4</v>
      </c>
      <c r="FF271">
        <v>16</v>
      </c>
      <c r="FG271">
        <v>0</v>
      </c>
      <c r="FH271">
        <v>9</v>
      </c>
      <c r="FI271">
        <f>FA271+FB271+FC271+FD271+FE271</f>
        <v>8</v>
      </c>
      <c r="FJ271">
        <f>MEDIAN(EQ271:EU271)</f>
        <v>8</v>
      </c>
      <c r="FL271">
        <v>75.959999999999994</v>
      </c>
      <c r="FM271">
        <v>5.2</v>
      </c>
      <c r="FN271" t="s">
        <v>1886</v>
      </c>
      <c r="FO271" t="s">
        <v>1887</v>
      </c>
      <c r="FP271" t="s">
        <v>1888</v>
      </c>
      <c r="FQ271" t="s">
        <v>1889</v>
      </c>
      <c r="FR271" t="s">
        <v>1890</v>
      </c>
      <c r="FS271">
        <v>5</v>
      </c>
      <c r="FT271">
        <v>8</v>
      </c>
      <c r="FU271">
        <v>6</v>
      </c>
      <c r="FV271">
        <v>7</v>
      </c>
      <c r="FW271">
        <v>4</v>
      </c>
      <c r="FX271">
        <v>0.1</v>
      </c>
      <c r="FY271">
        <v>0.1</v>
      </c>
      <c r="FZ271">
        <v>0.2</v>
      </c>
      <c r="GA271">
        <v>0.3</v>
      </c>
      <c r="GB271">
        <v>0.3</v>
      </c>
      <c r="GC271">
        <f>FS271*FX271</f>
        <v>0.5</v>
      </c>
      <c r="GD271">
        <f>FT271*FY271</f>
        <v>0.8</v>
      </c>
      <c r="GE271">
        <f>FU271*FZ271</f>
        <v>1.2000000000000002</v>
      </c>
      <c r="GF271">
        <f>FV271*GA271</f>
        <v>2.1</v>
      </c>
      <c r="GG271">
        <f>FW271*GB271</f>
        <v>1.2</v>
      </c>
      <c r="GH271">
        <v>9.6</v>
      </c>
      <c r="GI271">
        <v>-0.4</v>
      </c>
      <c r="GJ271">
        <v>5.2</v>
      </c>
      <c r="GK271">
        <f>GC271+GD271+GE271+GF271+GG271</f>
        <v>5.8</v>
      </c>
      <c r="GL271">
        <f>MEDIAN(FS271:FW271)</f>
        <v>6</v>
      </c>
    </row>
    <row r="272" spans="1:194" hidden="1" x14ac:dyDescent="0.25">
      <c r="A272">
        <v>271</v>
      </c>
      <c r="B272" t="s">
        <v>2</v>
      </c>
      <c r="C272" s="4">
        <v>89.25</v>
      </c>
      <c r="D272">
        <v>3.5</v>
      </c>
      <c r="E272" s="1">
        <f>C272/3/D272</f>
        <v>8.5</v>
      </c>
      <c r="G272">
        <v>36.64</v>
      </c>
      <c r="H272">
        <v>8</v>
      </c>
      <c r="I272">
        <f>H272*D272*3</f>
        <v>84</v>
      </c>
      <c r="J272">
        <v>18.48</v>
      </c>
      <c r="K272">
        <v>8.4</v>
      </c>
      <c r="L272" s="3">
        <f>K272*3*D272</f>
        <v>88.200000000000017</v>
      </c>
      <c r="M272">
        <v>4.88</v>
      </c>
      <c r="N272">
        <v>5</v>
      </c>
      <c r="O272">
        <f>N272*D272*3</f>
        <v>52.5</v>
      </c>
      <c r="P272" s="5">
        <v>7</v>
      </c>
      <c r="Q272" s="5">
        <f>P272*D272*3</f>
        <v>73.5</v>
      </c>
      <c r="S272" t="s">
        <v>6399</v>
      </c>
      <c r="T272">
        <v>5.3</v>
      </c>
      <c r="U272" s="8">
        <f>T272*D272*3</f>
        <v>55.650000000000006</v>
      </c>
      <c r="V272">
        <v>30.26</v>
      </c>
      <c r="W272">
        <v>8.4</v>
      </c>
      <c r="X272" s="5">
        <f>W272*D272*3</f>
        <v>88.2</v>
      </c>
      <c r="Y272">
        <v>10.130000000000001</v>
      </c>
      <c r="Z272">
        <v>7.8</v>
      </c>
      <c r="AA272">
        <f>Z272*D272*3</f>
        <v>81.900000000000006</v>
      </c>
      <c r="AC272">
        <v>135.59</v>
      </c>
      <c r="AD272">
        <v>6.95</v>
      </c>
      <c r="AE272" s="1">
        <f>AD272*3*D272</f>
        <v>72.975000000000009</v>
      </c>
      <c r="AF272">
        <v>12.3</v>
      </c>
      <c r="AG272" s="5">
        <v>7</v>
      </c>
      <c r="AH272" s="5">
        <f>AG272*D272*3</f>
        <v>73.5</v>
      </c>
      <c r="AI272" s="13"/>
      <c r="AJ272">
        <v>2.7</v>
      </c>
      <c r="AK272" s="8">
        <f>AJ272*D272*3</f>
        <v>28.35</v>
      </c>
      <c r="AL272" s="13"/>
      <c r="AM272">
        <v>31.02</v>
      </c>
      <c r="AN272">
        <v>7.6</v>
      </c>
      <c r="AO272" s="8">
        <f>AN272*D272*3</f>
        <v>79.8</v>
      </c>
      <c r="AP272">
        <v>14.57</v>
      </c>
      <c r="AQ272">
        <v>9.5</v>
      </c>
      <c r="AR272">
        <f>AQ272*D272*3</f>
        <v>99.75</v>
      </c>
      <c r="AT272">
        <v>9.3000000000000007</v>
      </c>
      <c r="AU272">
        <f>AT272*D272*3</f>
        <v>97.65</v>
      </c>
      <c r="AX272">
        <v>9.4</v>
      </c>
      <c r="AY272">
        <f>AX272*D272*3</f>
        <v>98.699999999999989</v>
      </c>
      <c r="BA272">
        <v>9</v>
      </c>
      <c r="BB272">
        <f>BA272*D272*3</f>
        <v>94.5</v>
      </c>
      <c r="BD272">
        <v>8.1</v>
      </c>
      <c r="BE272">
        <f>BD272*D272*3</f>
        <v>85.05</v>
      </c>
      <c r="BG272" s="10"/>
      <c r="BH272" s="1">
        <f>CHOOSE(MATCH(MIN(ABS(BP272-C272),ABS(BQ272-C272),ABS(BR272-C272)),CHOOSE({1;2;3},ABS(BP272-C272),ABS(BQ272-C272),ABS(BR272-C272)),0),BP272,BQ272,BR272)</f>
        <v>94.5</v>
      </c>
      <c r="BJ272" s="1" cm="1">
        <f t="array" ref="BJ272">(INDEX(_xlfn._xlws.SORT(CHOOSE({1;2;3;4;5;6},BQ272,BR272,L272,AE272,BO272,BP272)),3) + INDEX(_xlfn._xlws.SORT(CHOOSE({1;2;3;4;5;6},BQ272,BR272,L272,AE272,BO272,BP272)),4))/2</f>
        <v>73.237500000000011</v>
      </c>
      <c r="BK272">
        <v>8.4783181099356995</v>
      </c>
      <c r="BL272" t="s">
        <v>6117</v>
      </c>
      <c r="BM272" s="1">
        <f>BK272*3*D272</f>
        <v>89.022340154324837</v>
      </c>
      <c r="BN272" s="1">
        <f>BM272-C272</f>
        <v>-0.22765984567516284</v>
      </c>
      <c r="BO272" s="1">
        <f>GK272*3*D272</f>
        <v>63.000000000000014</v>
      </c>
      <c r="BP272" s="1">
        <f>DO272*3*D272</f>
        <v>94.5</v>
      </c>
      <c r="BQ272" s="1">
        <f>FJ272*3*D272</f>
        <v>73.5</v>
      </c>
      <c r="BR272" s="1">
        <f>GL272*3*D272</f>
        <v>68.25</v>
      </c>
      <c r="BT272">
        <v>36.64</v>
      </c>
      <c r="BU272">
        <v>8</v>
      </c>
      <c r="BV272" t="s">
        <v>5018</v>
      </c>
      <c r="BW272" t="s">
        <v>5019</v>
      </c>
      <c r="BX272" t="s">
        <v>5020</v>
      </c>
      <c r="BY272" t="s">
        <v>5257</v>
      </c>
      <c r="BZ272" t="s">
        <v>5258</v>
      </c>
      <c r="CA272" t="s">
        <v>2437</v>
      </c>
      <c r="CC272" t="s">
        <v>2438</v>
      </c>
      <c r="CD272" t="s">
        <v>2439</v>
      </c>
      <c r="CE272" t="s">
        <v>2440</v>
      </c>
      <c r="CG272" t="s">
        <v>2441</v>
      </c>
      <c r="CH272" t="s">
        <v>2442</v>
      </c>
      <c r="CI272" t="s">
        <v>2535</v>
      </c>
      <c r="CK272" t="s">
        <v>2444</v>
      </c>
      <c r="CL272" t="s">
        <v>2445</v>
      </c>
      <c r="CM272" t="s">
        <v>2446</v>
      </c>
      <c r="CO272" t="s">
        <v>2447</v>
      </c>
      <c r="CP272" t="s">
        <v>2448</v>
      </c>
      <c r="CQ272" t="s">
        <v>2666</v>
      </c>
      <c r="CS272" t="s">
        <v>2450</v>
      </c>
      <c r="CT272" t="s">
        <v>2451</v>
      </c>
      <c r="CV272">
        <v>9</v>
      </c>
      <c r="CW272">
        <v>9</v>
      </c>
      <c r="CX272">
        <v>9</v>
      </c>
      <c r="CY272">
        <v>9</v>
      </c>
      <c r="CZ272">
        <v>9</v>
      </c>
      <c r="DA272">
        <v>0.1</v>
      </c>
      <c r="DB272">
        <v>0.1</v>
      </c>
      <c r="DC272">
        <v>0.2</v>
      </c>
      <c r="DD272">
        <v>0.3</v>
      </c>
      <c r="DE272">
        <v>0.3</v>
      </c>
      <c r="DF272">
        <v>0.9</v>
      </c>
      <c r="DG272">
        <v>0.9</v>
      </c>
      <c r="DH272">
        <v>1.8</v>
      </c>
      <c r="DI272">
        <v>2.7</v>
      </c>
      <c r="DJ272">
        <v>2.7</v>
      </c>
      <c r="DK272">
        <v>8</v>
      </c>
      <c r="DL272">
        <v>0</v>
      </c>
      <c r="DM272">
        <v>8</v>
      </c>
      <c r="DN272">
        <v>8.4</v>
      </c>
      <c r="DO272">
        <f>AVERAGE(CV272:CZ272)</f>
        <v>9</v>
      </c>
      <c r="DQ272" t="s">
        <v>27</v>
      </c>
      <c r="DR272" t="s">
        <v>28</v>
      </c>
      <c r="DS272" t="s">
        <v>108</v>
      </c>
      <c r="DT272" t="s">
        <v>109</v>
      </c>
      <c r="DU272" t="s">
        <v>110</v>
      </c>
      <c r="DV272" t="s">
        <v>469</v>
      </c>
      <c r="DW272" t="s">
        <v>3769</v>
      </c>
      <c r="DX272" t="s">
        <v>3770</v>
      </c>
      <c r="DY272" t="s">
        <v>3771</v>
      </c>
      <c r="DZ272" t="s">
        <v>3772</v>
      </c>
      <c r="EA272" t="s">
        <v>3773</v>
      </c>
      <c r="EB272" t="s">
        <v>3774</v>
      </c>
      <c r="EC272" t="s">
        <v>3775</v>
      </c>
      <c r="ED272" t="s">
        <v>3776</v>
      </c>
      <c r="EE272" t="s">
        <v>3777</v>
      </c>
      <c r="EF272" t="s">
        <v>3778</v>
      </c>
      <c r="EG272" t="s">
        <v>4014</v>
      </c>
      <c r="EH272" t="s">
        <v>4015</v>
      </c>
      <c r="EI272" t="s">
        <v>4016</v>
      </c>
      <c r="EJ272" t="s">
        <v>3782</v>
      </c>
      <c r="EK272" t="s">
        <v>4017</v>
      </c>
      <c r="EL272" t="s">
        <v>3815</v>
      </c>
      <c r="EM272" t="s">
        <v>3930</v>
      </c>
      <c r="EN272" t="s">
        <v>4290</v>
      </c>
      <c r="EO272" t="s">
        <v>4792</v>
      </c>
      <c r="EP272" t="s">
        <v>3818</v>
      </c>
      <c r="EQ272">
        <v>7</v>
      </c>
      <c r="ER272">
        <v>8</v>
      </c>
      <c r="ES272">
        <v>7</v>
      </c>
      <c r="ET272">
        <v>7</v>
      </c>
      <c r="EU272">
        <v>6.5</v>
      </c>
      <c r="EV272">
        <v>0.1</v>
      </c>
      <c r="EW272">
        <v>0.1</v>
      </c>
      <c r="EX272">
        <v>0.2</v>
      </c>
      <c r="EY272">
        <v>0.3</v>
      </c>
      <c r="EZ272">
        <v>0.3</v>
      </c>
      <c r="FA272">
        <f>EV272*EQ272</f>
        <v>0.70000000000000007</v>
      </c>
      <c r="FB272">
        <f>EW272*ER272</f>
        <v>0.8</v>
      </c>
      <c r="FC272">
        <f>EX272*ES272</f>
        <v>1.4000000000000001</v>
      </c>
      <c r="FD272">
        <f>EY272*ET272</f>
        <v>2.1</v>
      </c>
      <c r="FE272">
        <f>EZ272*EU272</f>
        <v>1.95</v>
      </c>
      <c r="FF272">
        <v>18.5</v>
      </c>
      <c r="FG272">
        <v>0</v>
      </c>
      <c r="FH272">
        <v>18.5</v>
      </c>
      <c r="FI272">
        <f>FA272+FB272+FC272+FD272+FE272</f>
        <v>6.95</v>
      </c>
      <c r="FJ272">
        <f>MEDIAN(EQ272:EU272)</f>
        <v>7</v>
      </c>
      <c r="FL272">
        <v>39.75</v>
      </c>
      <c r="FN272" t="s">
        <v>1891</v>
      </c>
      <c r="FO272" t="s">
        <v>1892</v>
      </c>
      <c r="FP272" t="s">
        <v>1893</v>
      </c>
      <c r="FQ272" t="s">
        <v>1894</v>
      </c>
      <c r="FR272" t="s">
        <v>1895</v>
      </c>
      <c r="FS272">
        <v>6</v>
      </c>
      <c r="FT272">
        <v>8.5</v>
      </c>
      <c r="FU272">
        <v>7</v>
      </c>
      <c r="FV272">
        <v>6.5</v>
      </c>
      <c r="FW272">
        <v>4</v>
      </c>
      <c r="FX272">
        <v>0.1</v>
      </c>
      <c r="FY272">
        <v>0.1</v>
      </c>
      <c r="FZ272">
        <v>0.2</v>
      </c>
      <c r="GA272">
        <v>0.3</v>
      </c>
      <c r="GB272">
        <v>0.3</v>
      </c>
      <c r="GC272">
        <f>FS272*FX272</f>
        <v>0.60000000000000009</v>
      </c>
      <c r="GD272">
        <f>FT272*FY272</f>
        <v>0.85000000000000009</v>
      </c>
      <c r="GE272">
        <f>FU272*FZ272</f>
        <v>1.4000000000000001</v>
      </c>
      <c r="GF272">
        <f>FV272*GA272</f>
        <v>1.95</v>
      </c>
      <c r="GG272">
        <f>FW272*GB272</f>
        <v>1.2</v>
      </c>
      <c r="GH272">
        <v>5.15</v>
      </c>
      <c r="GJ272">
        <v>5.0999999999999996</v>
      </c>
      <c r="GK272">
        <f>GC272+GD272+GE272+GF272+GG272</f>
        <v>6.0000000000000009</v>
      </c>
      <c r="GL272">
        <f>MEDIAN(FS272:FW272)</f>
        <v>6.5</v>
      </c>
    </row>
    <row r="273" spans="1:194" hidden="1" x14ac:dyDescent="0.25">
      <c r="A273">
        <v>272</v>
      </c>
      <c r="B273" t="s">
        <v>2</v>
      </c>
      <c r="C273" s="4">
        <v>54.45</v>
      </c>
      <c r="D273">
        <v>3.3</v>
      </c>
      <c r="E273" s="1">
        <f>C273/3/D273</f>
        <v>5.5000000000000009</v>
      </c>
      <c r="G273">
        <v>34.33</v>
      </c>
      <c r="H273">
        <v>8.1</v>
      </c>
      <c r="I273">
        <f>H273*D273*3</f>
        <v>80.19</v>
      </c>
      <c r="J273">
        <v>17.57</v>
      </c>
      <c r="K273">
        <v>8.4</v>
      </c>
      <c r="L273" s="3">
        <f>K273*3*D273</f>
        <v>83.160000000000011</v>
      </c>
      <c r="M273">
        <v>4.91</v>
      </c>
      <c r="N273">
        <v>5</v>
      </c>
      <c r="O273">
        <f>N273*D273*3</f>
        <v>49.5</v>
      </c>
      <c r="P273" s="5">
        <v>8.9</v>
      </c>
      <c r="Q273" s="5">
        <f>P273*D273*3</f>
        <v>88.11</v>
      </c>
      <c r="S273" t="s">
        <v>6400</v>
      </c>
      <c r="T273">
        <v>5</v>
      </c>
      <c r="U273" s="8">
        <f>T273*D273*3</f>
        <v>49.5</v>
      </c>
      <c r="V273">
        <v>31.23</v>
      </c>
      <c r="W273">
        <v>8.6999999999999993</v>
      </c>
      <c r="X273" s="5">
        <f>W273*D273*3</f>
        <v>86.13</v>
      </c>
      <c r="Y273">
        <v>11.06</v>
      </c>
      <c r="Z273">
        <v>7.8</v>
      </c>
      <c r="AA273">
        <f>Z273*D273*3</f>
        <v>77.22</v>
      </c>
      <c r="AC273">
        <v>139.09</v>
      </c>
      <c r="AD273">
        <v>8</v>
      </c>
      <c r="AE273" s="1">
        <f>AD273*3*D273</f>
        <v>79.199999999999989</v>
      </c>
      <c r="AF273">
        <v>12.28</v>
      </c>
      <c r="AG273" s="5">
        <v>7</v>
      </c>
      <c r="AH273" s="5">
        <f>AG273*D273*3</f>
        <v>69.3</v>
      </c>
      <c r="AI273" s="13"/>
      <c r="AJ273">
        <v>0.9</v>
      </c>
      <c r="AK273" s="8">
        <f>AJ273*D273*3</f>
        <v>8.91</v>
      </c>
      <c r="AL273" s="13"/>
      <c r="AM273">
        <v>32.43</v>
      </c>
      <c r="AN273">
        <v>7.2</v>
      </c>
      <c r="AO273" s="8">
        <f>AN273*D273*3</f>
        <v>71.28</v>
      </c>
      <c r="AP273">
        <v>14.12</v>
      </c>
      <c r="AQ273">
        <v>9.5</v>
      </c>
      <c r="AR273">
        <f>AQ273*D273*3</f>
        <v>94.05</v>
      </c>
      <c r="AT273">
        <v>9</v>
      </c>
      <c r="AU273">
        <f>AT273*D273*3</f>
        <v>89.1</v>
      </c>
      <c r="AX273">
        <v>9.4</v>
      </c>
      <c r="AY273">
        <f>AX273*D273*3</f>
        <v>93.06</v>
      </c>
      <c r="BA273">
        <v>9.1999999999999993</v>
      </c>
      <c r="BB273">
        <f>BA273*D273*3</f>
        <v>91.079999999999984</v>
      </c>
      <c r="BD273">
        <v>8.9</v>
      </c>
      <c r="BE273">
        <f>BD273*D273*3</f>
        <v>88.11</v>
      </c>
      <c r="BG273" s="10"/>
      <c r="BH273" s="1">
        <f>CHOOSE(MATCH(MIN(ABS(BP273-C273),ABS(BQ273-C273),ABS(BR273-C273)),CHOOSE({1;2;3},ABS(BP273-C273),ABS(BQ273-C273),ABS(BR273-C273)),0),BP273,BQ273,BR273)</f>
        <v>79.199999999999989</v>
      </c>
      <c r="BJ273" s="1" cm="1">
        <f t="array" ref="BJ273">(INDEX(_xlfn._xlws.SORT(CHOOSE({1;2;3;4;5;6},BQ273,BR273,L273,AE273,BO273,BP273)),3) + INDEX(_xlfn._xlws.SORT(CHOOSE({1;2;3;4;5;6},BQ273,BR273,L273,AE273,BO273,BP273)),4))/2</f>
        <v>86.13</v>
      </c>
      <c r="BK273">
        <v>5.60860683172662</v>
      </c>
      <c r="BL273" t="s">
        <v>6117</v>
      </c>
      <c r="BM273" s="1">
        <f>BK273*3*D273</f>
        <v>55.52520763409354</v>
      </c>
      <c r="BN273" s="1">
        <f>BM273-C273</f>
        <v>1.0752076340935375</v>
      </c>
      <c r="BO273" s="1">
        <f>GK273*3*D273</f>
        <v>89.1</v>
      </c>
      <c r="BP273" s="1">
        <f>DO273*3*D273</f>
        <v>89.1</v>
      </c>
      <c r="BQ273" s="1">
        <f>FJ273*3*D273</f>
        <v>79.199999999999989</v>
      </c>
      <c r="BR273" s="1">
        <f>GL273*3*D273</f>
        <v>99</v>
      </c>
      <c r="BT273">
        <v>34.33</v>
      </c>
      <c r="BU273">
        <v>8.1</v>
      </c>
      <c r="BV273" t="s">
        <v>5003</v>
      </c>
      <c r="BW273" t="s">
        <v>5004</v>
      </c>
      <c r="BX273" t="s">
        <v>5029</v>
      </c>
      <c r="BY273" t="s">
        <v>5092</v>
      </c>
      <c r="BZ273" t="s">
        <v>5031</v>
      </c>
      <c r="CA273" t="s">
        <v>2506</v>
      </c>
      <c r="CC273" t="s">
        <v>2758</v>
      </c>
      <c r="CD273" t="s">
        <v>2508</v>
      </c>
      <c r="CE273" t="s">
        <v>2440</v>
      </c>
      <c r="CG273" t="s">
        <v>2761</v>
      </c>
      <c r="CH273" t="s">
        <v>2510</v>
      </c>
      <c r="CI273" t="s">
        <v>2443</v>
      </c>
      <c r="CK273" t="s">
        <v>2795</v>
      </c>
      <c r="CL273" t="s">
        <v>2512</v>
      </c>
      <c r="CM273" t="s">
        <v>2446</v>
      </c>
      <c r="CO273" t="s">
        <v>2796</v>
      </c>
      <c r="CP273" t="s">
        <v>2514</v>
      </c>
      <c r="CQ273" t="s">
        <v>2449</v>
      </c>
      <c r="CS273" t="s">
        <v>2679</v>
      </c>
      <c r="CT273" t="s">
        <v>2524</v>
      </c>
      <c r="CV273">
        <v>9</v>
      </c>
      <c r="CW273">
        <v>9</v>
      </c>
      <c r="CX273">
        <v>9</v>
      </c>
      <c r="CY273">
        <v>9</v>
      </c>
      <c r="CZ273">
        <v>9</v>
      </c>
      <c r="DA273">
        <v>0.1</v>
      </c>
      <c r="DB273">
        <v>0.1</v>
      </c>
      <c r="DC273">
        <v>0.2</v>
      </c>
      <c r="DD273">
        <v>0.3</v>
      </c>
      <c r="DE273">
        <v>0.3</v>
      </c>
      <c r="DF273">
        <v>0.9</v>
      </c>
      <c r="DG273">
        <v>0.9</v>
      </c>
      <c r="DH273">
        <v>1.8</v>
      </c>
      <c r="DI273">
        <v>2.7</v>
      </c>
      <c r="DJ273">
        <v>2.7</v>
      </c>
      <c r="DK273">
        <v>8.1</v>
      </c>
      <c r="DL273">
        <v>0</v>
      </c>
      <c r="DM273">
        <v>8.1</v>
      </c>
      <c r="DN273">
        <v>8.4</v>
      </c>
      <c r="DO273">
        <f>AVERAGE(CV273:CZ273)</f>
        <v>9</v>
      </c>
      <c r="DQ273">
        <v>8</v>
      </c>
      <c r="DR273" t="s">
        <v>33</v>
      </c>
      <c r="DS273" t="s">
        <v>187</v>
      </c>
      <c r="DT273" t="s">
        <v>241</v>
      </c>
      <c r="DU273" t="s">
        <v>189</v>
      </c>
      <c r="DV273" t="s">
        <v>470</v>
      </c>
      <c r="DW273" t="s">
        <v>3788</v>
      </c>
      <c r="DX273" t="s">
        <v>3789</v>
      </c>
      <c r="DY273" t="s">
        <v>3790</v>
      </c>
      <c r="DZ273" t="s">
        <v>3933</v>
      </c>
      <c r="EA273" t="s">
        <v>3792</v>
      </c>
      <c r="EB273" t="s">
        <v>3793</v>
      </c>
      <c r="EC273" t="s">
        <v>4189</v>
      </c>
      <c r="ED273" t="s">
        <v>4190</v>
      </c>
      <c r="EE273" t="s">
        <v>4305</v>
      </c>
      <c r="EF273" t="s">
        <v>3797</v>
      </c>
      <c r="EG273" t="s">
        <v>4306</v>
      </c>
      <c r="EH273" t="s">
        <v>4307</v>
      </c>
      <c r="EI273" t="s">
        <v>4194</v>
      </c>
      <c r="EJ273" t="s">
        <v>3800</v>
      </c>
      <c r="EK273" t="s">
        <v>4195</v>
      </c>
      <c r="EL273" t="s">
        <v>4196</v>
      </c>
      <c r="EM273" t="s">
        <v>4793</v>
      </c>
      <c r="EN273" t="s">
        <v>3803</v>
      </c>
      <c r="EO273" t="s">
        <v>4794</v>
      </c>
      <c r="EP273" t="s">
        <v>4310</v>
      </c>
      <c r="EQ273">
        <v>8</v>
      </c>
      <c r="ER273">
        <v>8</v>
      </c>
      <c r="ES273">
        <v>8</v>
      </c>
      <c r="ET273">
        <v>8</v>
      </c>
      <c r="EU273">
        <v>8</v>
      </c>
      <c r="EV273">
        <v>0.1</v>
      </c>
      <c r="EW273">
        <v>0.1</v>
      </c>
      <c r="EX273">
        <v>0.2</v>
      </c>
      <c r="EY273">
        <v>0.3</v>
      </c>
      <c r="EZ273">
        <v>0.3</v>
      </c>
      <c r="FA273">
        <f>EV273*EQ273</f>
        <v>0.8</v>
      </c>
      <c r="FB273">
        <f>EW273*ER273</f>
        <v>0.8</v>
      </c>
      <c r="FC273">
        <f>EX273*ES273</f>
        <v>1.6</v>
      </c>
      <c r="FD273">
        <f>EY273*ET273</f>
        <v>2.4</v>
      </c>
      <c r="FE273">
        <f>EZ273*EU273</f>
        <v>2.4</v>
      </c>
      <c r="FF273">
        <v>17</v>
      </c>
      <c r="FG273">
        <v>0</v>
      </c>
      <c r="FH273">
        <v>8</v>
      </c>
      <c r="FI273">
        <f>FA273+FB273+FC273+FD273+FE273</f>
        <v>8</v>
      </c>
      <c r="FJ273">
        <f>MEDIAN(EQ273:EU273)</f>
        <v>8</v>
      </c>
      <c r="FL273">
        <v>40.57</v>
      </c>
      <c r="FM273">
        <v>7.5</v>
      </c>
      <c r="FN273" t="s">
        <v>1881</v>
      </c>
      <c r="FO273" t="s">
        <v>1896</v>
      </c>
      <c r="FP273" t="s">
        <v>1897</v>
      </c>
      <c r="FQ273" t="s">
        <v>1898</v>
      </c>
      <c r="FR273" t="s">
        <v>1899</v>
      </c>
      <c r="FS273">
        <v>10</v>
      </c>
      <c r="FT273">
        <v>9</v>
      </c>
      <c r="FU273">
        <v>10</v>
      </c>
      <c r="FV273">
        <v>10</v>
      </c>
      <c r="FW273">
        <v>7</v>
      </c>
      <c r="FX273">
        <v>0.1</v>
      </c>
      <c r="FY273">
        <v>0.1</v>
      </c>
      <c r="FZ273">
        <v>0.2</v>
      </c>
      <c r="GA273">
        <v>0.3</v>
      </c>
      <c r="GB273">
        <v>0.3</v>
      </c>
      <c r="GC273">
        <f>FS273*FX273</f>
        <v>1</v>
      </c>
      <c r="GD273">
        <f>FT273*FY273</f>
        <v>0.9</v>
      </c>
      <c r="GE273">
        <f>FU273*FZ273</f>
        <v>2</v>
      </c>
      <c r="GF273">
        <f>FV273*GA273</f>
        <v>3</v>
      </c>
      <c r="GG273">
        <f>FW273*GB273</f>
        <v>2.1</v>
      </c>
      <c r="GH273">
        <v>8</v>
      </c>
      <c r="GI273">
        <v>-0.5</v>
      </c>
      <c r="GJ273">
        <v>7.5</v>
      </c>
      <c r="GK273">
        <f>GC273+GD273+GE273+GF273+GG273</f>
        <v>9</v>
      </c>
      <c r="GL273">
        <f>MEDIAN(FS273:FW273)</f>
        <v>10</v>
      </c>
    </row>
    <row r="274" spans="1:194" hidden="1" x14ac:dyDescent="0.25">
      <c r="A274">
        <v>273</v>
      </c>
      <c r="B274" t="s">
        <v>2</v>
      </c>
      <c r="C274" s="4">
        <v>39.6</v>
      </c>
      <c r="D274">
        <v>3.3</v>
      </c>
      <c r="E274" s="1">
        <f>C274/3/D274</f>
        <v>4.0000000000000009</v>
      </c>
      <c r="G274">
        <v>43.69</v>
      </c>
      <c r="H274">
        <v>8.0500000000000007</v>
      </c>
      <c r="I274">
        <f>H274*D274*3</f>
        <v>79.695000000000007</v>
      </c>
      <c r="J274">
        <v>13.8</v>
      </c>
      <c r="K274">
        <v>9</v>
      </c>
      <c r="L274" s="3">
        <f>K274*3*D274</f>
        <v>89.1</v>
      </c>
      <c r="M274">
        <v>6.5</v>
      </c>
      <c r="N274">
        <v>3</v>
      </c>
      <c r="O274">
        <f>N274*D274*3</f>
        <v>29.699999999999996</v>
      </c>
      <c r="P274" s="5">
        <v>7.9</v>
      </c>
      <c r="Q274" s="5">
        <f>P274*D274*3</f>
        <v>78.210000000000008</v>
      </c>
      <c r="S274" t="s">
        <v>6401</v>
      </c>
      <c r="T274">
        <v>5.8</v>
      </c>
      <c r="U274" s="8">
        <f>T274*D274*3</f>
        <v>57.419999999999987</v>
      </c>
      <c r="V274">
        <v>30.92</v>
      </c>
      <c r="W274">
        <v>8</v>
      </c>
      <c r="X274" s="5">
        <f>W274*D274*3</f>
        <v>79.199999999999989</v>
      </c>
      <c r="Y274">
        <v>9.86</v>
      </c>
      <c r="Z274">
        <v>7.5</v>
      </c>
      <c r="AA274">
        <f>Z274*D274*3</f>
        <v>74.25</v>
      </c>
      <c r="AC274">
        <v>133.37</v>
      </c>
      <c r="AD274">
        <v>8</v>
      </c>
      <c r="AE274" s="1">
        <f>AD274*3*D274</f>
        <v>79.199999999999989</v>
      </c>
      <c r="AF274">
        <v>12</v>
      </c>
      <c r="AG274" s="5">
        <v>7</v>
      </c>
      <c r="AH274" s="5">
        <f>AG274*D274*3</f>
        <v>69.3</v>
      </c>
      <c r="AI274" s="13"/>
      <c r="AK274" s="8">
        <f>AJ274*D274*3</f>
        <v>0</v>
      </c>
      <c r="AL274" s="13"/>
      <c r="AM274">
        <v>32.799999999999997</v>
      </c>
      <c r="AN274">
        <v>7.1</v>
      </c>
      <c r="AO274" s="8">
        <f>AN274*D274*3</f>
        <v>70.289999999999992</v>
      </c>
      <c r="AP274">
        <v>14.77</v>
      </c>
      <c r="AQ274">
        <v>10</v>
      </c>
      <c r="AR274">
        <f>AQ274*D274*3</f>
        <v>99</v>
      </c>
      <c r="AT274">
        <v>9</v>
      </c>
      <c r="AU274">
        <f>AT274*D274*3</f>
        <v>89.1</v>
      </c>
      <c r="AX274">
        <v>9.9</v>
      </c>
      <c r="AY274">
        <f>AX274*D274*3</f>
        <v>98.01</v>
      </c>
      <c r="BA274">
        <v>9</v>
      </c>
      <c r="BB274">
        <f>BA274*D274*3</f>
        <v>89.1</v>
      </c>
      <c r="BD274">
        <v>7.4</v>
      </c>
      <c r="BE274">
        <f>BD274*D274*3</f>
        <v>73.259999999999991</v>
      </c>
      <c r="BG274" s="10"/>
      <c r="BH274" s="1">
        <f>CHOOSE(MATCH(MIN(ABS(BP274-C274),ABS(BQ274-C274),ABS(BR274-C274)),CHOOSE({1;2;3},ABS(BP274-C274),ABS(BQ274-C274),ABS(BR274-C274)),0),BP274,BQ274,BR274)</f>
        <v>39.599999999999994</v>
      </c>
      <c r="BJ274" s="1" cm="1">
        <f t="array" ref="BJ274">(INDEX(_xlfn._xlws.SORT(CHOOSE({1;2;3;4;5;6},BQ274,BR274,L274,AE274,BO274,BP274)),3) + INDEX(_xlfn._xlws.SORT(CHOOSE({1;2;3;4;5;6},BQ274,BR274,L274,AE274,BO274,BP274)),4))/2</f>
        <v>79.199999999999989</v>
      </c>
      <c r="BK274">
        <v>4.0478471448463704</v>
      </c>
      <c r="BL274" t="s">
        <v>6117</v>
      </c>
      <c r="BM274" s="1">
        <f>BK274*3*D274</f>
        <v>40.073686733979066</v>
      </c>
      <c r="BN274" s="1">
        <f>BM274-C274</f>
        <v>0.47368673397906491</v>
      </c>
      <c r="BO274" s="1">
        <f>GK274*3*D274</f>
        <v>51.974999999999994</v>
      </c>
      <c r="BP274" s="1">
        <f>DO274*3*D274</f>
        <v>88.11</v>
      </c>
      <c r="BQ274" s="1">
        <f>FJ274*3*D274</f>
        <v>79.199999999999989</v>
      </c>
      <c r="BR274" s="1">
        <f>GL274*3*D274</f>
        <v>39.599999999999994</v>
      </c>
      <c r="BT274">
        <v>43.69</v>
      </c>
      <c r="BU274">
        <v>8.0500000000000007</v>
      </c>
      <c r="BV274" t="s">
        <v>5786</v>
      </c>
      <c r="BW274" t="s">
        <v>5805</v>
      </c>
      <c r="BX274" t="s">
        <v>5787</v>
      </c>
      <c r="BY274" t="s">
        <v>5788</v>
      </c>
      <c r="BZ274" t="s">
        <v>5789</v>
      </c>
      <c r="CA274" t="s">
        <v>3458</v>
      </c>
      <c r="CB274" t="s">
        <v>3459</v>
      </c>
      <c r="CC274" t="s">
        <v>3460</v>
      </c>
      <c r="CD274" t="s">
        <v>3461</v>
      </c>
      <c r="CE274" t="s">
        <v>3462</v>
      </c>
      <c r="CF274" t="s">
        <v>3463</v>
      </c>
      <c r="CG274" t="s">
        <v>3464</v>
      </c>
      <c r="CH274" t="s">
        <v>3465</v>
      </c>
      <c r="CI274" t="s">
        <v>3466</v>
      </c>
      <c r="CJ274" t="s">
        <v>3467</v>
      </c>
      <c r="CK274" t="s">
        <v>3468</v>
      </c>
      <c r="CL274" t="s">
        <v>3469</v>
      </c>
      <c r="CM274" t="s">
        <v>3470</v>
      </c>
      <c r="CN274" t="s">
        <v>3471</v>
      </c>
      <c r="CO274" t="s">
        <v>3472</v>
      </c>
      <c r="CP274" t="s">
        <v>3473</v>
      </c>
      <c r="CQ274" t="s">
        <v>3474</v>
      </c>
      <c r="CR274" t="s">
        <v>3475</v>
      </c>
      <c r="CS274" t="s">
        <v>3476</v>
      </c>
      <c r="CT274" t="s">
        <v>3477</v>
      </c>
      <c r="CV274">
        <v>8.5</v>
      </c>
      <c r="CW274">
        <v>9</v>
      </c>
      <c r="CX274">
        <v>9</v>
      </c>
      <c r="CY274">
        <v>9</v>
      </c>
      <c r="CZ274">
        <v>9</v>
      </c>
      <c r="DA274">
        <v>0.1</v>
      </c>
      <c r="DB274">
        <v>0.1</v>
      </c>
      <c r="DC274">
        <v>0.2</v>
      </c>
      <c r="DD274">
        <v>0.3</v>
      </c>
      <c r="DE274">
        <v>0.3</v>
      </c>
      <c r="DF274">
        <v>0.85</v>
      </c>
      <c r="DG274">
        <v>0.9</v>
      </c>
      <c r="DH274">
        <v>1.8</v>
      </c>
      <c r="DI274">
        <v>2.7</v>
      </c>
      <c r="DJ274">
        <v>2.7</v>
      </c>
      <c r="DK274">
        <v>8.0500000000000007</v>
      </c>
      <c r="DL274">
        <v>0</v>
      </c>
      <c r="DM274">
        <v>8.0500000000000007</v>
      </c>
      <c r="DN274">
        <v>9</v>
      </c>
      <c r="DO274">
        <f>AVERAGE(CV274:CZ274)</f>
        <v>8.9</v>
      </c>
      <c r="DQ274">
        <v>8</v>
      </c>
      <c r="DR274" t="s">
        <v>33</v>
      </c>
      <c r="DS274" t="s">
        <v>375</v>
      </c>
      <c r="DT274" t="s">
        <v>376</v>
      </c>
      <c r="DU274" t="s">
        <v>377</v>
      </c>
      <c r="DV274" t="s">
        <v>378</v>
      </c>
      <c r="DW274" t="s">
        <v>3788</v>
      </c>
      <c r="DX274" t="s">
        <v>3789</v>
      </c>
      <c r="DY274" t="s">
        <v>4004</v>
      </c>
      <c r="DZ274" t="s">
        <v>4005</v>
      </c>
      <c r="EA274" t="s">
        <v>4006</v>
      </c>
      <c r="EB274" t="s">
        <v>3793</v>
      </c>
      <c r="EC274" t="s">
        <v>4007</v>
      </c>
      <c r="ED274" t="s">
        <v>4005</v>
      </c>
      <c r="EE274" t="s">
        <v>4592</v>
      </c>
      <c r="EF274" t="s">
        <v>3797</v>
      </c>
      <c r="EG274" t="s">
        <v>4593</v>
      </c>
      <c r="EH274" t="s">
        <v>4005</v>
      </c>
      <c r="EI274" t="s">
        <v>4594</v>
      </c>
      <c r="EJ274" t="s">
        <v>3800</v>
      </c>
      <c r="EK274" t="s">
        <v>4595</v>
      </c>
      <c r="EL274" t="s">
        <v>4005</v>
      </c>
      <c r="EM274" t="s">
        <v>4596</v>
      </c>
      <c r="EN274" t="s">
        <v>3803</v>
      </c>
      <c r="EO274" t="s">
        <v>4597</v>
      </c>
      <c r="EP274" t="s">
        <v>4005</v>
      </c>
      <c r="EQ274">
        <v>8</v>
      </c>
      <c r="ER274">
        <v>8</v>
      </c>
      <c r="ES274">
        <v>8</v>
      </c>
      <c r="ET274">
        <v>8</v>
      </c>
      <c r="EU274">
        <v>8</v>
      </c>
      <c r="EV274">
        <v>0.1</v>
      </c>
      <c r="EW274">
        <v>0.1</v>
      </c>
      <c r="EX274">
        <v>0.2</v>
      </c>
      <c r="EY274">
        <v>0.3</v>
      </c>
      <c r="EZ274">
        <v>0.3</v>
      </c>
      <c r="FA274">
        <f>EV274*EQ274</f>
        <v>0.8</v>
      </c>
      <c r="FB274">
        <f>EW274*ER274</f>
        <v>0.8</v>
      </c>
      <c r="FC274">
        <f>EX274*ES274</f>
        <v>1.6</v>
      </c>
      <c r="FD274">
        <f>EY274*ET274</f>
        <v>2.4</v>
      </c>
      <c r="FE274">
        <f>EZ274*EU274</f>
        <v>2.4</v>
      </c>
      <c r="FF274">
        <v>16</v>
      </c>
      <c r="FG274">
        <v>0</v>
      </c>
      <c r="FH274">
        <v>8</v>
      </c>
      <c r="FI274">
        <f>FA274+FB274+FC274+FD274+FE274</f>
        <v>8</v>
      </c>
      <c r="FJ274">
        <f>MEDIAN(EQ274:EU274)</f>
        <v>8</v>
      </c>
      <c r="FL274">
        <v>39.229999999999997</v>
      </c>
      <c r="FM274">
        <v>9</v>
      </c>
      <c r="FN274" t="s">
        <v>1900</v>
      </c>
      <c r="FO274" t="s">
        <v>1901</v>
      </c>
      <c r="FP274" t="s">
        <v>1902</v>
      </c>
      <c r="FQ274" t="s">
        <v>1903</v>
      </c>
      <c r="FR274" t="s">
        <v>843</v>
      </c>
      <c r="FS274">
        <v>2.5</v>
      </c>
      <c r="FT274">
        <v>3</v>
      </c>
      <c r="FU274">
        <v>4</v>
      </c>
      <c r="FV274">
        <v>6</v>
      </c>
      <c r="FW274">
        <v>7</v>
      </c>
      <c r="FX274">
        <v>0.1</v>
      </c>
      <c r="FY274">
        <v>0.1</v>
      </c>
      <c r="FZ274">
        <v>0.2</v>
      </c>
      <c r="GA274">
        <v>0.3</v>
      </c>
      <c r="GB274">
        <v>0.3</v>
      </c>
      <c r="GC274">
        <f>FS274*FX274</f>
        <v>0.25</v>
      </c>
      <c r="GD274">
        <f>FT274*FY274</f>
        <v>0.30000000000000004</v>
      </c>
      <c r="GE274">
        <f>FU274*FZ274</f>
        <v>0.8</v>
      </c>
      <c r="GF274">
        <f>FV274*GA274</f>
        <v>1.7999999999999998</v>
      </c>
      <c r="GG274">
        <f>FW274*GB274</f>
        <v>2.1</v>
      </c>
      <c r="GH274">
        <v>9</v>
      </c>
      <c r="GI274">
        <v>0</v>
      </c>
      <c r="GJ274">
        <v>9</v>
      </c>
      <c r="GK274">
        <f>GC274+GD274+GE274+GF274+GG274</f>
        <v>5.25</v>
      </c>
      <c r="GL274">
        <f>MEDIAN(FS274:FW274)</f>
        <v>4</v>
      </c>
    </row>
    <row r="275" spans="1:194" hidden="1" x14ac:dyDescent="0.25">
      <c r="A275">
        <v>274</v>
      </c>
      <c r="B275" t="s">
        <v>2</v>
      </c>
      <c r="C275" s="4">
        <v>94.35</v>
      </c>
      <c r="D275">
        <v>3.7</v>
      </c>
      <c r="E275" s="1">
        <f>C275/3/D275</f>
        <v>8.5</v>
      </c>
      <c r="G275">
        <v>82.94</v>
      </c>
      <c r="H275">
        <v>8.1999999999999993</v>
      </c>
      <c r="I275">
        <f>H275*D275*3</f>
        <v>91.02</v>
      </c>
      <c r="J275">
        <v>18.71</v>
      </c>
      <c r="K275">
        <v>8.4</v>
      </c>
      <c r="L275" s="3">
        <f>K275*3*D275</f>
        <v>93.240000000000009</v>
      </c>
      <c r="M275">
        <v>3.98</v>
      </c>
      <c r="N275">
        <v>8</v>
      </c>
      <c r="O275">
        <f>N275*D275*3</f>
        <v>88.800000000000011</v>
      </c>
      <c r="P275" s="5">
        <v>7</v>
      </c>
      <c r="Q275" s="5">
        <f>P275*D275*3</f>
        <v>77.7</v>
      </c>
      <c r="S275" t="s">
        <v>6402</v>
      </c>
      <c r="T275">
        <v>4.3</v>
      </c>
      <c r="U275" s="8">
        <f>T275*D275*3</f>
        <v>47.730000000000004</v>
      </c>
      <c r="V275">
        <v>32.86</v>
      </c>
      <c r="W275">
        <v>8</v>
      </c>
      <c r="X275" s="5">
        <f>W275*D275*3</f>
        <v>88.800000000000011</v>
      </c>
      <c r="Y275">
        <v>9.84</v>
      </c>
      <c r="Z275">
        <v>7.5</v>
      </c>
      <c r="AA275">
        <f>Z275*D275*3</f>
        <v>83.25</v>
      </c>
      <c r="AC275">
        <v>139.32</v>
      </c>
      <c r="AD275">
        <v>7.9</v>
      </c>
      <c r="AE275" s="1">
        <f>AD275*3*D275</f>
        <v>87.690000000000012</v>
      </c>
      <c r="AF275">
        <v>11.9</v>
      </c>
      <c r="AG275" s="5">
        <v>7</v>
      </c>
      <c r="AH275" s="5">
        <f>AG275*D275*3</f>
        <v>77.7</v>
      </c>
      <c r="AI275" s="13"/>
      <c r="AJ275">
        <v>9</v>
      </c>
      <c r="AK275" s="8">
        <f>AJ275*D275*3</f>
        <v>99.9</v>
      </c>
      <c r="AL275" s="13"/>
      <c r="AM275">
        <v>30.86</v>
      </c>
      <c r="AN275">
        <v>7.7</v>
      </c>
      <c r="AO275" s="8">
        <f>AN275*D275*3</f>
        <v>85.47</v>
      </c>
      <c r="AP275">
        <v>12.44</v>
      </c>
      <c r="AQ275">
        <v>10</v>
      </c>
      <c r="AR275">
        <f>AQ275*D275*3</f>
        <v>111</v>
      </c>
      <c r="AT275">
        <v>8.6999999999999993</v>
      </c>
      <c r="AU275">
        <f>AT275*D275*3</f>
        <v>96.57</v>
      </c>
      <c r="AX275">
        <v>8.8000000000000007</v>
      </c>
      <c r="AY275">
        <f>AX275*D275*3</f>
        <v>97.68</v>
      </c>
      <c r="BA275">
        <v>8.9</v>
      </c>
      <c r="BB275">
        <f>BA275*D275*3</f>
        <v>98.789999999999992</v>
      </c>
      <c r="BD275">
        <v>8.9</v>
      </c>
      <c r="BE275">
        <f>BD275*D275*3</f>
        <v>98.789999999999992</v>
      </c>
      <c r="BG275" s="10"/>
      <c r="BH275" s="1">
        <f>CHOOSE(MATCH(MIN(ABS(BP275-C275),ABS(BQ275-C275),ABS(BR275-C275)),CHOOSE({1;2;3},ABS(BP275-C275),ABS(BQ275-C275),ABS(BR275-C275)),0),BP275,BQ275,BR275)</f>
        <v>88.800000000000011</v>
      </c>
      <c r="BJ275" s="1" cm="1">
        <f t="array" ref="BJ275">(INDEX(_xlfn._xlws.SORT(CHOOSE({1;2;3;4;5;6},BQ275,BR275,L275,AE275,BO275,BP275)),3) + INDEX(_xlfn._xlws.SORT(CHOOSE({1;2;3;4;5;6},BQ275,BR275,L275,AE275,BO275,BP275)),4))/2</f>
        <v>88.245000000000005</v>
      </c>
      <c r="BK275">
        <v>8.4638357724939404</v>
      </c>
      <c r="BL275" t="s">
        <v>6117</v>
      </c>
      <c r="BM275" s="1">
        <f>BK275*3*D275</f>
        <v>93.948577074682746</v>
      </c>
      <c r="BN275" s="1">
        <f>BM275-C275</f>
        <v>-0.40142292531724877</v>
      </c>
      <c r="BO275" s="1">
        <f>GK275*3*D275</f>
        <v>64.38</v>
      </c>
      <c r="BP275" s="1">
        <f>DO275*3*D275</f>
        <v>99.9</v>
      </c>
      <c r="BQ275" s="1">
        <f>FJ275*3*D275</f>
        <v>88.800000000000011</v>
      </c>
      <c r="BR275" s="1">
        <f>GL275*3*D275</f>
        <v>66.600000000000009</v>
      </c>
      <c r="BT275">
        <v>82.94</v>
      </c>
      <c r="BU275">
        <v>8.1999999999999993</v>
      </c>
      <c r="BV275" t="s">
        <v>4986</v>
      </c>
      <c r="BW275" t="s">
        <v>4987</v>
      </c>
      <c r="BX275" t="s">
        <v>5840</v>
      </c>
      <c r="BY275" t="s">
        <v>5841</v>
      </c>
      <c r="BZ275" t="s">
        <v>4990</v>
      </c>
      <c r="CA275" t="s">
        <v>2550</v>
      </c>
      <c r="CC275" t="s">
        <v>2634</v>
      </c>
      <c r="CD275" t="s">
        <v>2635</v>
      </c>
      <c r="CE275" t="s">
        <v>2482</v>
      </c>
      <c r="CG275" t="s">
        <v>2636</v>
      </c>
      <c r="CH275" t="s">
        <v>2637</v>
      </c>
      <c r="CI275" t="s">
        <v>3277</v>
      </c>
      <c r="CK275" t="s">
        <v>3278</v>
      </c>
      <c r="CL275" t="s">
        <v>3279</v>
      </c>
      <c r="CM275" t="s">
        <v>2995</v>
      </c>
      <c r="CO275" t="s">
        <v>2642</v>
      </c>
      <c r="CP275" t="s">
        <v>2869</v>
      </c>
      <c r="CQ275" t="s">
        <v>3478</v>
      </c>
      <c r="CS275" t="s">
        <v>2645</v>
      </c>
      <c r="CT275" t="s">
        <v>3479</v>
      </c>
      <c r="CV275">
        <v>9</v>
      </c>
      <c r="CW275">
        <v>9</v>
      </c>
      <c r="CX275">
        <v>9</v>
      </c>
      <c r="CY275">
        <v>9</v>
      </c>
      <c r="CZ275">
        <v>9</v>
      </c>
      <c r="DA275">
        <v>0.1</v>
      </c>
      <c r="DB275">
        <v>0.1</v>
      </c>
      <c r="DC275">
        <v>0.2</v>
      </c>
      <c r="DD275">
        <v>0.3</v>
      </c>
      <c r="DE275">
        <v>0.3</v>
      </c>
      <c r="DF275">
        <v>0.9</v>
      </c>
      <c r="DG275">
        <v>0.9</v>
      </c>
      <c r="DH275">
        <v>1.8</v>
      </c>
      <c r="DI275">
        <v>2.7</v>
      </c>
      <c r="DJ275">
        <v>2.7</v>
      </c>
      <c r="DK275">
        <v>8.1999999999999993</v>
      </c>
      <c r="DL275">
        <v>0</v>
      </c>
      <c r="DM275">
        <v>8.1999999999999993</v>
      </c>
      <c r="DN275">
        <v>8.4</v>
      </c>
      <c r="DO275">
        <f>AVERAGE(CV275:CZ275)</f>
        <v>9</v>
      </c>
      <c r="DQ275">
        <v>15</v>
      </c>
      <c r="DR275" t="s">
        <v>379</v>
      </c>
      <c r="DS275" t="s">
        <v>380</v>
      </c>
      <c r="DT275" t="s">
        <v>381</v>
      </c>
      <c r="DU275" t="s">
        <v>382</v>
      </c>
      <c r="DV275" t="s">
        <v>383</v>
      </c>
      <c r="DW275" t="s">
        <v>3805</v>
      </c>
      <c r="DX275" t="s">
        <v>3770</v>
      </c>
      <c r="DY275" t="s">
        <v>3771</v>
      </c>
      <c r="DZ275" t="s">
        <v>3772</v>
      </c>
      <c r="EA275" t="s">
        <v>3806</v>
      </c>
      <c r="EB275" t="s">
        <v>3807</v>
      </c>
      <c r="EC275" t="s">
        <v>3775</v>
      </c>
      <c r="ED275" t="s">
        <v>3776</v>
      </c>
      <c r="EE275" t="s">
        <v>3819</v>
      </c>
      <c r="EF275" t="s">
        <v>4104</v>
      </c>
      <c r="EG275" t="s">
        <v>3810</v>
      </c>
      <c r="EH275" t="s">
        <v>3811</v>
      </c>
      <c r="EI275" t="s">
        <v>3820</v>
      </c>
      <c r="EJ275" t="s">
        <v>3813</v>
      </c>
      <c r="EK275" t="s">
        <v>3925</v>
      </c>
      <c r="EL275" t="s">
        <v>3926</v>
      </c>
      <c r="EM275" t="s">
        <v>3816</v>
      </c>
      <c r="EN275" t="s">
        <v>3931</v>
      </c>
      <c r="EO275" t="s">
        <v>4259</v>
      </c>
      <c r="EP275" t="s">
        <v>4260</v>
      </c>
      <c r="EQ275">
        <v>7</v>
      </c>
      <c r="ER275">
        <v>8</v>
      </c>
      <c r="ES275">
        <v>8</v>
      </c>
      <c r="ET275">
        <v>8</v>
      </c>
      <c r="EU275">
        <v>8</v>
      </c>
      <c r="EV275">
        <v>0.1</v>
      </c>
      <c r="EW275">
        <v>0.1</v>
      </c>
      <c r="EX275">
        <v>0.2</v>
      </c>
      <c r="EY275">
        <v>0.3</v>
      </c>
      <c r="EZ275">
        <v>0.3</v>
      </c>
      <c r="FA275">
        <f>EV275*EQ275</f>
        <v>0.70000000000000007</v>
      </c>
      <c r="FB275">
        <f>EW275*ER275</f>
        <v>0.8</v>
      </c>
      <c r="FC275">
        <f>EX275*ES275</f>
        <v>1.6</v>
      </c>
      <c r="FD275">
        <f>EY275*ET275</f>
        <v>2.4</v>
      </c>
      <c r="FE275">
        <f>EZ275*EU275</f>
        <v>2.4</v>
      </c>
      <c r="FF275">
        <v>15</v>
      </c>
      <c r="FG275">
        <v>0</v>
      </c>
      <c r="FH275">
        <v>15</v>
      </c>
      <c r="FI275">
        <f>FA275+FB275+FC275+FD275+FE275</f>
        <v>7.9</v>
      </c>
      <c r="FJ275">
        <f>MEDIAN(EQ275:EU275)</f>
        <v>8</v>
      </c>
      <c r="FL275">
        <v>79.430000000000007</v>
      </c>
      <c r="FM275">
        <v>6</v>
      </c>
      <c r="FN275" t="s">
        <v>1904</v>
      </c>
      <c r="FO275" t="s">
        <v>1905</v>
      </c>
      <c r="FP275" t="s">
        <v>1906</v>
      </c>
      <c r="FQ275" t="s">
        <v>1907</v>
      </c>
      <c r="FR275" t="s">
        <v>1908</v>
      </c>
      <c r="FS275">
        <v>6</v>
      </c>
      <c r="FT275">
        <v>8</v>
      </c>
      <c r="FU275">
        <v>7</v>
      </c>
      <c r="FV275">
        <v>6</v>
      </c>
      <c r="FW275">
        <v>4</v>
      </c>
      <c r="FX275">
        <v>0.1</v>
      </c>
      <c r="FY275">
        <v>0.1</v>
      </c>
      <c r="FZ275">
        <v>0.2</v>
      </c>
      <c r="GA275">
        <v>0.3</v>
      </c>
      <c r="GB275">
        <v>0.3</v>
      </c>
      <c r="GC275">
        <f>FS275*FX275</f>
        <v>0.60000000000000009</v>
      </c>
      <c r="GD275">
        <f>FT275*FY275</f>
        <v>0.8</v>
      </c>
      <c r="GE275">
        <f>FU275*FZ275</f>
        <v>1.4000000000000001</v>
      </c>
      <c r="GF275">
        <f>FV275*GA275</f>
        <v>1.7999999999999998</v>
      </c>
      <c r="GG275">
        <f>FW275*GB275</f>
        <v>1.2</v>
      </c>
      <c r="GH275">
        <v>6</v>
      </c>
      <c r="GI275">
        <v>0</v>
      </c>
      <c r="GJ275">
        <v>6</v>
      </c>
      <c r="GK275">
        <f>GC275+GD275+GE275+GF275+GG275</f>
        <v>5.8</v>
      </c>
      <c r="GL275">
        <f>MEDIAN(FS275:FW275)</f>
        <v>6</v>
      </c>
    </row>
    <row r="276" spans="1:194" hidden="1" x14ac:dyDescent="0.25">
      <c r="A276">
        <v>275</v>
      </c>
      <c r="B276" t="s">
        <v>2</v>
      </c>
      <c r="C276" s="4">
        <v>84.15</v>
      </c>
      <c r="D276">
        <v>3.3</v>
      </c>
      <c r="E276" s="1">
        <f>C276/3/D276</f>
        <v>8.5</v>
      </c>
      <c r="G276">
        <v>36.03</v>
      </c>
      <c r="H276">
        <v>8.1999999999999993</v>
      </c>
      <c r="I276">
        <f>H276*D276*3</f>
        <v>81.179999999999978</v>
      </c>
      <c r="J276">
        <v>15.48</v>
      </c>
      <c r="K276">
        <v>8.4</v>
      </c>
      <c r="L276" s="3">
        <f>K276*3*D276</f>
        <v>83.160000000000011</v>
      </c>
      <c r="M276">
        <v>4.75</v>
      </c>
      <c r="N276">
        <v>5.4</v>
      </c>
      <c r="O276">
        <f>N276*D276*3</f>
        <v>53.46</v>
      </c>
      <c r="P276" s="5">
        <v>6.9</v>
      </c>
      <c r="Q276" s="5">
        <f>P276*D276*3</f>
        <v>68.31</v>
      </c>
      <c r="S276" t="s">
        <v>6403</v>
      </c>
      <c r="T276">
        <v>6.2</v>
      </c>
      <c r="U276" s="8">
        <f>T276*D276*3</f>
        <v>61.38</v>
      </c>
      <c r="V276">
        <v>30.87</v>
      </c>
      <c r="W276">
        <v>8.4</v>
      </c>
      <c r="X276" s="5">
        <f>W276*D276*3</f>
        <v>83.16</v>
      </c>
      <c r="Y276">
        <v>9.2200000000000006</v>
      </c>
      <c r="Z276">
        <v>7.5</v>
      </c>
      <c r="AA276">
        <f>Z276*D276*3</f>
        <v>74.25</v>
      </c>
      <c r="AC276">
        <v>146.12</v>
      </c>
      <c r="AD276">
        <v>8</v>
      </c>
      <c r="AE276" s="1">
        <f>AD276*3*D276</f>
        <v>79.199999999999989</v>
      </c>
      <c r="AF276">
        <v>11.98</v>
      </c>
      <c r="AG276" s="5">
        <v>7</v>
      </c>
      <c r="AH276" s="5">
        <f>AG276*D276*3</f>
        <v>69.3</v>
      </c>
      <c r="AI276" s="13"/>
      <c r="AK276" s="8">
        <f>AJ276*D276*3</f>
        <v>0</v>
      </c>
      <c r="AL276" s="13"/>
      <c r="AM276">
        <v>30.77</v>
      </c>
      <c r="AN276">
        <v>7.1</v>
      </c>
      <c r="AO276" s="8">
        <f>AN276*D276*3</f>
        <v>70.289999999999992</v>
      </c>
      <c r="AP276">
        <v>12.82</v>
      </c>
      <c r="AQ276">
        <v>10</v>
      </c>
      <c r="AR276">
        <f>AQ276*D276*3</f>
        <v>99</v>
      </c>
      <c r="AT276">
        <v>9</v>
      </c>
      <c r="AU276">
        <f>AT276*D276*3</f>
        <v>89.1</v>
      </c>
      <c r="AX276">
        <v>9.3000000000000007</v>
      </c>
      <c r="AY276">
        <f>AX276*D276*3</f>
        <v>92.070000000000007</v>
      </c>
      <c r="BA276">
        <v>8.4</v>
      </c>
      <c r="BB276">
        <f>BA276*D276*3</f>
        <v>83.16</v>
      </c>
      <c r="BD276">
        <v>7.3</v>
      </c>
      <c r="BE276">
        <f>BD276*D276*3</f>
        <v>72.27</v>
      </c>
      <c r="BG276" s="10"/>
      <c r="BH276" s="1">
        <f>CHOOSE(MATCH(MIN(ABS(BP276-C276),ABS(BQ276-C276),ABS(BR276-C276)),CHOOSE({1;2;3},ABS(BP276-C276),ABS(BQ276-C276),ABS(BR276-C276)),0),BP276,BQ276,BR276)</f>
        <v>89.1</v>
      </c>
      <c r="BJ276" s="1" cm="1">
        <f t="array" ref="BJ276">(INDEX(_xlfn._xlws.SORT(CHOOSE({1;2;3;4;5;6},BQ276,BR276,L276,AE276,BO276,BP276)),3) + INDEX(_xlfn._xlws.SORT(CHOOSE({1;2;3;4;5;6},BQ276,BR276,L276,AE276,BO276,BP276)),4))/2</f>
        <v>79.199999999999989</v>
      </c>
      <c r="BK276">
        <v>8.4727756023557692</v>
      </c>
      <c r="BL276" t="s">
        <v>6117</v>
      </c>
      <c r="BM276" s="1">
        <f>BK276*3*D276</f>
        <v>83.88047846332212</v>
      </c>
      <c r="BN276" s="1">
        <f>BM276-C276</f>
        <v>-0.26952153667788536</v>
      </c>
      <c r="BO276" s="1">
        <f>GK276*3*D276</f>
        <v>38.609999999999992</v>
      </c>
      <c r="BP276" s="1">
        <f>DO276*3*D276</f>
        <v>89.1</v>
      </c>
      <c r="BQ276" s="1">
        <f>FJ276*3*D276</f>
        <v>79.199999999999989</v>
      </c>
      <c r="BR276" s="1">
        <f>GL276*3*D276</f>
        <v>39.599999999999994</v>
      </c>
      <c r="BT276">
        <v>36.03</v>
      </c>
      <c r="BU276">
        <v>8.1999999999999993</v>
      </c>
      <c r="BV276" t="s">
        <v>5842</v>
      </c>
      <c r="BW276" t="s">
        <v>5843</v>
      </c>
      <c r="BX276" t="s">
        <v>5844</v>
      </c>
      <c r="BY276" t="s">
        <v>5845</v>
      </c>
      <c r="BZ276" t="s">
        <v>5846</v>
      </c>
      <c r="CA276" t="s">
        <v>2437</v>
      </c>
      <c r="CC276" t="s">
        <v>2548</v>
      </c>
      <c r="CD276" t="s">
        <v>2508</v>
      </c>
      <c r="CE276" t="s">
        <v>2440</v>
      </c>
      <c r="CG276" t="s">
        <v>2509</v>
      </c>
      <c r="CH276" t="s">
        <v>2510</v>
      </c>
      <c r="CI276" t="s">
        <v>2443</v>
      </c>
      <c r="CK276" t="s">
        <v>2511</v>
      </c>
      <c r="CL276" t="s">
        <v>2512</v>
      </c>
      <c r="CM276" t="s">
        <v>2446</v>
      </c>
      <c r="CO276" t="s">
        <v>2513</v>
      </c>
      <c r="CP276" t="s">
        <v>2514</v>
      </c>
      <c r="CQ276" t="s">
        <v>2449</v>
      </c>
      <c r="CS276" t="s">
        <v>2523</v>
      </c>
      <c r="CT276" t="s">
        <v>2524</v>
      </c>
      <c r="CV276">
        <v>9</v>
      </c>
      <c r="CW276">
        <v>9</v>
      </c>
      <c r="CX276">
        <v>9</v>
      </c>
      <c r="CY276">
        <v>9</v>
      </c>
      <c r="CZ276">
        <v>9</v>
      </c>
      <c r="DA276">
        <v>0.1</v>
      </c>
      <c r="DB276">
        <v>0.1</v>
      </c>
      <c r="DC276">
        <v>0.2</v>
      </c>
      <c r="DD276">
        <v>0.3</v>
      </c>
      <c r="DE276">
        <v>0.3</v>
      </c>
      <c r="DF276">
        <v>0.9</v>
      </c>
      <c r="DG276">
        <v>0.9</v>
      </c>
      <c r="DH276">
        <v>1.8</v>
      </c>
      <c r="DI276">
        <v>2.7</v>
      </c>
      <c r="DJ276">
        <v>2.7</v>
      </c>
      <c r="DK276">
        <v>8.1999999999999993</v>
      </c>
      <c r="DL276">
        <v>0</v>
      </c>
      <c r="DM276">
        <v>8.1999999999999993</v>
      </c>
      <c r="DN276">
        <v>8.4</v>
      </c>
      <c r="DO276">
        <f>AVERAGE(CV276:CZ276)</f>
        <v>9</v>
      </c>
      <c r="DQ276" t="s">
        <v>125</v>
      </c>
      <c r="DR276" t="s">
        <v>33</v>
      </c>
      <c r="DS276" t="s">
        <v>336</v>
      </c>
      <c r="DT276" t="s">
        <v>471</v>
      </c>
      <c r="DU276" t="s">
        <v>472</v>
      </c>
      <c r="DV276" t="s">
        <v>473</v>
      </c>
      <c r="DW276" t="s">
        <v>3788</v>
      </c>
      <c r="DX276" t="s">
        <v>3789</v>
      </c>
      <c r="DY276" t="s">
        <v>4145</v>
      </c>
      <c r="DZ276" t="s">
        <v>4145</v>
      </c>
      <c r="EA276" t="s">
        <v>3993</v>
      </c>
      <c r="EB276" t="s">
        <v>4146</v>
      </c>
      <c r="EC276" t="s">
        <v>4146</v>
      </c>
      <c r="ED276" t="s">
        <v>4146</v>
      </c>
      <c r="EE276" t="s">
        <v>4795</v>
      </c>
      <c r="EF276" t="s">
        <v>4796</v>
      </c>
      <c r="EG276" t="s">
        <v>4796</v>
      </c>
      <c r="EH276" t="s">
        <v>4796</v>
      </c>
      <c r="EI276" t="s">
        <v>4797</v>
      </c>
      <c r="EJ276" t="s">
        <v>4798</v>
      </c>
      <c r="EK276" t="s">
        <v>4798</v>
      </c>
      <c r="EL276" t="s">
        <v>4798</v>
      </c>
      <c r="EM276" t="s">
        <v>4497</v>
      </c>
      <c r="EN276" t="s">
        <v>4799</v>
      </c>
      <c r="EO276" t="s">
        <v>4800</v>
      </c>
      <c r="EP276" t="s">
        <v>4800</v>
      </c>
      <c r="EQ276">
        <v>8</v>
      </c>
      <c r="ER276">
        <v>8</v>
      </c>
      <c r="ES276">
        <v>8</v>
      </c>
      <c r="ET276">
        <v>8</v>
      </c>
      <c r="EU276">
        <v>8</v>
      </c>
      <c r="EV276">
        <v>0.1</v>
      </c>
      <c r="EW276">
        <v>0.1</v>
      </c>
      <c r="EX276">
        <v>0.2</v>
      </c>
      <c r="EY276">
        <v>0.3</v>
      </c>
      <c r="EZ276">
        <v>0.3</v>
      </c>
      <c r="FA276">
        <f>EV276*EQ276</f>
        <v>0.8</v>
      </c>
      <c r="FB276">
        <f>EW276*ER276</f>
        <v>0.8</v>
      </c>
      <c r="FC276">
        <f>EX276*ES276</f>
        <v>1.6</v>
      </c>
      <c r="FD276">
        <f>EY276*ET276</f>
        <v>2.4</v>
      </c>
      <c r="FE276">
        <f>EZ276*EU276</f>
        <v>2.4</v>
      </c>
      <c r="FF276">
        <v>16</v>
      </c>
      <c r="FG276">
        <v>0</v>
      </c>
      <c r="FH276">
        <v>9</v>
      </c>
      <c r="FI276">
        <f>FA276+FB276+FC276+FD276+FE276</f>
        <v>8</v>
      </c>
      <c r="FJ276">
        <f>MEDIAN(EQ276:EU276)</f>
        <v>8</v>
      </c>
      <c r="FL276">
        <v>39.97</v>
      </c>
      <c r="FM276">
        <v>7</v>
      </c>
      <c r="FN276" t="s">
        <v>1909</v>
      </c>
      <c r="FO276" t="s">
        <v>1910</v>
      </c>
      <c r="FP276" t="s">
        <v>1911</v>
      </c>
      <c r="FQ276" t="s">
        <v>1912</v>
      </c>
      <c r="FR276" t="s">
        <v>1913</v>
      </c>
      <c r="FS276">
        <v>4</v>
      </c>
      <c r="FT276">
        <v>5</v>
      </c>
      <c r="FU276">
        <v>3</v>
      </c>
      <c r="FV276">
        <v>6</v>
      </c>
      <c r="FW276">
        <v>2</v>
      </c>
      <c r="FX276">
        <v>0.1</v>
      </c>
      <c r="FY276">
        <v>0.1</v>
      </c>
      <c r="FZ276">
        <v>0.2</v>
      </c>
      <c r="GA276">
        <v>0.3</v>
      </c>
      <c r="GB276">
        <v>0.3</v>
      </c>
      <c r="GC276">
        <f>FS276*FX276</f>
        <v>0.4</v>
      </c>
      <c r="GD276">
        <f>FT276*FY276</f>
        <v>0.5</v>
      </c>
      <c r="GE276">
        <f>FU276*FZ276</f>
        <v>0.60000000000000009</v>
      </c>
      <c r="GF276">
        <f>FV276*GA276</f>
        <v>1.7999999999999998</v>
      </c>
      <c r="GG276">
        <f>FW276*GB276</f>
        <v>0.6</v>
      </c>
      <c r="GH276">
        <v>7</v>
      </c>
      <c r="GJ276">
        <v>7</v>
      </c>
      <c r="GK276">
        <f>GC276+GD276+GE276+GF276+GG276</f>
        <v>3.9</v>
      </c>
      <c r="GL276">
        <f>MEDIAN(FS276:FW276)</f>
        <v>4</v>
      </c>
    </row>
    <row r="277" spans="1:194" hidden="1" x14ac:dyDescent="0.25">
      <c r="A277">
        <v>276</v>
      </c>
      <c r="B277" t="s">
        <v>2</v>
      </c>
      <c r="C277" s="4">
        <v>92.5</v>
      </c>
      <c r="D277">
        <v>3.7</v>
      </c>
      <c r="E277" s="1">
        <f>C277/3/D277</f>
        <v>8.3333333333333321</v>
      </c>
      <c r="G277">
        <v>90.71</v>
      </c>
      <c r="H277">
        <v>8.1999999999999993</v>
      </c>
      <c r="I277">
        <f>H277*D277*3</f>
        <v>91.02</v>
      </c>
      <c r="J277">
        <v>18.78</v>
      </c>
      <c r="K277">
        <v>9</v>
      </c>
      <c r="L277" s="3">
        <f>K277*3*D277</f>
        <v>99.9</v>
      </c>
      <c r="M277">
        <v>4.57</v>
      </c>
      <c r="N277">
        <v>2</v>
      </c>
      <c r="O277">
        <f>N277*D277*3</f>
        <v>22.200000000000003</v>
      </c>
      <c r="P277" s="5">
        <v>6.5</v>
      </c>
      <c r="Q277" s="5">
        <f>P277*D277*3</f>
        <v>72.150000000000006</v>
      </c>
      <c r="S277" t="s">
        <v>6404</v>
      </c>
      <c r="T277">
        <v>5.5</v>
      </c>
      <c r="U277" s="8">
        <f>T277*D277*3</f>
        <v>61.050000000000004</v>
      </c>
      <c r="V277">
        <v>32.89</v>
      </c>
      <c r="W277">
        <v>8</v>
      </c>
      <c r="X277" s="5">
        <f>W277*D277*3</f>
        <v>88.800000000000011</v>
      </c>
      <c r="Y277">
        <v>9.1199999999999992</v>
      </c>
      <c r="Z277">
        <v>7.5</v>
      </c>
      <c r="AA277">
        <f>Z277*D277*3</f>
        <v>83.25</v>
      </c>
      <c r="AC277">
        <v>138.63999999999999</v>
      </c>
      <c r="AD277">
        <v>7.9</v>
      </c>
      <c r="AE277" s="1">
        <f>AD277*3*D277</f>
        <v>87.690000000000012</v>
      </c>
      <c r="AF277">
        <v>11.93</v>
      </c>
      <c r="AG277" s="5">
        <v>7</v>
      </c>
      <c r="AH277" s="5">
        <f>AG277*D277*3</f>
        <v>77.7</v>
      </c>
      <c r="AI277" s="13"/>
      <c r="AJ277">
        <v>2.8</v>
      </c>
      <c r="AK277" s="8">
        <f>AJ277*D277*3</f>
        <v>31.08</v>
      </c>
      <c r="AL277" s="13"/>
      <c r="AM277">
        <v>30.87</v>
      </c>
      <c r="AN277">
        <v>7.9</v>
      </c>
      <c r="AO277" s="8">
        <f>AN277*D277*3</f>
        <v>87.690000000000012</v>
      </c>
      <c r="AP277">
        <v>13.3</v>
      </c>
      <c r="AQ277">
        <v>9.5</v>
      </c>
      <c r="AR277">
        <f>AQ277*D277*3</f>
        <v>105.44999999999999</v>
      </c>
      <c r="AT277">
        <v>9</v>
      </c>
      <c r="AU277">
        <f>AT277*D277*3</f>
        <v>99.9</v>
      </c>
      <c r="AX277">
        <v>9.4</v>
      </c>
      <c r="AY277">
        <f>AX277*D277*3</f>
        <v>104.34</v>
      </c>
      <c r="BA277">
        <v>9</v>
      </c>
      <c r="BB277">
        <f>BA277*D277*3</f>
        <v>99.9</v>
      </c>
      <c r="BD277">
        <v>8.9</v>
      </c>
      <c r="BE277">
        <f>BD277*D277*3</f>
        <v>98.789999999999992</v>
      </c>
      <c r="BG277" s="10"/>
      <c r="BH277" s="1">
        <f>CHOOSE(MATCH(MIN(ABS(BP277-C277),ABS(BQ277-C277),ABS(BR277-C277)),CHOOSE({1;2;3},ABS(BP277-C277),ABS(BQ277-C277),ABS(BR277-C277)),0),BP277,BQ277,BR277)</f>
        <v>88.800000000000011</v>
      </c>
      <c r="BJ277" s="1" cm="1">
        <f t="array" ref="BJ277">(INDEX(_xlfn._xlws.SORT(CHOOSE({1;2;3;4;5;6},BQ277,BR277,L277,AE277,BO277,BP277)),3) + INDEX(_xlfn._xlws.SORT(CHOOSE({1;2;3;4;5;6},BQ277,BR277,L277,AE277,BO277,BP277)),4))/2</f>
        <v>88.245000000000005</v>
      </c>
      <c r="BK277">
        <v>8.3350402280930904</v>
      </c>
      <c r="BL277" t="s">
        <v>6117</v>
      </c>
      <c r="BM277" s="1">
        <f>BK277*3*D277</f>
        <v>92.518946531833308</v>
      </c>
      <c r="BN277" s="1">
        <f>BM277-C277</f>
        <v>1.8946531833307745E-2</v>
      </c>
      <c r="BO277" s="1">
        <f>GK277*3*D277</f>
        <v>69.929999999999993</v>
      </c>
      <c r="BP277" s="1">
        <f>DO277*3*D277</f>
        <v>99.9</v>
      </c>
      <c r="BQ277" s="1">
        <f>FJ277*3*D277</f>
        <v>88.800000000000011</v>
      </c>
      <c r="BR277" s="1">
        <f>GL277*3*D277</f>
        <v>66.600000000000009</v>
      </c>
      <c r="BT277">
        <v>90.71</v>
      </c>
      <c r="BU277">
        <v>8.1999999999999993</v>
      </c>
      <c r="BV277" t="s">
        <v>5602</v>
      </c>
      <c r="BW277" t="s">
        <v>5603</v>
      </c>
      <c r="BX277" t="s">
        <v>5509</v>
      </c>
      <c r="BY277" t="s">
        <v>5847</v>
      </c>
      <c r="BZ277" t="s">
        <v>5848</v>
      </c>
      <c r="CA277" t="s">
        <v>2550</v>
      </c>
      <c r="CC277" t="s">
        <v>2481</v>
      </c>
      <c r="CD277" t="s">
        <v>2481</v>
      </c>
      <c r="CE277" t="s">
        <v>3480</v>
      </c>
      <c r="CG277" t="s">
        <v>2483</v>
      </c>
      <c r="CH277" t="s">
        <v>2483</v>
      </c>
      <c r="CI277" t="s">
        <v>3481</v>
      </c>
      <c r="CK277" t="s">
        <v>3482</v>
      </c>
      <c r="CL277" t="s">
        <v>3482</v>
      </c>
      <c r="CM277" t="s">
        <v>3483</v>
      </c>
      <c r="CO277" t="s">
        <v>3484</v>
      </c>
      <c r="CP277" t="s">
        <v>3484</v>
      </c>
      <c r="CQ277" t="s">
        <v>3485</v>
      </c>
      <c r="CS277" t="s">
        <v>3486</v>
      </c>
      <c r="CT277" t="s">
        <v>3486</v>
      </c>
      <c r="CV277">
        <v>9</v>
      </c>
      <c r="CW277">
        <v>9</v>
      </c>
      <c r="CX277">
        <v>9</v>
      </c>
      <c r="CY277">
        <v>9</v>
      </c>
      <c r="CZ277">
        <v>9</v>
      </c>
      <c r="DA277">
        <v>0.1</v>
      </c>
      <c r="DB277">
        <v>0.1</v>
      </c>
      <c r="DC277">
        <v>0.2</v>
      </c>
      <c r="DD277">
        <v>0.3</v>
      </c>
      <c r="DE277">
        <v>0.3</v>
      </c>
      <c r="DF277">
        <v>0.9</v>
      </c>
      <c r="DG277">
        <v>0.9</v>
      </c>
      <c r="DH277">
        <v>1.8</v>
      </c>
      <c r="DI277">
        <v>2.7</v>
      </c>
      <c r="DJ277">
        <v>2.7</v>
      </c>
      <c r="DK277">
        <v>8.1999999999999993</v>
      </c>
      <c r="DL277">
        <v>0</v>
      </c>
      <c r="DM277">
        <v>8.1999999999999993</v>
      </c>
      <c r="DN277">
        <v>9</v>
      </c>
      <c r="DO277">
        <f>AVERAGE(CV277:CZ277)</f>
        <v>9</v>
      </c>
      <c r="DQ277">
        <v>8</v>
      </c>
      <c r="DR277" t="s">
        <v>28</v>
      </c>
      <c r="DS277" t="s">
        <v>43</v>
      </c>
      <c r="DT277" t="s">
        <v>227</v>
      </c>
      <c r="DU277" t="s">
        <v>228</v>
      </c>
      <c r="DV277" t="s">
        <v>229</v>
      </c>
      <c r="DW277" t="s">
        <v>3805</v>
      </c>
      <c r="DX277" t="s">
        <v>3770</v>
      </c>
      <c r="DY277" t="s">
        <v>3771</v>
      </c>
      <c r="DZ277" t="s">
        <v>3772</v>
      </c>
      <c r="EA277" t="s">
        <v>3806</v>
      </c>
      <c r="EB277" t="s">
        <v>3807</v>
      </c>
      <c r="EC277" t="s">
        <v>3775</v>
      </c>
      <c r="ED277" t="s">
        <v>3776</v>
      </c>
      <c r="EE277" t="s">
        <v>4240</v>
      </c>
      <c r="EF277" t="s">
        <v>3809</v>
      </c>
      <c r="EG277" t="s">
        <v>3810</v>
      </c>
      <c r="EH277" t="s">
        <v>3811</v>
      </c>
      <c r="EI277" t="s">
        <v>4468</v>
      </c>
      <c r="EJ277" t="s">
        <v>3813</v>
      </c>
      <c r="EK277" t="s">
        <v>4469</v>
      </c>
      <c r="EL277" t="s">
        <v>3815</v>
      </c>
      <c r="EM277" t="s">
        <v>4470</v>
      </c>
      <c r="EN277" t="s">
        <v>3809</v>
      </c>
      <c r="EO277" t="s">
        <v>4589</v>
      </c>
      <c r="EP277" t="s">
        <v>3818</v>
      </c>
      <c r="EQ277">
        <v>7</v>
      </c>
      <c r="ER277">
        <v>8</v>
      </c>
      <c r="ES277">
        <v>8</v>
      </c>
      <c r="ET277">
        <v>8</v>
      </c>
      <c r="EU277">
        <v>8</v>
      </c>
      <c r="EV277">
        <v>0.1</v>
      </c>
      <c r="EW277">
        <v>0.1</v>
      </c>
      <c r="EX277">
        <v>0.2</v>
      </c>
      <c r="EY277">
        <v>0.3</v>
      </c>
      <c r="EZ277">
        <v>0.3</v>
      </c>
      <c r="FA277">
        <f>EV277*EQ277</f>
        <v>0.70000000000000007</v>
      </c>
      <c r="FB277">
        <f>EW277*ER277</f>
        <v>0.8</v>
      </c>
      <c r="FC277">
        <f>EX277*ES277</f>
        <v>1.6</v>
      </c>
      <c r="FD277">
        <f>EY277*ET277</f>
        <v>2.4</v>
      </c>
      <c r="FE277">
        <f>EZ277*EU277</f>
        <v>2.4</v>
      </c>
      <c r="FF277">
        <v>15</v>
      </c>
      <c r="FG277">
        <v>0</v>
      </c>
      <c r="FH277">
        <v>15</v>
      </c>
      <c r="FI277">
        <f>FA277+FB277+FC277+FD277+FE277</f>
        <v>7.9</v>
      </c>
      <c r="FJ277">
        <f>MEDIAN(EQ277:EU277)</f>
        <v>8</v>
      </c>
      <c r="FL277">
        <v>76.84</v>
      </c>
      <c r="FM277">
        <v>9.4</v>
      </c>
      <c r="FN277" t="s">
        <v>1914</v>
      </c>
      <c r="FO277" t="s">
        <v>1915</v>
      </c>
      <c r="FP277" t="s">
        <v>1916</v>
      </c>
      <c r="FQ277" t="s">
        <v>1917</v>
      </c>
      <c r="FR277" t="s">
        <v>1918</v>
      </c>
      <c r="FS277">
        <v>8</v>
      </c>
      <c r="FT277">
        <v>6</v>
      </c>
      <c r="FU277">
        <v>5</v>
      </c>
      <c r="FV277">
        <v>7</v>
      </c>
      <c r="FW277">
        <v>6</v>
      </c>
      <c r="FX277">
        <v>0.1</v>
      </c>
      <c r="FY277">
        <v>0.1</v>
      </c>
      <c r="FZ277">
        <v>0.2</v>
      </c>
      <c r="GA277">
        <v>0.3</v>
      </c>
      <c r="GB277">
        <v>0.3</v>
      </c>
      <c r="GC277">
        <f>FS277*FX277</f>
        <v>0.8</v>
      </c>
      <c r="GD277">
        <f>FT277*FY277</f>
        <v>0.60000000000000009</v>
      </c>
      <c r="GE277">
        <f>FU277*FZ277</f>
        <v>1</v>
      </c>
      <c r="GF277">
        <f>FV277*GA277</f>
        <v>2.1</v>
      </c>
      <c r="GG277">
        <f>FW277*GB277</f>
        <v>1.7999999999999998</v>
      </c>
      <c r="GH277">
        <v>9.4</v>
      </c>
      <c r="GI277">
        <v>0</v>
      </c>
      <c r="GJ277">
        <v>9.4</v>
      </c>
      <c r="GK277">
        <f>GC277+GD277+GE277+GF277+GG277</f>
        <v>6.3</v>
      </c>
      <c r="GL277">
        <f>MEDIAN(FS277:FW277)</f>
        <v>6</v>
      </c>
    </row>
    <row r="278" spans="1:194" x14ac:dyDescent="0.25">
      <c r="A278">
        <v>78</v>
      </c>
      <c r="B278" t="s">
        <v>2</v>
      </c>
      <c r="C278" s="4">
        <v>68.8</v>
      </c>
      <c r="D278">
        <v>3.2</v>
      </c>
      <c r="E278" s="1">
        <f>C278/3/D278</f>
        <v>7.1666666666666661</v>
      </c>
      <c r="G278">
        <v>36.380000000000003</v>
      </c>
      <c r="H278">
        <v>8.6999999999999993</v>
      </c>
      <c r="I278">
        <f>H278*D278*3</f>
        <v>83.52</v>
      </c>
      <c r="J278">
        <v>17.34</v>
      </c>
      <c r="K278">
        <v>8.4</v>
      </c>
      <c r="L278" s="3">
        <f>K278*3*D278</f>
        <v>80.640000000000015</v>
      </c>
      <c r="M278">
        <v>5.29</v>
      </c>
      <c r="N278">
        <v>5</v>
      </c>
      <c r="O278">
        <f>N278*D278*3</f>
        <v>48</v>
      </c>
      <c r="P278" s="5">
        <v>7.9</v>
      </c>
      <c r="Q278" s="5">
        <f>P278*D278*3</f>
        <v>75.84</v>
      </c>
      <c r="S278" t="s">
        <v>6215</v>
      </c>
      <c r="T278">
        <v>7</v>
      </c>
      <c r="U278" s="8">
        <f>T278*D278*3</f>
        <v>67.2</v>
      </c>
      <c r="V278">
        <v>28.53</v>
      </c>
      <c r="W278">
        <v>8.5</v>
      </c>
      <c r="X278" s="5">
        <f>W278*D278*3</f>
        <v>81.600000000000009</v>
      </c>
      <c r="Y278">
        <v>11.95</v>
      </c>
      <c r="Z278">
        <v>7.6</v>
      </c>
      <c r="AA278">
        <f>Z278*D278*3</f>
        <v>72.960000000000008</v>
      </c>
      <c r="AC278">
        <v>47.91</v>
      </c>
      <c r="AD278">
        <v>8</v>
      </c>
      <c r="AE278" s="1">
        <f>AD278*3*D278</f>
        <v>76.800000000000011</v>
      </c>
      <c r="AF278">
        <v>12.3</v>
      </c>
      <c r="AG278" s="5">
        <v>7</v>
      </c>
      <c r="AH278" s="5">
        <f>AG278*D278*3</f>
        <v>67.2</v>
      </c>
      <c r="AI278" s="13"/>
      <c r="AJ278">
        <v>0.9</v>
      </c>
      <c r="AK278" s="8">
        <f>AJ278*D278*3</f>
        <v>8.64</v>
      </c>
      <c r="AL278" s="13"/>
      <c r="AM278">
        <v>30.39</v>
      </c>
      <c r="AN278">
        <v>7.3</v>
      </c>
      <c r="AO278" s="8">
        <f>AN278*D278*3</f>
        <v>70.08</v>
      </c>
      <c r="AP278">
        <v>14.66</v>
      </c>
      <c r="AQ278">
        <v>8.8000000000000007</v>
      </c>
      <c r="AR278">
        <f>AQ278*D278*3</f>
        <v>84.480000000000018</v>
      </c>
      <c r="AT278">
        <v>9</v>
      </c>
      <c r="AU278">
        <f>AT278*D278*3</f>
        <v>86.4</v>
      </c>
      <c r="AW278">
        <v>25.47</v>
      </c>
      <c r="AX278">
        <v>8.1999999999999993</v>
      </c>
      <c r="AY278">
        <f>AX278*D278*3</f>
        <v>78.72</v>
      </c>
      <c r="AZ278">
        <v>25.47</v>
      </c>
      <c r="BA278">
        <v>8.6999999999999993</v>
      </c>
      <c r="BB278">
        <f>BA278*D278*3</f>
        <v>83.52</v>
      </c>
      <c r="BD278">
        <v>8.6</v>
      </c>
      <c r="BE278">
        <f>BD278*D278*3</f>
        <v>82.56</v>
      </c>
      <c r="BG278" s="10"/>
      <c r="BH278" s="1">
        <f>CHOOSE(MATCH(MIN(ABS(BP278-C278),ABS(BQ278-C278),ABS(BR278-C278)),CHOOSE({1;2;3},ABS(BP278-C278),ABS(BQ278-C278),ABS(BR278-C278)),0),BP278,BQ278,BR278)</f>
        <v>67.2</v>
      </c>
      <c r="BJ278" s="1" cm="1">
        <f t="array" ref="BJ278">(INDEX(_xlfn._xlws.SORT(CHOOSE({1;2;3;4;5;6},BQ278,BR278,L278,AE278,BO278,BP278)),3) + INDEX(_xlfn._xlws.SORT(CHOOSE({1;2;3;4;5;6},BQ278,BR278,L278,AE278,BO278,BP278)),4))/2</f>
        <v>76.800000000000011</v>
      </c>
      <c r="BK278">
        <v>8.1834557702459598</v>
      </c>
      <c r="BL278" s="11" t="s">
        <v>6116</v>
      </c>
      <c r="BM278" s="1">
        <f>BK278*3*D278</f>
        <v>78.561175394361214</v>
      </c>
      <c r="BN278" s="1">
        <f>BM278-C278</f>
        <v>9.7611753943612172</v>
      </c>
      <c r="BO278" s="1">
        <f>GK278*3*D278</f>
        <v>65.28</v>
      </c>
      <c r="BP278" s="1">
        <f>DO278*3*D278</f>
        <v>84.480000000000018</v>
      </c>
      <c r="BQ278" s="1">
        <f>FJ278*3*D278</f>
        <v>76.800000000000011</v>
      </c>
      <c r="BR278" s="1">
        <f>GL278*3*D278</f>
        <v>67.2</v>
      </c>
      <c r="BT278">
        <v>36.380000000000003</v>
      </c>
      <c r="BU278">
        <v>8.6999999999999993</v>
      </c>
      <c r="BV278" t="s">
        <v>5269</v>
      </c>
      <c r="BW278" t="s">
        <v>5056</v>
      </c>
      <c r="BX278" t="s">
        <v>5057</v>
      </c>
      <c r="BY278" t="s">
        <v>5270</v>
      </c>
      <c r="BZ278" t="s">
        <v>4985</v>
      </c>
      <c r="CA278" t="s">
        <v>2954</v>
      </c>
      <c r="CC278" t="s">
        <v>2955</v>
      </c>
      <c r="CD278" t="s">
        <v>2552</v>
      </c>
      <c r="CE278" t="s">
        <v>2956</v>
      </c>
      <c r="CG278" t="s">
        <v>2957</v>
      </c>
      <c r="CH278" t="s">
        <v>2554</v>
      </c>
      <c r="CI278" t="s">
        <v>2958</v>
      </c>
      <c r="CK278" t="s">
        <v>2959</v>
      </c>
      <c r="CL278" t="s">
        <v>2557</v>
      </c>
      <c r="CM278" t="s">
        <v>2595</v>
      </c>
      <c r="CO278" t="s">
        <v>2960</v>
      </c>
      <c r="CP278" t="s">
        <v>2559</v>
      </c>
      <c r="CQ278" t="s">
        <v>2926</v>
      </c>
      <c r="CR278" t="s">
        <v>2961</v>
      </c>
      <c r="CS278" t="s">
        <v>2962</v>
      </c>
      <c r="CT278" t="s">
        <v>2562</v>
      </c>
      <c r="CV278">
        <v>9</v>
      </c>
      <c r="CW278">
        <v>9</v>
      </c>
      <c r="CX278">
        <v>9</v>
      </c>
      <c r="CY278">
        <v>9</v>
      </c>
      <c r="CZ278">
        <v>8</v>
      </c>
      <c r="DA278">
        <v>0.1</v>
      </c>
      <c r="DB278">
        <v>0.1</v>
      </c>
      <c r="DC278">
        <v>0.2</v>
      </c>
      <c r="DD278">
        <v>0.3</v>
      </c>
      <c r="DE278">
        <v>0.3</v>
      </c>
      <c r="DF278">
        <v>0.9</v>
      </c>
      <c r="DG278">
        <v>0.9</v>
      </c>
      <c r="DH278">
        <v>1.8</v>
      </c>
      <c r="DI278">
        <v>2.7</v>
      </c>
      <c r="DJ278">
        <v>2.4</v>
      </c>
      <c r="DK278">
        <v>8.6999999999999993</v>
      </c>
      <c r="DL278">
        <v>0</v>
      </c>
      <c r="DM278">
        <v>8.6999999999999993</v>
      </c>
      <c r="DN278">
        <v>8.4</v>
      </c>
      <c r="DO278">
        <f>AVERAGE(CV278:CZ278)</f>
        <v>8.8000000000000007</v>
      </c>
      <c r="DQ278">
        <v>8</v>
      </c>
      <c r="DR278" t="s">
        <v>33</v>
      </c>
      <c r="DS278" t="s">
        <v>223</v>
      </c>
      <c r="DT278" t="s">
        <v>35</v>
      </c>
      <c r="DU278" t="s">
        <v>36</v>
      </c>
      <c r="DV278" t="s">
        <v>200</v>
      </c>
      <c r="DW278" t="s">
        <v>3788</v>
      </c>
      <c r="DX278" t="s">
        <v>3789</v>
      </c>
      <c r="DY278" t="s">
        <v>3790</v>
      </c>
      <c r="DZ278" t="s">
        <v>3791</v>
      </c>
      <c r="EA278" t="s">
        <v>3792</v>
      </c>
      <c r="EB278" t="s">
        <v>3793</v>
      </c>
      <c r="EC278" t="s">
        <v>4261</v>
      </c>
      <c r="ED278" t="s">
        <v>3795</v>
      </c>
      <c r="EE278" t="s">
        <v>3796</v>
      </c>
      <c r="EF278" t="s">
        <v>3797</v>
      </c>
      <c r="EG278" t="s">
        <v>3798</v>
      </c>
      <c r="EH278" t="s">
        <v>3798</v>
      </c>
      <c r="EI278" t="s">
        <v>3799</v>
      </c>
      <c r="EJ278" t="s">
        <v>3800</v>
      </c>
      <c r="EK278" t="s">
        <v>3801</v>
      </c>
      <c r="EL278" t="s">
        <v>3801</v>
      </c>
      <c r="EM278" t="s">
        <v>4227</v>
      </c>
      <c r="EN278" t="s">
        <v>3803</v>
      </c>
      <c r="EO278" t="s">
        <v>4228</v>
      </c>
      <c r="EP278" t="s">
        <v>4262</v>
      </c>
      <c r="EQ278">
        <v>8</v>
      </c>
      <c r="ER278">
        <v>8</v>
      </c>
      <c r="ES278">
        <v>8</v>
      </c>
      <c r="ET278">
        <v>8</v>
      </c>
      <c r="EU278">
        <v>8</v>
      </c>
      <c r="EV278">
        <v>0.1</v>
      </c>
      <c r="EW278">
        <v>0.1</v>
      </c>
      <c r="EX278">
        <v>0.2</v>
      </c>
      <c r="EY278">
        <v>0.3</v>
      </c>
      <c r="EZ278">
        <v>0.3</v>
      </c>
      <c r="FA278">
        <f>EV278*EQ278</f>
        <v>0.8</v>
      </c>
      <c r="FB278">
        <f>EW278*ER278</f>
        <v>0.8</v>
      </c>
      <c r="FC278">
        <f>EX278*ES278</f>
        <v>1.6</v>
      </c>
      <c r="FD278">
        <f>EY278*ET278</f>
        <v>2.4</v>
      </c>
      <c r="FE278">
        <f>EZ278*EU278</f>
        <v>2.4</v>
      </c>
      <c r="FF278">
        <v>16</v>
      </c>
      <c r="FG278">
        <v>0</v>
      </c>
      <c r="FH278">
        <v>8</v>
      </c>
      <c r="FI278">
        <f>FA278+FB278+FC278+FD278+FE278</f>
        <v>8</v>
      </c>
      <c r="FJ278">
        <f>MEDIAN(EQ278:EU278)</f>
        <v>8</v>
      </c>
      <c r="FL278">
        <v>42.84</v>
      </c>
      <c r="FM278">
        <v>7.2</v>
      </c>
      <c r="FN278" t="s">
        <v>980</v>
      </c>
      <c r="FO278" t="s">
        <v>981</v>
      </c>
      <c r="FP278" t="s">
        <v>982</v>
      </c>
      <c r="FQ278" t="s">
        <v>983</v>
      </c>
      <c r="FR278" t="s">
        <v>984</v>
      </c>
      <c r="FS278">
        <v>6</v>
      </c>
      <c r="FT278">
        <v>7</v>
      </c>
      <c r="FU278">
        <v>8</v>
      </c>
      <c r="FV278">
        <v>7</v>
      </c>
      <c r="FW278">
        <v>6</v>
      </c>
      <c r="FX278">
        <v>0.1</v>
      </c>
      <c r="FY278">
        <v>0.1</v>
      </c>
      <c r="FZ278">
        <v>0.2</v>
      </c>
      <c r="GA278">
        <v>0.3</v>
      </c>
      <c r="GB278">
        <v>0.3</v>
      </c>
      <c r="GC278">
        <f>FS278*FX278</f>
        <v>0.60000000000000009</v>
      </c>
      <c r="GD278">
        <f>FT278*FY278</f>
        <v>0.70000000000000007</v>
      </c>
      <c r="GE278">
        <f>FU278*FZ278</f>
        <v>1.6</v>
      </c>
      <c r="GF278">
        <f>FV278*GA278</f>
        <v>2.1</v>
      </c>
      <c r="GG278">
        <f>FW278*GB278</f>
        <v>1.7999999999999998</v>
      </c>
      <c r="GH278">
        <v>7.2</v>
      </c>
      <c r="GJ278">
        <v>7.2</v>
      </c>
      <c r="GK278">
        <f>GC278+GD278+GE278+GF278+GG278</f>
        <v>6.8</v>
      </c>
      <c r="GL278">
        <f>MEDIAN(FS278:FW278)</f>
        <v>7</v>
      </c>
    </row>
    <row r="279" spans="1:194" hidden="1" x14ac:dyDescent="0.25">
      <c r="A279">
        <v>278</v>
      </c>
      <c r="B279" t="s">
        <v>2</v>
      </c>
      <c r="C279" s="4">
        <v>74.25</v>
      </c>
      <c r="D279">
        <v>3.3</v>
      </c>
      <c r="E279" s="1">
        <f>C279/3/D279</f>
        <v>7.5</v>
      </c>
      <c r="G279">
        <v>40.590000000000003</v>
      </c>
      <c r="H279">
        <v>8.1999999999999993</v>
      </c>
      <c r="I279">
        <f>H279*D279*3</f>
        <v>81.179999999999978</v>
      </c>
      <c r="J279">
        <v>17.46</v>
      </c>
      <c r="K279">
        <v>9</v>
      </c>
      <c r="L279" s="3">
        <f>K279*3*D279</f>
        <v>89.1</v>
      </c>
      <c r="M279">
        <v>5.03</v>
      </c>
      <c r="N279">
        <v>5</v>
      </c>
      <c r="O279">
        <f>N279*D279*3</f>
        <v>49.5</v>
      </c>
      <c r="P279" s="5">
        <v>7</v>
      </c>
      <c r="Q279" s="5">
        <f>P279*D279*3</f>
        <v>69.3</v>
      </c>
      <c r="S279" t="s">
        <v>6405</v>
      </c>
      <c r="T279">
        <v>3.6</v>
      </c>
      <c r="U279" s="8">
        <f>T279*D279*3</f>
        <v>35.64</v>
      </c>
      <c r="V279">
        <v>32.18</v>
      </c>
      <c r="W279">
        <v>8.6999999999999993</v>
      </c>
      <c r="X279" s="5">
        <f>W279*D279*3</f>
        <v>86.13</v>
      </c>
      <c r="Y279">
        <v>12</v>
      </c>
      <c r="Z279">
        <v>6</v>
      </c>
      <c r="AA279">
        <f>Z279*D279*3</f>
        <v>59.399999999999991</v>
      </c>
      <c r="AC279">
        <v>138.79</v>
      </c>
      <c r="AD279">
        <v>7.9</v>
      </c>
      <c r="AE279" s="1">
        <f>AD279*3*D279</f>
        <v>78.210000000000008</v>
      </c>
      <c r="AF279">
        <v>12.01</v>
      </c>
      <c r="AG279" s="5">
        <v>7</v>
      </c>
      <c r="AH279" s="5">
        <f>AG279*D279*3</f>
        <v>69.3</v>
      </c>
      <c r="AI279" s="13"/>
      <c r="AK279" s="8">
        <f>AJ279*D279*3</f>
        <v>0</v>
      </c>
      <c r="AL279" s="13"/>
      <c r="AM279">
        <v>30.24</v>
      </c>
      <c r="AN279">
        <v>7.4</v>
      </c>
      <c r="AO279" s="8">
        <f>AN279*D279*3</f>
        <v>73.259999999999991</v>
      </c>
      <c r="AP279">
        <v>15.12</v>
      </c>
      <c r="AQ279">
        <v>10</v>
      </c>
      <c r="AR279">
        <f>AQ279*D279*3</f>
        <v>99</v>
      </c>
      <c r="AT279">
        <v>9</v>
      </c>
      <c r="AU279">
        <f>AT279*D279*3</f>
        <v>89.1</v>
      </c>
      <c r="AX279">
        <v>9</v>
      </c>
      <c r="AY279">
        <f>AX279*D279*3</f>
        <v>89.1</v>
      </c>
      <c r="BA279">
        <v>9</v>
      </c>
      <c r="BB279">
        <f>BA279*D279*3</f>
        <v>89.1</v>
      </c>
      <c r="BD279">
        <v>8.9</v>
      </c>
      <c r="BE279">
        <f>BD279*D279*3</f>
        <v>88.11</v>
      </c>
      <c r="BG279" s="10"/>
      <c r="BH279" s="1">
        <f>CHOOSE(MATCH(MIN(ABS(BP279-C279),ABS(BQ279-C279),ABS(BR279-C279)),CHOOSE({1;2;3},ABS(BP279-C279),ABS(BQ279-C279),ABS(BR279-C279)),0),BP279,BQ279,BR279)</f>
        <v>79.199999999999989</v>
      </c>
      <c r="BJ279" s="1" cm="1">
        <f t="array" ref="BJ279">(INDEX(_xlfn._xlws.SORT(CHOOSE({1;2;3;4;5;6},BQ279,BR279,L279,AE279,BO279,BP279)),3) + INDEX(_xlfn._xlws.SORT(CHOOSE({1;2;3;4;5;6},BQ279,BR279,L279,AE279,BO279,BP279)),4))/2</f>
        <v>78.704999999999998</v>
      </c>
      <c r="BK279">
        <v>7.47570836565143</v>
      </c>
      <c r="BL279" t="s">
        <v>6117</v>
      </c>
      <c r="BM279" s="1">
        <f>BK279*3*D279</f>
        <v>74.009512819949165</v>
      </c>
      <c r="BN279" s="1">
        <f>BM279-C279</f>
        <v>-0.24048718005083458</v>
      </c>
      <c r="BO279" s="1">
        <f>GK279*3*D279</f>
        <v>38.114999999999995</v>
      </c>
      <c r="BP279" s="1">
        <f>DO279*3*D279</f>
        <v>89.1</v>
      </c>
      <c r="BQ279" s="1">
        <f>FJ279*3*D279</f>
        <v>79.199999999999989</v>
      </c>
      <c r="BR279" s="1">
        <f>GL279*3*D279</f>
        <v>29.7</v>
      </c>
      <c r="BT279">
        <v>40.590000000000003</v>
      </c>
      <c r="BU279">
        <v>8.1999999999999993</v>
      </c>
      <c r="BV279" t="s">
        <v>5853</v>
      </c>
      <c r="BW279" t="s">
        <v>5854</v>
      </c>
      <c r="BX279" t="s">
        <v>5855</v>
      </c>
      <c r="BY279" t="s">
        <v>5856</v>
      </c>
      <c r="BZ279" t="s">
        <v>5857</v>
      </c>
      <c r="CA279" t="s">
        <v>2420</v>
      </c>
      <c r="CC279" t="s">
        <v>3488</v>
      </c>
      <c r="CD279" t="s">
        <v>3489</v>
      </c>
      <c r="CE279" t="s">
        <v>2572</v>
      </c>
      <c r="CG279" t="s">
        <v>3490</v>
      </c>
      <c r="CH279" t="s">
        <v>3491</v>
      </c>
      <c r="CI279" t="s">
        <v>3492</v>
      </c>
      <c r="CK279" t="s">
        <v>3493</v>
      </c>
      <c r="CL279" t="s">
        <v>3494</v>
      </c>
      <c r="CM279" t="s">
        <v>3495</v>
      </c>
      <c r="CO279" t="s">
        <v>3496</v>
      </c>
      <c r="CP279" t="s">
        <v>3497</v>
      </c>
      <c r="CQ279" t="s">
        <v>3498</v>
      </c>
      <c r="CR279" t="s">
        <v>3498</v>
      </c>
      <c r="CS279" t="s">
        <v>3499</v>
      </c>
      <c r="CT279" t="s">
        <v>3500</v>
      </c>
      <c r="CV279">
        <v>9</v>
      </c>
      <c r="CW279">
        <v>9</v>
      </c>
      <c r="CX279">
        <v>9</v>
      </c>
      <c r="CY279">
        <v>9</v>
      </c>
      <c r="CZ279">
        <v>9</v>
      </c>
      <c r="DA279">
        <v>0.1</v>
      </c>
      <c r="DB279">
        <v>0.1</v>
      </c>
      <c r="DC279">
        <v>0.2</v>
      </c>
      <c r="DD279">
        <v>0.3</v>
      </c>
      <c r="DE279">
        <v>0.3</v>
      </c>
      <c r="DF279">
        <v>0.9</v>
      </c>
      <c r="DG279">
        <v>0.9</v>
      </c>
      <c r="DH279">
        <v>1.8</v>
      </c>
      <c r="DI279">
        <v>2.7</v>
      </c>
      <c r="DJ279">
        <v>2.7</v>
      </c>
      <c r="DK279">
        <v>8.1999999999999993</v>
      </c>
      <c r="DL279">
        <v>0</v>
      </c>
      <c r="DM279">
        <v>8.1999999999999993</v>
      </c>
      <c r="DN279">
        <v>9</v>
      </c>
      <c r="DO279">
        <f>AVERAGE(CV279:CZ279)</f>
        <v>9</v>
      </c>
      <c r="DQ279">
        <v>15</v>
      </c>
      <c r="DR279" t="s">
        <v>28</v>
      </c>
      <c r="DS279" t="s">
        <v>43</v>
      </c>
      <c r="DT279" t="s">
        <v>178</v>
      </c>
      <c r="DU279" t="s">
        <v>45</v>
      </c>
      <c r="DV279" t="s">
        <v>247</v>
      </c>
      <c r="DW279" t="s">
        <v>3769</v>
      </c>
      <c r="DX279" t="s">
        <v>3770</v>
      </c>
      <c r="DY279" t="s">
        <v>3771</v>
      </c>
      <c r="DZ279" t="s">
        <v>3772</v>
      </c>
      <c r="EA279" t="s">
        <v>3806</v>
      </c>
      <c r="EB279" t="s">
        <v>3807</v>
      </c>
      <c r="EC279" t="s">
        <v>3775</v>
      </c>
      <c r="ED279" t="s">
        <v>3776</v>
      </c>
      <c r="EE279" t="s">
        <v>3819</v>
      </c>
      <c r="EF279" t="s">
        <v>4104</v>
      </c>
      <c r="EG279" t="s">
        <v>3810</v>
      </c>
      <c r="EH279" t="s">
        <v>3811</v>
      </c>
      <c r="EI279" t="s">
        <v>3820</v>
      </c>
      <c r="EJ279" t="s">
        <v>4174</v>
      </c>
      <c r="EK279" t="s">
        <v>4175</v>
      </c>
      <c r="EL279" t="s">
        <v>3856</v>
      </c>
      <c r="EM279" t="s">
        <v>3816</v>
      </c>
      <c r="EN279" t="s">
        <v>3823</v>
      </c>
      <c r="EO279" t="s">
        <v>3824</v>
      </c>
      <c r="EP279" t="s">
        <v>3857</v>
      </c>
      <c r="EQ279">
        <v>7</v>
      </c>
      <c r="ER279">
        <v>8</v>
      </c>
      <c r="ES279">
        <v>8</v>
      </c>
      <c r="ET279">
        <v>8</v>
      </c>
      <c r="EU279">
        <v>8</v>
      </c>
      <c r="EV279">
        <v>0.1</v>
      </c>
      <c r="EW279">
        <v>0.1</v>
      </c>
      <c r="EX279">
        <v>0.2</v>
      </c>
      <c r="EY279">
        <v>0.3</v>
      </c>
      <c r="EZ279">
        <v>0.3</v>
      </c>
      <c r="FA279">
        <f>EV279*EQ279</f>
        <v>0.70000000000000007</v>
      </c>
      <c r="FB279">
        <f>EW279*ER279</f>
        <v>0.8</v>
      </c>
      <c r="FC279">
        <f>EX279*ES279</f>
        <v>1.6</v>
      </c>
      <c r="FD279">
        <f>EY279*ET279</f>
        <v>2.4</v>
      </c>
      <c r="FE279">
        <f>EZ279*EU279</f>
        <v>2.4</v>
      </c>
      <c r="FF279">
        <v>15</v>
      </c>
      <c r="FG279">
        <v>0</v>
      </c>
      <c r="FH279">
        <v>15</v>
      </c>
      <c r="FI279">
        <f>FA279+FB279+FC279+FD279+FE279</f>
        <v>7.9</v>
      </c>
      <c r="FJ279">
        <f>MEDIAN(EQ279:EU279)</f>
        <v>8</v>
      </c>
      <c r="FL279">
        <v>45.17</v>
      </c>
      <c r="FM279">
        <v>7.5</v>
      </c>
      <c r="FN279" t="s">
        <v>1923</v>
      </c>
      <c r="FO279" t="s">
        <v>1924</v>
      </c>
      <c r="FP279" t="s">
        <v>1925</v>
      </c>
      <c r="FQ279" t="s">
        <v>1926</v>
      </c>
      <c r="FR279" t="s">
        <v>1927</v>
      </c>
      <c r="FS279">
        <v>2.5</v>
      </c>
      <c r="FT279">
        <v>3</v>
      </c>
      <c r="FU279">
        <v>1.5</v>
      </c>
      <c r="FV279">
        <v>4</v>
      </c>
      <c r="FW279">
        <v>6</v>
      </c>
      <c r="FX279">
        <v>0.1</v>
      </c>
      <c r="FY279">
        <v>0.1</v>
      </c>
      <c r="FZ279">
        <v>0.2</v>
      </c>
      <c r="GA279">
        <v>0.3</v>
      </c>
      <c r="GB279">
        <v>0.3</v>
      </c>
      <c r="GC279">
        <f>FS279*FX279</f>
        <v>0.25</v>
      </c>
      <c r="GD279">
        <f>FT279*FY279</f>
        <v>0.30000000000000004</v>
      </c>
      <c r="GE279">
        <f>FU279*FZ279</f>
        <v>0.30000000000000004</v>
      </c>
      <c r="GF279">
        <f>FV279*GA279</f>
        <v>1.2</v>
      </c>
      <c r="GG279">
        <f>FW279*GB279</f>
        <v>1.7999999999999998</v>
      </c>
      <c r="GH279">
        <v>7.5</v>
      </c>
      <c r="GI279">
        <v>0</v>
      </c>
      <c r="GJ279">
        <v>7.5</v>
      </c>
      <c r="GK279">
        <f>GC279+GD279+GE279+GF279+GG279</f>
        <v>3.8499999999999996</v>
      </c>
      <c r="GL279">
        <f>MEDIAN(FS279:FW279)</f>
        <v>3</v>
      </c>
    </row>
    <row r="280" spans="1:194" hidden="1" x14ac:dyDescent="0.25">
      <c r="A280">
        <v>279</v>
      </c>
      <c r="B280" t="s">
        <v>2</v>
      </c>
      <c r="C280" s="4">
        <v>68.8</v>
      </c>
      <c r="D280">
        <v>3.2</v>
      </c>
      <c r="E280" s="1">
        <f>C280/3/D280</f>
        <v>7.1666666666666661</v>
      </c>
      <c r="G280">
        <v>34.979999999999997</v>
      </c>
      <c r="H280">
        <v>8.1999999999999993</v>
      </c>
      <c r="I280">
        <f>H280*D280*3</f>
        <v>78.72</v>
      </c>
      <c r="J280">
        <v>18.93</v>
      </c>
      <c r="K280">
        <v>8.6999999999999993</v>
      </c>
      <c r="L280" s="3">
        <f>K280*3*D280</f>
        <v>83.52</v>
      </c>
      <c r="M280">
        <v>5.15</v>
      </c>
      <c r="N280">
        <v>5.5</v>
      </c>
      <c r="O280">
        <f>N280*D280*3</f>
        <v>52.800000000000004</v>
      </c>
      <c r="P280" s="5">
        <v>7.5</v>
      </c>
      <c r="Q280" s="5">
        <f>P280*D280*3</f>
        <v>72</v>
      </c>
      <c r="S280" t="s">
        <v>6406</v>
      </c>
      <c r="T280">
        <v>5.3</v>
      </c>
      <c r="U280" s="8">
        <f>T280*D280*3</f>
        <v>50.88</v>
      </c>
      <c r="V280">
        <v>31.69</v>
      </c>
      <c r="W280">
        <v>8.6999999999999993</v>
      </c>
      <c r="X280" s="5">
        <f>W280*D280*3</f>
        <v>83.52</v>
      </c>
      <c r="Y280">
        <v>11.28</v>
      </c>
      <c r="Z280">
        <v>7.5</v>
      </c>
      <c r="AA280">
        <f>Z280*D280*3</f>
        <v>72</v>
      </c>
      <c r="AC280">
        <v>135.51</v>
      </c>
      <c r="AD280">
        <v>7.1</v>
      </c>
      <c r="AE280" s="1">
        <f>AD280*3*D280</f>
        <v>68.16</v>
      </c>
      <c r="AF280">
        <v>13.35</v>
      </c>
      <c r="AH280" s="5">
        <f>AG280*D280*3</f>
        <v>0</v>
      </c>
      <c r="AI280" s="13"/>
      <c r="AJ280">
        <v>28</v>
      </c>
      <c r="AK280" s="8">
        <f>AJ280*D280*3</f>
        <v>268.8</v>
      </c>
      <c r="AL280" s="13"/>
      <c r="AM280">
        <v>30.45</v>
      </c>
      <c r="AN280">
        <v>7</v>
      </c>
      <c r="AO280" s="8">
        <f>AN280*D280*3</f>
        <v>67.2</v>
      </c>
      <c r="AP280">
        <v>13.47</v>
      </c>
      <c r="AQ280">
        <v>10</v>
      </c>
      <c r="AR280">
        <f>AQ280*D280*3</f>
        <v>96</v>
      </c>
      <c r="AT280">
        <v>9</v>
      </c>
      <c r="AU280">
        <f>AT280*D280*3</f>
        <v>86.4</v>
      </c>
      <c r="AX280">
        <v>8.8000000000000007</v>
      </c>
      <c r="AY280">
        <f>AX280*D280*3</f>
        <v>84.480000000000018</v>
      </c>
      <c r="BA280">
        <v>9</v>
      </c>
      <c r="BB280">
        <f>BA280*D280*3</f>
        <v>86.4</v>
      </c>
      <c r="BD280">
        <v>8.9</v>
      </c>
      <c r="BE280">
        <f>BD280*D280*3</f>
        <v>85.440000000000012</v>
      </c>
      <c r="BG280" s="10"/>
      <c r="BH280" s="1">
        <f>CHOOSE(MATCH(MIN(ABS(BP280-C280),ABS(BQ280-C280),ABS(BR280-C280)),CHOOSE({1;2;3},ABS(BP280-C280),ABS(BQ280-C280),ABS(BR280-C280)),0),BP280,BQ280,BR280)</f>
        <v>67.2</v>
      </c>
      <c r="BJ280" s="1" cm="1">
        <f t="array" ref="BJ280">(INDEX(_xlfn._xlws.SORT(CHOOSE({1;2;3;4;5;6},BQ280,BR280,L280,AE280,BO280,BP280)),3) + INDEX(_xlfn._xlws.SORT(CHOOSE({1;2;3;4;5;6},BQ280,BR280,L280,AE280,BO280,BP280)),4))/2</f>
        <v>67.680000000000007</v>
      </c>
      <c r="BK280">
        <v>7.2192181167943401</v>
      </c>
      <c r="BL280" t="s">
        <v>6117</v>
      </c>
      <c r="BM280" s="1">
        <f>BK280*3*D280</f>
        <v>69.304493921225671</v>
      </c>
      <c r="BN280" s="1">
        <f>BM280-C280</f>
        <v>0.5044939212256736</v>
      </c>
      <c r="BO280" s="1">
        <f>GK280*3*D280</f>
        <v>48.96</v>
      </c>
      <c r="BP280" s="1">
        <f>DO280*3*D280</f>
        <v>86.4</v>
      </c>
      <c r="BQ280" s="1">
        <f>FJ280*3*D280</f>
        <v>67.2</v>
      </c>
      <c r="BR280" s="1">
        <f>GL280*3*D280</f>
        <v>57.6</v>
      </c>
      <c r="BT280">
        <v>34.979999999999997</v>
      </c>
      <c r="BU280">
        <v>8.1999999999999993</v>
      </c>
      <c r="BV280" t="s">
        <v>5858</v>
      </c>
      <c r="BW280" t="s">
        <v>5859</v>
      </c>
      <c r="BX280" t="s">
        <v>5860</v>
      </c>
      <c r="BY280" t="s">
        <v>5861</v>
      </c>
      <c r="BZ280" t="s">
        <v>5862</v>
      </c>
      <c r="CA280" t="s">
        <v>2506</v>
      </c>
      <c r="CC280" t="s">
        <v>2758</v>
      </c>
      <c r="CD280" t="s">
        <v>2508</v>
      </c>
      <c r="CE280" t="s">
        <v>2440</v>
      </c>
      <c r="CG280" t="s">
        <v>2761</v>
      </c>
      <c r="CH280" t="s">
        <v>2510</v>
      </c>
      <c r="CI280" t="s">
        <v>2443</v>
      </c>
      <c r="CK280" t="s">
        <v>2795</v>
      </c>
      <c r="CL280" t="s">
        <v>2512</v>
      </c>
      <c r="CM280" t="s">
        <v>2446</v>
      </c>
      <c r="CO280" t="s">
        <v>2796</v>
      </c>
      <c r="CP280" t="s">
        <v>2514</v>
      </c>
      <c r="CQ280" t="s">
        <v>2449</v>
      </c>
      <c r="CS280" t="s">
        <v>2679</v>
      </c>
      <c r="CT280" t="s">
        <v>2524</v>
      </c>
      <c r="CV280">
        <v>9</v>
      </c>
      <c r="CW280">
        <v>9</v>
      </c>
      <c r="CX280">
        <v>9</v>
      </c>
      <c r="CY280">
        <v>9</v>
      </c>
      <c r="CZ280">
        <v>9</v>
      </c>
      <c r="DA280">
        <v>0.1</v>
      </c>
      <c r="DB280">
        <v>0.1</v>
      </c>
      <c r="DC280">
        <v>0.2</v>
      </c>
      <c r="DD280">
        <v>0.3</v>
      </c>
      <c r="DE280">
        <v>0.3</v>
      </c>
      <c r="DF280">
        <v>0.9</v>
      </c>
      <c r="DG280">
        <v>0.9</v>
      </c>
      <c r="DH280">
        <v>1.8</v>
      </c>
      <c r="DI280">
        <v>2.7</v>
      </c>
      <c r="DJ280">
        <v>2.7</v>
      </c>
      <c r="DK280">
        <v>8.1999999999999993</v>
      </c>
      <c r="DL280">
        <v>0</v>
      </c>
      <c r="DM280">
        <v>8.1999999999999993</v>
      </c>
      <c r="DN280">
        <v>8.6999999999999993</v>
      </c>
      <c r="DO280">
        <f>AVERAGE(CV280:CZ280)</f>
        <v>9</v>
      </c>
      <c r="DQ280">
        <v>14</v>
      </c>
      <c r="DR280" t="s">
        <v>213</v>
      </c>
      <c r="DS280" t="s">
        <v>29</v>
      </c>
      <c r="DT280" t="s">
        <v>180</v>
      </c>
      <c r="DU280" t="s">
        <v>415</v>
      </c>
      <c r="DV280" t="s">
        <v>220</v>
      </c>
      <c r="DW280" t="s">
        <v>3836</v>
      </c>
      <c r="DX280" t="s">
        <v>3770</v>
      </c>
      <c r="DY280" t="s">
        <v>3771</v>
      </c>
      <c r="DZ280" t="s">
        <v>3772</v>
      </c>
      <c r="EA280" t="s">
        <v>3860</v>
      </c>
      <c r="EB280" t="s">
        <v>3807</v>
      </c>
      <c r="EC280" t="s">
        <v>3775</v>
      </c>
      <c r="ED280" t="s">
        <v>3776</v>
      </c>
      <c r="EE280" t="s">
        <v>3819</v>
      </c>
      <c r="EF280" t="s">
        <v>4104</v>
      </c>
      <c r="EG280" t="s">
        <v>4048</v>
      </c>
      <c r="EH280" t="s">
        <v>4015</v>
      </c>
      <c r="EI280" t="s">
        <v>4105</v>
      </c>
      <c r="EJ280" t="s">
        <v>3813</v>
      </c>
      <c r="EK280" t="s">
        <v>4049</v>
      </c>
      <c r="EL280" t="s">
        <v>3815</v>
      </c>
      <c r="EM280" t="s">
        <v>3816</v>
      </c>
      <c r="EN280" t="s">
        <v>3931</v>
      </c>
      <c r="EO280" t="s">
        <v>4164</v>
      </c>
      <c r="EP280" t="s">
        <v>3818</v>
      </c>
      <c r="EQ280">
        <v>7</v>
      </c>
      <c r="ER280">
        <v>8</v>
      </c>
      <c r="ES280">
        <v>7</v>
      </c>
      <c r="ET280">
        <v>7</v>
      </c>
      <c r="EU280">
        <v>7</v>
      </c>
      <c r="EV280">
        <v>0.1</v>
      </c>
      <c r="EW280">
        <v>0.1</v>
      </c>
      <c r="EX280">
        <v>0.2</v>
      </c>
      <c r="EY280">
        <v>0.3</v>
      </c>
      <c r="EZ280">
        <v>0.3</v>
      </c>
      <c r="FA280">
        <f>EV280*EQ280</f>
        <v>0.70000000000000007</v>
      </c>
      <c r="FB280">
        <f>EW280*ER280</f>
        <v>0.8</v>
      </c>
      <c r="FC280">
        <f>EX280*ES280</f>
        <v>1.4000000000000001</v>
      </c>
      <c r="FD280">
        <f>EY280*ET280</f>
        <v>2.1</v>
      </c>
      <c r="FE280">
        <f>EZ280*EU280</f>
        <v>2.1</v>
      </c>
      <c r="FF280">
        <v>14</v>
      </c>
      <c r="FG280">
        <v>0</v>
      </c>
      <c r="FH280">
        <v>14</v>
      </c>
      <c r="FI280">
        <f>FA280+FB280+FC280+FD280+FE280</f>
        <v>7.1</v>
      </c>
      <c r="FJ280">
        <f>MEDIAN(EQ280:EU280)</f>
        <v>7</v>
      </c>
      <c r="FL280">
        <v>40.770000000000003</v>
      </c>
      <c r="FM280">
        <v>5.3</v>
      </c>
      <c r="FN280" t="s">
        <v>1928</v>
      </c>
      <c r="FO280" t="s">
        <v>1929</v>
      </c>
      <c r="FP280" t="s">
        <v>1930</v>
      </c>
      <c r="FQ280" t="s">
        <v>1931</v>
      </c>
      <c r="FR280" t="s">
        <v>1932</v>
      </c>
      <c r="FS280">
        <v>6</v>
      </c>
      <c r="FT280">
        <v>7.5</v>
      </c>
      <c r="FU280">
        <v>4.5</v>
      </c>
      <c r="FV280">
        <v>6</v>
      </c>
      <c r="FW280">
        <v>3.5</v>
      </c>
      <c r="FX280">
        <v>0.1</v>
      </c>
      <c r="FY280">
        <v>0.1</v>
      </c>
      <c r="FZ280">
        <v>0.2</v>
      </c>
      <c r="GA280">
        <v>0.3</v>
      </c>
      <c r="GB280">
        <v>0.3</v>
      </c>
      <c r="GC280">
        <f>FS280*FX280</f>
        <v>0.60000000000000009</v>
      </c>
      <c r="GD280">
        <f>FT280*FY280</f>
        <v>0.75</v>
      </c>
      <c r="GE280">
        <f>FU280*FZ280</f>
        <v>0.9</v>
      </c>
      <c r="GF280">
        <f>FV280*GA280</f>
        <v>1.7999999999999998</v>
      </c>
      <c r="GG280">
        <f>FW280*GB280</f>
        <v>1.05</v>
      </c>
      <c r="GH280">
        <v>5.35</v>
      </c>
      <c r="GJ280">
        <v>5.3</v>
      </c>
      <c r="GK280">
        <f>GC280+GD280+GE280+GF280+GG280</f>
        <v>5.0999999999999996</v>
      </c>
      <c r="GL280">
        <f>MEDIAN(FS280:FW280)</f>
        <v>6</v>
      </c>
    </row>
    <row r="281" spans="1:194" hidden="1" x14ac:dyDescent="0.25">
      <c r="A281">
        <v>280</v>
      </c>
      <c r="B281" t="s">
        <v>2</v>
      </c>
      <c r="C281" s="4">
        <v>37.950000000000003</v>
      </c>
      <c r="D281">
        <v>3.3</v>
      </c>
      <c r="E281" s="1">
        <f>C281/3/D281</f>
        <v>3.8333333333333335</v>
      </c>
      <c r="G281">
        <v>85.96</v>
      </c>
      <c r="H281">
        <v>8</v>
      </c>
      <c r="I281">
        <f>H281*D281*3</f>
        <v>79.199999999999989</v>
      </c>
      <c r="J281">
        <v>16.399999999999999</v>
      </c>
      <c r="K281">
        <v>9</v>
      </c>
      <c r="L281" s="3">
        <f>K281*3*D281</f>
        <v>89.1</v>
      </c>
      <c r="M281">
        <v>5.07</v>
      </c>
      <c r="N281">
        <v>5</v>
      </c>
      <c r="O281">
        <f>N281*D281*3</f>
        <v>49.5</v>
      </c>
      <c r="P281" s="5">
        <v>8.5</v>
      </c>
      <c r="Q281" s="5">
        <f>P281*D281*3</f>
        <v>84.149999999999991</v>
      </c>
      <c r="S281" t="s">
        <v>6407</v>
      </c>
      <c r="T281">
        <v>2.2999999999999998</v>
      </c>
      <c r="U281" s="8">
        <f>T281*D281*3</f>
        <v>22.769999999999996</v>
      </c>
      <c r="V281">
        <v>32.06</v>
      </c>
      <c r="W281">
        <v>8.4</v>
      </c>
      <c r="X281" s="5">
        <f>W281*D281*3</f>
        <v>83.16</v>
      </c>
      <c r="Y281">
        <v>9.56</v>
      </c>
      <c r="Z281">
        <v>7.5</v>
      </c>
      <c r="AA281">
        <f>Z281*D281*3</f>
        <v>74.25</v>
      </c>
      <c r="AC281">
        <v>142.72</v>
      </c>
      <c r="AD281">
        <v>7.9</v>
      </c>
      <c r="AE281" s="1">
        <f>AD281*3*D281</f>
        <v>78.210000000000008</v>
      </c>
      <c r="AF281">
        <v>9.6</v>
      </c>
      <c r="AH281" s="5">
        <f>AG281*D281*3</f>
        <v>0</v>
      </c>
      <c r="AI281" s="13"/>
      <c r="AJ281">
        <v>8.1</v>
      </c>
      <c r="AK281" s="8">
        <f>AJ281*D281*3</f>
        <v>80.19</v>
      </c>
      <c r="AL281" s="13"/>
      <c r="AM281">
        <v>31.21</v>
      </c>
      <c r="AN281">
        <v>7.5</v>
      </c>
      <c r="AO281" s="8">
        <f>AN281*D281*3</f>
        <v>74.25</v>
      </c>
      <c r="AP281">
        <v>12.38</v>
      </c>
      <c r="AQ281">
        <v>10</v>
      </c>
      <c r="AR281">
        <f>AQ281*D281*3</f>
        <v>99</v>
      </c>
      <c r="AT281">
        <v>9</v>
      </c>
      <c r="AU281">
        <f>AT281*D281*3</f>
        <v>89.1</v>
      </c>
      <c r="AX281">
        <v>8.8000000000000007</v>
      </c>
      <c r="AY281">
        <f>AX281*D281*3</f>
        <v>87.12</v>
      </c>
      <c r="BA281">
        <v>8.4</v>
      </c>
      <c r="BB281">
        <f>BA281*D281*3</f>
        <v>83.16</v>
      </c>
      <c r="BD281">
        <v>8.9</v>
      </c>
      <c r="BE281">
        <f>BD281*D281*3</f>
        <v>88.11</v>
      </c>
      <c r="BG281" s="10"/>
      <c r="BH281" s="1">
        <f>CHOOSE(MATCH(MIN(ABS(BP281-C281),ABS(BQ281-C281),ABS(BR281-C281)),CHOOSE({1;2;3},ABS(BP281-C281),ABS(BQ281-C281),ABS(BR281-C281)),0),BP281,BQ281,BR281)</f>
        <v>79.199999999999989</v>
      </c>
      <c r="BJ281" s="1" cm="1">
        <f t="array" ref="BJ281">(INDEX(_xlfn._xlws.SORT(CHOOSE({1;2;3;4;5;6},BQ281,BR281,L281,AE281,BO281,BP281)),3) + INDEX(_xlfn._xlws.SORT(CHOOSE({1;2;3;4;5;6},BQ281,BR281,L281,AE281,BO281,BP281)),4))/2</f>
        <v>80.19</v>
      </c>
      <c r="BK281">
        <v>3.9209250215937201</v>
      </c>
      <c r="BL281" t="s">
        <v>6117</v>
      </c>
      <c r="BM281" s="1">
        <f>BK281*3*D281</f>
        <v>38.817157713777824</v>
      </c>
      <c r="BN281" s="1">
        <f>BM281-C281</f>
        <v>0.86715771377782147</v>
      </c>
      <c r="BO281" s="1">
        <f>GK281*3*D281</f>
        <v>81.179999999999993</v>
      </c>
      <c r="BP281" s="1">
        <f>DO281*3*D281</f>
        <v>89.1</v>
      </c>
      <c r="BQ281" s="1">
        <f>FJ281*3*D281</f>
        <v>79.199999999999989</v>
      </c>
      <c r="BR281" s="1">
        <f>GL281*3*D281</f>
        <v>79.199999999999989</v>
      </c>
      <c r="BT281">
        <v>85.96</v>
      </c>
      <c r="BU281">
        <v>8</v>
      </c>
      <c r="BV281" t="s">
        <v>5863</v>
      </c>
      <c r="BW281" t="s">
        <v>5864</v>
      </c>
      <c r="BX281" t="s">
        <v>5865</v>
      </c>
      <c r="BY281" t="s">
        <v>5866</v>
      </c>
      <c r="BZ281" t="s">
        <v>5867</v>
      </c>
      <c r="CA281" t="s">
        <v>2550</v>
      </c>
      <c r="CC281" t="s">
        <v>2634</v>
      </c>
      <c r="CD281" t="s">
        <v>2635</v>
      </c>
      <c r="CE281" t="s">
        <v>3034</v>
      </c>
      <c r="CG281" t="s">
        <v>2634</v>
      </c>
      <c r="CH281" t="s">
        <v>2637</v>
      </c>
      <c r="CI281" t="s">
        <v>2867</v>
      </c>
      <c r="CK281" t="s">
        <v>2634</v>
      </c>
      <c r="CL281" t="s">
        <v>2669</v>
      </c>
      <c r="CM281" t="s">
        <v>3045</v>
      </c>
      <c r="CO281" t="s">
        <v>2634</v>
      </c>
      <c r="CP281" t="s">
        <v>3035</v>
      </c>
      <c r="CQ281" t="s">
        <v>2911</v>
      </c>
      <c r="CS281" t="s">
        <v>2634</v>
      </c>
      <c r="CT281" t="s">
        <v>2645</v>
      </c>
      <c r="CV281">
        <v>9</v>
      </c>
      <c r="CW281">
        <v>9</v>
      </c>
      <c r="CX281">
        <v>9</v>
      </c>
      <c r="CY281">
        <v>9</v>
      </c>
      <c r="CZ281">
        <v>9</v>
      </c>
      <c r="DA281">
        <v>0.1</v>
      </c>
      <c r="DB281">
        <v>0.1</v>
      </c>
      <c r="DC281">
        <v>0.2</v>
      </c>
      <c r="DD281">
        <v>0.3</v>
      </c>
      <c r="DE281">
        <v>0.3</v>
      </c>
      <c r="DF281">
        <v>0.9</v>
      </c>
      <c r="DG281">
        <v>0.9</v>
      </c>
      <c r="DH281">
        <v>1.8</v>
      </c>
      <c r="DI281">
        <v>2.7</v>
      </c>
      <c r="DJ281">
        <v>2.7</v>
      </c>
      <c r="DK281">
        <v>8</v>
      </c>
      <c r="DL281">
        <v>0</v>
      </c>
      <c r="DM281">
        <v>8</v>
      </c>
      <c r="DN281">
        <v>9</v>
      </c>
      <c r="DO281">
        <f>AVERAGE(CV281:CZ281)</f>
        <v>9</v>
      </c>
      <c r="DQ281">
        <v>8</v>
      </c>
      <c r="DR281" t="s">
        <v>194</v>
      </c>
      <c r="DS281" t="s">
        <v>29</v>
      </c>
      <c r="DT281" t="s">
        <v>57</v>
      </c>
      <c r="DU281" t="s">
        <v>58</v>
      </c>
      <c r="DV281" t="s">
        <v>474</v>
      </c>
      <c r="DW281" t="s">
        <v>3805</v>
      </c>
      <c r="DX281" t="s">
        <v>3770</v>
      </c>
      <c r="DY281" t="s">
        <v>3771</v>
      </c>
      <c r="DZ281" t="s">
        <v>3772</v>
      </c>
      <c r="EA281" t="s">
        <v>3806</v>
      </c>
      <c r="EB281" t="s">
        <v>3807</v>
      </c>
      <c r="EC281" t="s">
        <v>3775</v>
      </c>
      <c r="ED281" t="s">
        <v>3776</v>
      </c>
      <c r="EE281" t="s">
        <v>3819</v>
      </c>
      <c r="EF281" t="s">
        <v>3809</v>
      </c>
      <c r="EG281" t="s">
        <v>3810</v>
      </c>
      <c r="EH281" t="s">
        <v>3811</v>
      </c>
      <c r="EI281" t="s">
        <v>3820</v>
      </c>
      <c r="EJ281" t="s">
        <v>3813</v>
      </c>
      <c r="EK281" t="s">
        <v>3925</v>
      </c>
      <c r="EL281" t="s">
        <v>3926</v>
      </c>
      <c r="EM281" t="s">
        <v>3816</v>
      </c>
      <c r="EN281" t="s">
        <v>3931</v>
      </c>
      <c r="EO281" t="s">
        <v>4259</v>
      </c>
      <c r="EP281" t="s">
        <v>4177</v>
      </c>
      <c r="EQ281">
        <v>7</v>
      </c>
      <c r="ER281">
        <v>8</v>
      </c>
      <c r="ES281">
        <v>8</v>
      </c>
      <c r="ET281">
        <v>8</v>
      </c>
      <c r="EU281">
        <v>8</v>
      </c>
      <c r="EV281">
        <v>0.1</v>
      </c>
      <c r="EW281">
        <v>0.1</v>
      </c>
      <c r="EX281">
        <v>0.2</v>
      </c>
      <c r="EY281">
        <v>0.3</v>
      </c>
      <c r="EZ281">
        <v>0.3</v>
      </c>
      <c r="FA281">
        <f>EV281*EQ281</f>
        <v>0.70000000000000007</v>
      </c>
      <c r="FB281">
        <f>EW281*ER281</f>
        <v>0.8</v>
      </c>
      <c r="FC281">
        <f>EX281*ES281</f>
        <v>1.6</v>
      </c>
      <c r="FD281">
        <f>EY281*ET281</f>
        <v>2.4</v>
      </c>
      <c r="FE281">
        <f>EZ281*EU281</f>
        <v>2.4</v>
      </c>
      <c r="FF281">
        <v>15</v>
      </c>
      <c r="FG281">
        <v>0</v>
      </c>
      <c r="FH281">
        <v>8</v>
      </c>
      <c r="FI281">
        <f>FA281+FB281+FC281+FD281+FE281</f>
        <v>7.9</v>
      </c>
      <c r="FJ281">
        <f>MEDIAN(EQ281:EU281)</f>
        <v>8</v>
      </c>
      <c r="FL281">
        <v>75.510000000000005</v>
      </c>
      <c r="FM281">
        <v>9</v>
      </c>
      <c r="FN281" t="s">
        <v>1933</v>
      </c>
      <c r="FO281" t="s">
        <v>1934</v>
      </c>
      <c r="FP281" t="s">
        <v>1935</v>
      </c>
      <c r="FQ281" t="s">
        <v>1936</v>
      </c>
      <c r="FR281" t="s">
        <v>1937</v>
      </c>
      <c r="FS281">
        <v>8</v>
      </c>
      <c r="FT281">
        <v>7.5</v>
      </c>
      <c r="FU281">
        <v>8.5</v>
      </c>
      <c r="FV281">
        <v>7.5</v>
      </c>
      <c r="FW281">
        <v>9</v>
      </c>
      <c r="FX281">
        <v>0.1</v>
      </c>
      <c r="FY281">
        <v>0.1</v>
      </c>
      <c r="FZ281">
        <v>0.2</v>
      </c>
      <c r="GA281">
        <v>0.3</v>
      </c>
      <c r="GB281">
        <v>0.3</v>
      </c>
      <c r="GC281">
        <f>FS281*FX281</f>
        <v>0.8</v>
      </c>
      <c r="GD281">
        <f>FT281*FY281</f>
        <v>0.75</v>
      </c>
      <c r="GE281">
        <f>FU281*FZ281</f>
        <v>1.7000000000000002</v>
      </c>
      <c r="GF281">
        <f>FV281*GA281</f>
        <v>2.25</v>
      </c>
      <c r="GG281">
        <f>FW281*GB281</f>
        <v>2.6999999999999997</v>
      </c>
      <c r="GH281">
        <v>8.6</v>
      </c>
      <c r="GI281">
        <v>0.4</v>
      </c>
      <c r="GJ281">
        <v>9</v>
      </c>
      <c r="GK281">
        <f>GC281+GD281+GE281+GF281+GG281</f>
        <v>8.1999999999999993</v>
      </c>
      <c r="GL281">
        <f>MEDIAN(FS281:FW281)</f>
        <v>8</v>
      </c>
    </row>
    <row r="282" spans="1:194" x14ac:dyDescent="0.25">
      <c r="A282">
        <v>345</v>
      </c>
      <c r="B282" t="s">
        <v>2</v>
      </c>
      <c r="C282" s="4">
        <v>67.3</v>
      </c>
      <c r="D282">
        <v>3.2</v>
      </c>
      <c r="E282" s="1">
        <f>C282/3/D282</f>
        <v>7.0104166666666661</v>
      </c>
      <c r="G282">
        <v>34.83</v>
      </c>
      <c r="H282">
        <v>7.4</v>
      </c>
      <c r="I282">
        <f>H282*D282*3</f>
        <v>71.040000000000006</v>
      </c>
      <c r="J282">
        <v>17.649999999999999</v>
      </c>
      <c r="K282">
        <v>8.4</v>
      </c>
      <c r="L282" s="3">
        <f>K282*3*D282</f>
        <v>80.640000000000015</v>
      </c>
      <c r="M282">
        <v>4.78</v>
      </c>
      <c r="N282">
        <v>5</v>
      </c>
      <c r="O282">
        <f>N282*D282*3</f>
        <v>48</v>
      </c>
      <c r="P282" s="5">
        <v>6.5</v>
      </c>
      <c r="Q282" s="5">
        <f>P282*D282*3</f>
        <v>62.400000000000006</v>
      </c>
      <c r="S282" t="s">
        <v>6468</v>
      </c>
      <c r="T282">
        <v>4.5</v>
      </c>
      <c r="U282" s="8">
        <f>T282*D282*3</f>
        <v>43.2</v>
      </c>
      <c r="V282">
        <v>42.45</v>
      </c>
      <c r="W282">
        <v>8.5</v>
      </c>
      <c r="X282" s="5">
        <f>W282*D282*3</f>
        <v>81.600000000000009</v>
      </c>
      <c r="Y282">
        <v>10.91</v>
      </c>
      <c r="Z282">
        <v>6</v>
      </c>
      <c r="AA282">
        <f>Z282*D282*3</f>
        <v>57.600000000000009</v>
      </c>
      <c r="AC282">
        <v>134.79</v>
      </c>
      <c r="AD282">
        <v>7.1</v>
      </c>
      <c r="AE282" s="1">
        <f>AD282*3*D282</f>
        <v>68.16</v>
      </c>
      <c r="AF282">
        <v>13.41</v>
      </c>
      <c r="AH282" s="5">
        <f>AG282*D282*3</f>
        <v>0</v>
      </c>
      <c r="AI282" s="13"/>
      <c r="AK282" s="8">
        <f>AJ282*D282*3</f>
        <v>0</v>
      </c>
      <c r="AL282" s="13"/>
      <c r="AM282">
        <v>32.4</v>
      </c>
      <c r="AN282">
        <v>7.1</v>
      </c>
      <c r="AO282" s="8">
        <f>AN282*D282*3</f>
        <v>68.16</v>
      </c>
      <c r="AP282">
        <v>14.88</v>
      </c>
      <c r="AQ282">
        <v>9.5</v>
      </c>
      <c r="AR282">
        <f>AQ282*D282*3</f>
        <v>91.2</v>
      </c>
      <c r="AT282">
        <v>8.8000000000000007</v>
      </c>
      <c r="AU282">
        <f>AT282*D282*3</f>
        <v>84.480000000000018</v>
      </c>
      <c r="AX282">
        <v>9</v>
      </c>
      <c r="AY282">
        <f>AX282*D282*3</f>
        <v>86.4</v>
      </c>
      <c r="BA282">
        <v>9.1</v>
      </c>
      <c r="BB282">
        <f>BA282*D282*3</f>
        <v>87.36</v>
      </c>
      <c r="BC282">
        <v>25.22</v>
      </c>
      <c r="BD282">
        <v>8.9</v>
      </c>
      <c r="BE282">
        <f>BD282*D282*3</f>
        <v>85.440000000000012</v>
      </c>
      <c r="BG282" s="10"/>
      <c r="BH282" s="1">
        <f>CHOOSE(MATCH(MIN(ABS(BP282-C282),ABS(BQ282-C282),ABS(BR282-C282)),CHOOSE({1;2;3},ABS(BP282-C282),ABS(BQ282-C282),ABS(BR282-C282)),0),BP282,BQ282,BR282)</f>
        <v>67.2</v>
      </c>
      <c r="BJ282" s="1" cm="1">
        <f t="array" ref="BJ282">(INDEX(_xlfn._xlws.SORT(CHOOSE({1;2;3;4;5;6},BQ282,BR282,L282,AE282,BO282,BP282)),3) + INDEX(_xlfn._xlws.SORT(CHOOSE({1;2;3;4;5;6},BQ282,BR282,L282,AE282,BO282,BP282)),4))/2</f>
        <v>75.600000000000009</v>
      </c>
      <c r="BK282">
        <v>8.0640641133225692</v>
      </c>
      <c r="BL282" s="11" t="s">
        <v>6116</v>
      </c>
      <c r="BM282" s="1">
        <f>BK282*3*D282</f>
        <v>77.415015487896667</v>
      </c>
      <c r="BN282" s="1">
        <f>BM282-C282</f>
        <v>10.11501548789667</v>
      </c>
      <c r="BO282" s="1">
        <f>GK282*3*D282</f>
        <v>74.400000000000006</v>
      </c>
      <c r="BP282" s="1">
        <f>DO282*3*D282</f>
        <v>82.56</v>
      </c>
      <c r="BQ282" s="1">
        <f>FJ282*3*D282</f>
        <v>67.2</v>
      </c>
      <c r="BR282" s="1">
        <f>GL282*3*D282</f>
        <v>76.800000000000011</v>
      </c>
      <c r="BT282">
        <v>34.83</v>
      </c>
      <c r="BU282">
        <v>7.4</v>
      </c>
      <c r="BV282" t="s">
        <v>6032</v>
      </c>
      <c r="BW282" t="s">
        <v>5171</v>
      </c>
      <c r="BX282" t="s">
        <v>6033</v>
      </c>
      <c r="BY282" t="s">
        <v>6034</v>
      </c>
      <c r="BZ282" t="s">
        <v>6035</v>
      </c>
      <c r="CA282" t="s">
        <v>2633</v>
      </c>
      <c r="CC282" t="s">
        <v>2634</v>
      </c>
      <c r="CD282" t="s">
        <v>2635</v>
      </c>
      <c r="CE282" t="s">
        <v>2553</v>
      </c>
      <c r="CG282" t="s">
        <v>2634</v>
      </c>
      <c r="CH282" t="s">
        <v>2832</v>
      </c>
      <c r="CI282" t="s">
        <v>3688</v>
      </c>
      <c r="CK282" t="s">
        <v>2634</v>
      </c>
      <c r="CL282" t="s">
        <v>2834</v>
      </c>
      <c r="CM282" t="s">
        <v>2704</v>
      </c>
      <c r="CO282" t="s">
        <v>2634</v>
      </c>
      <c r="CP282" t="s">
        <v>2835</v>
      </c>
      <c r="CQ282" t="s">
        <v>2777</v>
      </c>
      <c r="CR282" t="s">
        <v>2778</v>
      </c>
      <c r="CS282" t="s">
        <v>2779</v>
      </c>
      <c r="CT282" t="s">
        <v>3033</v>
      </c>
      <c r="CV282">
        <v>9</v>
      </c>
      <c r="CW282">
        <v>9</v>
      </c>
      <c r="CX282">
        <v>9</v>
      </c>
      <c r="CY282">
        <v>9</v>
      </c>
      <c r="CZ282">
        <v>7</v>
      </c>
      <c r="DA282">
        <v>0.1</v>
      </c>
      <c r="DB282">
        <v>0.1</v>
      </c>
      <c r="DC282">
        <v>0.2</v>
      </c>
      <c r="DD282">
        <v>0.3</v>
      </c>
      <c r="DE282">
        <v>0.3</v>
      </c>
      <c r="DF282">
        <v>0.9</v>
      </c>
      <c r="DG282">
        <v>0.9</v>
      </c>
      <c r="DH282">
        <v>1.8</v>
      </c>
      <c r="DI282">
        <v>2.7</v>
      </c>
      <c r="DJ282">
        <v>2.1</v>
      </c>
      <c r="DK282">
        <v>7.4</v>
      </c>
      <c r="DL282">
        <v>0</v>
      </c>
      <c r="DM282">
        <v>7.4</v>
      </c>
      <c r="DN282">
        <v>8.4</v>
      </c>
      <c r="DO282">
        <f>AVERAGE(CV282:CZ282)</f>
        <v>8.6</v>
      </c>
      <c r="DQ282">
        <v>17</v>
      </c>
      <c r="DR282" t="s">
        <v>28</v>
      </c>
      <c r="DS282" t="s">
        <v>108</v>
      </c>
      <c r="DT282" t="s">
        <v>109</v>
      </c>
      <c r="DU282" t="s">
        <v>110</v>
      </c>
      <c r="DV282" t="s">
        <v>395</v>
      </c>
      <c r="DW282" t="s">
        <v>3769</v>
      </c>
      <c r="DX282" t="s">
        <v>3770</v>
      </c>
      <c r="DY282" t="s">
        <v>3771</v>
      </c>
      <c r="DZ282" t="s">
        <v>3772</v>
      </c>
      <c r="EA282" t="s">
        <v>3773</v>
      </c>
      <c r="EB282" t="s">
        <v>3774</v>
      </c>
      <c r="EC282" t="s">
        <v>3775</v>
      </c>
      <c r="ED282" t="s">
        <v>3776</v>
      </c>
      <c r="EE282" t="s">
        <v>3777</v>
      </c>
      <c r="EF282" t="s">
        <v>3778</v>
      </c>
      <c r="EG282" t="s">
        <v>4014</v>
      </c>
      <c r="EH282" t="s">
        <v>4015</v>
      </c>
      <c r="EI282" t="s">
        <v>4016</v>
      </c>
      <c r="EJ282" t="s">
        <v>3782</v>
      </c>
      <c r="EK282" t="s">
        <v>4017</v>
      </c>
      <c r="EL282" t="s">
        <v>3815</v>
      </c>
      <c r="EM282" t="s">
        <v>4622</v>
      </c>
      <c r="EN282" t="s">
        <v>3786</v>
      </c>
      <c r="EO282" t="s">
        <v>4501</v>
      </c>
      <c r="EP282" t="s">
        <v>3818</v>
      </c>
      <c r="EQ282">
        <v>7</v>
      </c>
      <c r="ER282">
        <v>8</v>
      </c>
      <c r="ES282">
        <v>7</v>
      </c>
      <c r="ET282">
        <v>7</v>
      </c>
      <c r="EU282">
        <v>7</v>
      </c>
      <c r="EV282">
        <v>0.1</v>
      </c>
      <c r="EW282">
        <v>0.1</v>
      </c>
      <c r="EX282">
        <v>0.2</v>
      </c>
      <c r="EY282">
        <v>0.3</v>
      </c>
      <c r="EZ282">
        <v>0.3</v>
      </c>
      <c r="FA282">
        <f>EV282*EQ282</f>
        <v>0.70000000000000007</v>
      </c>
      <c r="FB282">
        <f>EW282*ER282</f>
        <v>0.8</v>
      </c>
      <c r="FC282">
        <f>EX282*ES282</f>
        <v>1.4000000000000001</v>
      </c>
      <c r="FD282">
        <f>EY282*ET282</f>
        <v>2.1</v>
      </c>
      <c r="FE282">
        <f>EZ282*EU282</f>
        <v>2.1</v>
      </c>
      <c r="FF282">
        <v>17</v>
      </c>
      <c r="FG282">
        <v>0</v>
      </c>
      <c r="FH282">
        <v>17</v>
      </c>
      <c r="FI282">
        <f>FA282+FB282+FC282+FD282+FE282</f>
        <v>7.1</v>
      </c>
      <c r="FJ282">
        <f>MEDIAN(EQ282:EU282)</f>
        <v>7</v>
      </c>
      <c r="FL282">
        <v>41.17</v>
      </c>
      <c r="FM282">
        <v>7.4</v>
      </c>
      <c r="FN282" t="s">
        <v>2238</v>
      </c>
      <c r="FO282" t="s">
        <v>2239</v>
      </c>
      <c r="FP282" t="s">
        <v>2240</v>
      </c>
      <c r="FQ282" t="s">
        <v>2241</v>
      </c>
      <c r="FR282" t="s">
        <v>2242</v>
      </c>
      <c r="FS282">
        <v>8</v>
      </c>
      <c r="FT282">
        <v>9</v>
      </c>
      <c r="FU282">
        <v>10</v>
      </c>
      <c r="FV282">
        <v>7.5</v>
      </c>
      <c r="FW282">
        <v>6</v>
      </c>
      <c r="FX282">
        <v>0.1</v>
      </c>
      <c r="FY282">
        <v>0.1</v>
      </c>
      <c r="FZ282">
        <v>0.2</v>
      </c>
      <c r="GA282">
        <v>0.3</v>
      </c>
      <c r="GB282">
        <v>0.3</v>
      </c>
      <c r="GC282">
        <f>FS282*FX282</f>
        <v>0.8</v>
      </c>
      <c r="GD282">
        <f>FT282*FY282</f>
        <v>0.9</v>
      </c>
      <c r="GE282">
        <f>FU282*FZ282</f>
        <v>2</v>
      </c>
      <c r="GF282">
        <f>FV282*GA282</f>
        <v>2.25</v>
      </c>
      <c r="GG282">
        <f>FW282*GB282</f>
        <v>1.7999999999999998</v>
      </c>
      <c r="GH282">
        <v>7.4</v>
      </c>
      <c r="GJ282">
        <v>7.4</v>
      </c>
      <c r="GK282">
        <f>GC282+GD282+GE282+GF282+GG282</f>
        <v>7.75</v>
      </c>
      <c r="GL282">
        <f>MEDIAN(FS282:FW282)</f>
        <v>8</v>
      </c>
    </row>
    <row r="283" spans="1:194" hidden="1" x14ac:dyDescent="0.25">
      <c r="A283">
        <v>282</v>
      </c>
      <c r="B283" t="s">
        <v>2</v>
      </c>
      <c r="C283" s="4">
        <v>84.6</v>
      </c>
      <c r="D283">
        <v>3.6</v>
      </c>
      <c r="E283" s="1">
        <f>C283/3/D283</f>
        <v>7.833333333333333</v>
      </c>
      <c r="G283">
        <v>83.63</v>
      </c>
      <c r="H283">
        <v>8.1999999999999993</v>
      </c>
      <c r="I283">
        <f>H283*D283*3</f>
        <v>88.56</v>
      </c>
      <c r="J283">
        <v>18.04</v>
      </c>
      <c r="K283">
        <v>9</v>
      </c>
      <c r="L283" s="3">
        <f>K283*3*D283</f>
        <v>97.2</v>
      </c>
      <c r="M283">
        <v>5.2</v>
      </c>
      <c r="N283">
        <v>3</v>
      </c>
      <c r="O283">
        <f>N283*D283*3</f>
        <v>32.400000000000006</v>
      </c>
      <c r="P283" s="5">
        <v>8.6999999999999993</v>
      </c>
      <c r="Q283" s="5">
        <f>P283*D283*3</f>
        <v>93.96</v>
      </c>
      <c r="S283" t="s">
        <v>6409</v>
      </c>
      <c r="T283">
        <v>5.3</v>
      </c>
      <c r="U283" s="8">
        <f>T283*D283*3</f>
        <v>57.239999999999995</v>
      </c>
      <c r="V283">
        <v>31.73</v>
      </c>
      <c r="W283">
        <v>8.6</v>
      </c>
      <c r="X283" s="5">
        <f>W283*D283*3</f>
        <v>92.88</v>
      </c>
      <c r="Y283">
        <v>10.93</v>
      </c>
      <c r="Z283">
        <v>8.6</v>
      </c>
      <c r="AA283">
        <f>Z283*D283*3</f>
        <v>92.88</v>
      </c>
      <c r="AC283">
        <v>153.46</v>
      </c>
      <c r="AD283">
        <v>7.6</v>
      </c>
      <c r="AE283" s="1">
        <f>AD283*3*D283</f>
        <v>82.08</v>
      </c>
      <c r="AF283">
        <v>11.95</v>
      </c>
      <c r="AG283" s="5">
        <v>7</v>
      </c>
      <c r="AH283" s="5">
        <f>AG283*D283*3</f>
        <v>75.599999999999994</v>
      </c>
      <c r="AI283" s="13"/>
      <c r="AJ283">
        <v>9.8000000000000007</v>
      </c>
      <c r="AK283" s="8">
        <f>AJ283*D283*3</f>
        <v>105.84</v>
      </c>
      <c r="AL283" s="13"/>
      <c r="AM283">
        <v>31.6</v>
      </c>
      <c r="AN283">
        <v>7</v>
      </c>
      <c r="AO283" s="8">
        <f>AN283*D283*3</f>
        <v>75.599999999999994</v>
      </c>
      <c r="AP283">
        <v>15.55</v>
      </c>
      <c r="AQ283">
        <v>10</v>
      </c>
      <c r="AR283">
        <f>AQ283*D283*3</f>
        <v>108</v>
      </c>
      <c r="AT283">
        <v>8.5</v>
      </c>
      <c r="AU283">
        <f>AT283*D283*3</f>
        <v>91.800000000000011</v>
      </c>
      <c r="AX283">
        <v>9.5</v>
      </c>
      <c r="AY283">
        <f>AX283*D283*3</f>
        <v>102.60000000000001</v>
      </c>
      <c r="BA283">
        <v>9.1999999999999993</v>
      </c>
      <c r="BB283">
        <f>BA283*D283*3</f>
        <v>99.359999999999985</v>
      </c>
      <c r="BD283">
        <v>8.6</v>
      </c>
      <c r="BE283">
        <f>BD283*D283*3</f>
        <v>92.88</v>
      </c>
      <c r="BG283" s="10"/>
      <c r="BH283" s="1">
        <f>CHOOSE(MATCH(MIN(ABS(BP283-C283),ABS(BQ283-C283),ABS(BR283-C283)),CHOOSE({1;2;3},ABS(BP283-C283),ABS(BQ283-C283),ABS(BR283-C283)),0),BP283,BQ283,BR283)</f>
        <v>86.4</v>
      </c>
      <c r="BJ283" s="1" cm="1">
        <f t="array" ref="BJ283">(INDEX(_xlfn._xlws.SORT(CHOOSE({1;2;3;4;5;6},BQ283,BR283,L283,AE283,BO283,BP283)),3) + INDEX(_xlfn._xlws.SORT(CHOOSE({1;2;3;4;5;6},BQ283,BR283,L283,AE283,BO283,BP283)),4))/2</f>
        <v>97.2</v>
      </c>
      <c r="BK283">
        <v>7.8437161264889701</v>
      </c>
      <c r="BL283" t="s">
        <v>6117</v>
      </c>
      <c r="BM283" s="1">
        <f>BK283*3*D283</f>
        <v>84.712134166080872</v>
      </c>
      <c r="BN283" s="1">
        <f>BM283-C283</f>
        <v>0.11213416608087812</v>
      </c>
      <c r="BO283" s="1">
        <f>GK283*3*D283</f>
        <v>108</v>
      </c>
      <c r="BP283" s="1">
        <f>DO283*3*D283</f>
        <v>97.2</v>
      </c>
      <c r="BQ283" s="1">
        <f>FJ283*3*D283</f>
        <v>86.4</v>
      </c>
      <c r="BR283" s="1">
        <f>GL283*3*D283</f>
        <v>108</v>
      </c>
      <c r="BT283">
        <v>83.63</v>
      </c>
      <c r="BU283">
        <v>8.1999999999999993</v>
      </c>
      <c r="BV283" t="s">
        <v>5869</v>
      </c>
      <c r="BW283" t="s">
        <v>5870</v>
      </c>
      <c r="BX283" t="s">
        <v>5871</v>
      </c>
      <c r="BY283" t="s">
        <v>5872</v>
      </c>
      <c r="BZ283" t="s">
        <v>5873</v>
      </c>
      <c r="CA283" t="s">
        <v>2437</v>
      </c>
      <c r="CC283" t="s">
        <v>2758</v>
      </c>
      <c r="CD283" t="s">
        <v>2508</v>
      </c>
      <c r="CE283" t="s">
        <v>2440</v>
      </c>
      <c r="CG283" t="s">
        <v>2761</v>
      </c>
      <c r="CH283" t="s">
        <v>2510</v>
      </c>
      <c r="CI283" t="s">
        <v>2443</v>
      </c>
      <c r="CK283" t="s">
        <v>2795</v>
      </c>
      <c r="CL283" t="s">
        <v>2512</v>
      </c>
      <c r="CM283" t="s">
        <v>2446</v>
      </c>
      <c r="CO283" t="s">
        <v>2796</v>
      </c>
      <c r="CP283" t="s">
        <v>2514</v>
      </c>
      <c r="CQ283" t="s">
        <v>2449</v>
      </c>
      <c r="CS283" t="s">
        <v>2679</v>
      </c>
      <c r="CT283" t="s">
        <v>2524</v>
      </c>
      <c r="CV283">
        <v>9</v>
      </c>
      <c r="CW283">
        <v>9</v>
      </c>
      <c r="CX283">
        <v>9</v>
      </c>
      <c r="CY283">
        <v>9</v>
      </c>
      <c r="CZ283">
        <v>9</v>
      </c>
      <c r="DA283">
        <v>0.1</v>
      </c>
      <c r="DB283">
        <v>0.1</v>
      </c>
      <c r="DC283">
        <v>0.2</v>
      </c>
      <c r="DD283">
        <v>0.3</v>
      </c>
      <c r="DE283">
        <v>0.3</v>
      </c>
      <c r="DF283">
        <v>0.9</v>
      </c>
      <c r="DG283">
        <v>0.9</v>
      </c>
      <c r="DH283">
        <v>1.8</v>
      </c>
      <c r="DI283">
        <v>2.7</v>
      </c>
      <c r="DJ283">
        <v>2.7</v>
      </c>
      <c r="DK283">
        <v>8.1999999999999993</v>
      </c>
      <c r="DL283">
        <v>0</v>
      </c>
      <c r="DM283">
        <v>8.1999999999999993</v>
      </c>
      <c r="DN283">
        <v>9</v>
      </c>
      <c r="DO283">
        <f>AVERAGE(CV283:CZ283)</f>
        <v>9</v>
      </c>
      <c r="DQ283" t="s">
        <v>27</v>
      </c>
      <c r="DR283" t="s">
        <v>33</v>
      </c>
      <c r="DS283" t="s">
        <v>327</v>
      </c>
      <c r="DT283" t="s">
        <v>328</v>
      </c>
      <c r="DU283" t="s">
        <v>329</v>
      </c>
      <c r="DV283" t="s">
        <v>330</v>
      </c>
      <c r="DW283" t="s">
        <v>3788</v>
      </c>
      <c r="DX283" t="s">
        <v>4505</v>
      </c>
      <c r="DY283" t="s">
        <v>4506</v>
      </c>
      <c r="DZ283" t="s">
        <v>4507</v>
      </c>
      <c r="EA283" t="s">
        <v>3993</v>
      </c>
      <c r="EB283" t="s">
        <v>4074</v>
      </c>
      <c r="EC283" t="s">
        <v>4508</v>
      </c>
      <c r="ED283" t="s">
        <v>4509</v>
      </c>
      <c r="EE283" t="s">
        <v>3937</v>
      </c>
      <c r="EF283" t="s">
        <v>4390</v>
      </c>
      <c r="EG283" t="s">
        <v>4510</v>
      </c>
      <c r="EH283" t="s">
        <v>4511</v>
      </c>
      <c r="EI283" t="s">
        <v>4096</v>
      </c>
      <c r="EJ283" t="s">
        <v>4512</v>
      </c>
      <c r="EK283" t="s">
        <v>4513</v>
      </c>
      <c r="EL283" t="s">
        <v>4514</v>
      </c>
      <c r="EM283" t="s">
        <v>4515</v>
      </c>
      <c r="EN283" t="s">
        <v>4397</v>
      </c>
      <c r="EO283" t="s">
        <v>4516</v>
      </c>
      <c r="EP283" t="s">
        <v>4517</v>
      </c>
      <c r="EQ283">
        <v>7</v>
      </c>
      <c r="ER283">
        <v>8</v>
      </c>
      <c r="ES283">
        <v>8</v>
      </c>
      <c r="ET283">
        <v>7</v>
      </c>
      <c r="EU283">
        <v>8</v>
      </c>
      <c r="EV283">
        <v>0.1</v>
      </c>
      <c r="EW283">
        <v>0.1</v>
      </c>
      <c r="EX283">
        <v>0.2</v>
      </c>
      <c r="EY283">
        <v>0.3</v>
      </c>
      <c r="EZ283">
        <v>0.3</v>
      </c>
      <c r="FA283">
        <f>EV283*EQ283</f>
        <v>0.70000000000000007</v>
      </c>
      <c r="FB283">
        <f>EW283*ER283</f>
        <v>0.8</v>
      </c>
      <c r="FC283">
        <f>EX283*ES283</f>
        <v>1.6</v>
      </c>
      <c r="FD283">
        <f>EY283*ET283</f>
        <v>2.1</v>
      </c>
      <c r="FE283">
        <f>EZ283*EU283</f>
        <v>2.4</v>
      </c>
      <c r="FF283">
        <v>15</v>
      </c>
      <c r="FG283">
        <v>0</v>
      </c>
      <c r="FH283">
        <v>8</v>
      </c>
      <c r="FI283">
        <f>FA283+FB283+FC283+FD283+FE283</f>
        <v>7.6</v>
      </c>
      <c r="FJ283">
        <f>MEDIAN(EQ283:EU283)</f>
        <v>8</v>
      </c>
      <c r="FL283">
        <v>103</v>
      </c>
      <c r="FM283">
        <v>8</v>
      </c>
      <c r="FN283" t="s">
        <v>1943</v>
      </c>
      <c r="FO283" t="s">
        <v>1944</v>
      </c>
      <c r="FP283" t="s">
        <v>1945</v>
      </c>
      <c r="FQ283" t="s">
        <v>1946</v>
      </c>
      <c r="FR283" t="s">
        <v>1947</v>
      </c>
      <c r="FS283">
        <v>10</v>
      </c>
      <c r="FT283">
        <v>10</v>
      </c>
      <c r="FU283">
        <v>10</v>
      </c>
      <c r="FV283">
        <v>10</v>
      </c>
      <c r="FW283">
        <v>10</v>
      </c>
      <c r="FX283">
        <v>0.1</v>
      </c>
      <c r="FY283">
        <v>0.1</v>
      </c>
      <c r="FZ283">
        <v>0.2</v>
      </c>
      <c r="GA283">
        <v>0.3</v>
      </c>
      <c r="GB283">
        <v>0.3</v>
      </c>
      <c r="GC283">
        <f>FS283*FX283</f>
        <v>1</v>
      </c>
      <c r="GD283">
        <f>FT283*FY283</f>
        <v>1</v>
      </c>
      <c r="GE283">
        <f>FU283*FZ283</f>
        <v>2</v>
      </c>
      <c r="GF283">
        <f>FV283*GA283</f>
        <v>3</v>
      </c>
      <c r="GG283">
        <f>FW283*GB283</f>
        <v>3</v>
      </c>
      <c r="GH283">
        <v>8</v>
      </c>
      <c r="GI283">
        <v>0</v>
      </c>
      <c r="GJ283">
        <v>8</v>
      </c>
      <c r="GK283">
        <f>GC283+GD283+GE283+GF283+GG283</f>
        <v>10</v>
      </c>
      <c r="GL283">
        <f>MEDIAN(FS283:FW283)</f>
        <v>10</v>
      </c>
    </row>
    <row r="284" spans="1:194" hidden="1" x14ac:dyDescent="0.25">
      <c r="A284">
        <v>283</v>
      </c>
      <c r="B284" t="s">
        <v>2</v>
      </c>
      <c r="C284" s="4">
        <v>70.400000000000006</v>
      </c>
      <c r="D284">
        <v>3.2</v>
      </c>
      <c r="E284" s="1">
        <f>C284/3/D284</f>
        <v>7.3333333333333339</v>
      </c>
      <c r="G284">
        <v>40.36</v>
      </c>
      <c r="H284">
        <v>3.8</v>
      </c>
      <c r="I284">
        <f>H284*D284*3</f>
        <v>36.480000000000004</v>
      </c>
      <c r="J284">
        <v>18.46</v>
      </c>
      <c r="K284">
        <v>9</v>
      </c>
      <c r="L284" s="3">
        <f>K284*3*D284</f>
        <v>86.4</v>
      </c>
      <c r="M284">
        <v>5.2</v>
      </c>
      <c r="N284">
        <v>4</v>
      </c>
      <c r="O284">
        <f>N284*D284*3</f>
        <v>38.400000000000006</v>
      </c>
      <c r="P284" s="5">
        <v>8.6999999999999993</v>
      </c>
      <c r="Q284" s="5">
        <f>P284*D284*3</f>
        <v>83.52</v>
      </c>
      <c r="S284" t="s">
        <v>6410</v>
      </c>
      <c r="T284">
        <v>5.0999999999999996</v>
      </c>
      <c r="U284" s="8">
        <f>T284*D284*3</f>
        <v>48.96</v>
      </c>
      <c r="V284">
        <v>30.12</v>
      </c>
      <c r="W284">
        <v>8.6999999999999993</v>
      </c>
      <c r="X284" s="5">
        <f>W284*D284*3</f>
        <v>83.52</v>
      </c>
      <c r="Y284">
        <v>9.19</v>
      </c>
      <c r="Z284">
        <v>7.5</v>
      </c>
      <c r="AA284">
        <f>Z284*D284*3</f>
        <v>72</v>
      </c>
      <c r="AC284">
        <v>136.91</v>
      </c>
      <c r="AD284">
        <v>7.9</v>
      </c>
      <c r="AE284" s="1">
        <f>AD284*3*D284</f>
        <v>75.840000000000018</v>
      </c>
      <c r="AF284">
        <v>11.98</v>
      </c>
      <c r="AG284" s="5">
        <v>7</v>
      </c>
      <c r="AH284" s="5">
        <f>AG284*D284*3</f>
        <v>67.2</v>
      </c>
      <c r="AI284" s="13"/>
      <c r="AJ284">
        <v>23</v>
      </c>
      <c r="AK284" s="8">
        <f>AJ284*D284*3</f>
        <v>220.8</v>
      </c>
      <c r="AL284" s="13"/>
      <c r="AM284">
        <v>30.86</v>
      </c>
      <c r="AN284">
        <v>7</v>
      </c>
      <c r="AO284" s="8">
        <f>AN284*D284*3</f>
        <v>67.2</v>
      </c>
      <c r="AP284">
        <v>15.1</v>
      </c>
      <c r="AQ284">
        <v>10</v>
      </c>
      <c r="AR284">
        <f>AQ284*D284*3</f>
        <v>96</v>
      </c>
      <c r="AT284">
        <v>9.3000000000000007</v>
      </c>
      <c r="AU284">
        <f>AT284*D284*3</f>
        <v>89.280000000000015</v>
      </c>
      <c r="AX284">
        <v>9.4</v>
      </c>
      <c r="AY284">
        <f>AX284*D284*3</f>
        <v>90.240000000000009</v>
      </c>
      <c r="BA284">
        <v>7.9</v>
      </c>
      <c r="BB284">
        <f>BA284*D284*3</f>
        <v>75.84</v>
      </c>
      <c r="BD284">
        <v>8.1999999999999993</v>
      </c>
      <c r="BE284">
        <f>BD284*D284*3</f>
        <v>78.72</v>
      </c>
      <c r="BG284" s="10"/>
      <c r="BH284" s="1">
        <f>CHOOSE(MATCH(MIN(ABS(BP284-C284),ABS(BQ284-C284),ABS(BR284-C284)),CHOOSE({1;2;3},ABS(BP284-C284),ABS(BQ284-C284),ABS(BR284-C284)),0),BP284,BQ284,BR284)</f>
        <v>76.800000000000011</v>
      </c>
      <c r="BJ284" s="1" cm="1">
        <f t="array" ref="BJ284">(INDEX(_xlfn._xlws.SORT(CHOOSE({1;2;3;4;5;6},BQ284,BR284,L284,AE284,BO284,BP284)),3) + INDEX(_xlfn._xlws.SORT(CHOOSE({1;2;3;4;5;6},BQ284,BR284,L284,AE284,BO284,BP284)),4))/2</f>
        <v>68.640000000000015</v>
      </c>
      <c r="BK284">
        <v>7.3401008044526304</v>
      </c>
      <c r="BL284" t="s">
        <v>6117</v>
      </c>
      <c r="BM284" s="1">
        <f>BK284*3*D284</f>
        <v>70.464967722745243</v>
      </c>
      <c r="BN284" s="1">
        <f>BM284-C284</f>
        <v>6.4967722745237211E-2</v>
      </c>
      <c r="BO284" s="1">
        <f>GK284*3*D284</f>
        <v>61.440000000000012</v>
      </c>
      <c r="BP284" s="1">
        <f>DO284*3*D284</f>
        <v>61.440000000000012</v>
      </c>
      <c r="BQ284" s="1">
        <f>FJ284*3*D284</f>
        <v>76.800000000000011</v>
      </c>
      <c r="BR284" s="1">
        <f>GL284*3*D284</f>
        <v>57.6</v>
      </c>
      <c r="BT284">
        <v>40.36</v>
      </c>
      <c r="BU284">
        <v>3.8</v>
      </c>
      <c r="BV284" t="s">
        <v>5412</v>
      </c>
      <c r="BW284" t="s">
        <v>5094</v>
      </c>
      <c r="BX284" t="s">
        <v>5704</v>
      </c>
      <c r="BY284" t="s">
        <v>5705</v>
      </c>
      <c r="BZ284" t="s">
        <v>5706</v>
      </c>
      <c r="CA284" t="s">
        <v>2437</v>
      </c>
      <c r="CC284" t="s">
        <v>2438</v>
      </c>
      <c r="CD284" t="s">
        <v>2744</v>
      </c>
      <c r="CE284" t="s">
        <v>2440</v>
      </c>
      <c r="CG284" t="s">
        <v>2791</v>
      </c>
      <c r="CH284" t="s">
        <v>2823</v>
      </c>
      <c r="CI284" t="s">
        <v>2535</v>
      </c>
      <c r="CJ284" t="s">
        <v>2427</v>
      </c>
      <c r="CK284" t="s">
        <v>2987</v>
      </c>
      <c r="CL284" t="s">
        <v>2825</v>
      </c>
      <c r="CM284" t="s">
        <v>3006</v>
      </c>
      <c r="CN284" t="s">
        <v>3006</v>
      </c>
      <c r="CO284" t="s">
        <v>3215</v>
      </c>
      <c r="CP284" t="s">
        <v>2828</v>
      </c>
      <c r="CQ284" t="s">
        <v>3009</v>
      </c>
      <c r="CR284" t="s">
        <v>3009</v>
      </c>
      <c r="CS284" t="s">
        <v>3217</v>
      </c>
      <c r="CT284" t="s">
        <v>2831</v>
      </c>
      <c r="CV284">
        <v>9</v>
      </c>
      <c r="CW284">
        <v>9</v>
      </c>
      <c r="CX284">
        <v>7</v>
      </c>
      <c r="CY284">
        <v>5</v>
      </c>
      <c r="CZ284">
        <v>2</v>
      </c>
      <c r="DA284">
        <v>0.1</v>
      </c>
      <c r="DB284">
        <v>0.1</v>
      </c>
      <c r="DC284">
        <v>0.2</v>
      </c>
      <c r="DD284">
        <v>0.3</v>
      </c>
      <c r="DE284">
        <v>0.3</v>
      </c>
      <c r="DF284">
        <v>0.9</v>
      </c>
      <c r="DG284">
        <v>0.9</v>
      </c>
      <c r="DH284">
        <v>1.4</v>
      </c>
      <c r="DI284">
        <v>1.5</v>
      </c>
      <c r="DJ284">
        <v>0.6</v>
      </c>
      <c r="DK284">
        <v>4.3</v>
      </c>
      <c r="DL284">
        <v>-0.5</v>
      </c>
      <c r="DM284">
        <v>3.8</v>
      </c>
      <c r="DN284">
        <v>9</v>
      </c>
      <c r="DO284">
        <f>AVERAGE(CV284:CZ284)</f>
        <v>6.4</v>
      </c>
      <c r="DQ284">
        <v>8</v>
      </c>
      <c r="DR284" t="s">
        <v>478</v>
      </c>
      <c r="DS284" t="s">
        <v>479</v>
      </c>
      <c r="DT284" t="s">
        <v>480</v>
      </c>
      <c r="DU284" t="s">
        <v>481</v>
      </c>
      <c r="DV284" t="s">
        <v>482</v>
      </c>
      <c r="DW284" t="s">
        <v>3788</v>
      </c>
      <c r="DX284" t="s">
        <v>4505</v>
      </c>
      <c r="DY284" t="s">
        <v>4506</v>
      </c>
      <c r="DZ284" t="s">
        <v>4808</v>
      </c>
      <c r="EA284" t="s">
        <v>4809</v>
      </c>
      <c r="EB284" t="s">
        <v>4722</v>
      </c>
      <c r="EC284" t="s">
        <v>4810</v>
      </c>
      <c r="ED284" t="s">
        <v>4724</v>
      </c>
      <c r="EE284" t="s">
        <v>4811</v>
      </c>
      <c r="EF284" t="s">
        <v>4637</v>
      </c>
      <c r="EG284" t="s">
        <v>4812</v>
      </c>
      <c r="EH284" t="s">
        <v>4639</v>
      </c>
      <c r="EI284" t="s">
        <v>3981</v>
      </c>
      <c r="EJ284" t="s">
        <v>4393</v>
      </c>
      <c r="EK284" t="s">
        <v>4394</v>
      </c>
      <c r="EL284" t="s">
        <v>4395</v>
      </c>
      <c r="EM284" t="s">
        <v>4515</v>
      </c>
      <c r="EN284" t="s">
        <v>4397</v>
      </c>
      <c r="EO284" t="s">
        <v>4398</v>
      </c>
      <c r="EP284" t="s">
        <v>4728</v>
      </c>
      <c r="EQ284">
        <v>7</v>
      </c>
      <c r="ER284">
        <v>8</v>
      </c>
      <c r="ES284">
        <v>8</v>
      </c>
      <c r="ET284">
        <v>8</v>
      </c>
      <c r="EU284">
        <v>8</v>
      </c>
      <c r="EV284">
        <v>0.1</v>
      </c>
      <c r="EW284">
        <v>0.1</v>
      </c>
      <c r="EX284">
        <v>0.2</v>
      </c>
      <c r="EY284">
        <v>0.3</v>
      </c>
      <c r="EZ284">
        <v>0.3</v>
      </c>
      <c r="FA284">
        <f>EV284*EQ284</f>
        <v>0.70000000000000007</v>
      </c>
      <c r="FB284">
        <f>EW284*ER284</f>
        <v>0.8</v>
      </c>
      <c r="FC284">
        <f>EX284*ES284</f>
        <v>1.6</v>
      </c>
      <c r="FD284">
        <f>EY284*ET284</f>
        <v>2.4</v>
      </c>
      <c r="FE284">
        <f>EZ284*EU284</f>
        <v>2.4</v>
      </c>
      <c r="FF284">
        <v>15</v>
      </c>
      <c r="FG284">
        <v>0</v>
      </c>
      <c r="FH284">
        <v>8</v>
      </c>
      <c r="FI284">
        <f>FA284+FB284+FC284+FD284+FE284</f>
        <v>7.9</v>
      </c>
      <c r="FJ284">
        <f>MEDIAN(EQ284:EU284)</f>
        <v>8</v>
      </c>
      <c r="FL284">
        <v>36.83</v>
      </c>
      <c r="FM284">
        <v>9</v>
      </c>
      <c r="FN284" t="s">
        <v>1948</v>
      </c>
      <c r="FO284" t="s">
        <v>1949</v>
      </c>
      <c r="FP284" t="s">
        <v>1950</v>
      </c>
      <c r="FQ284" t="s">
        <v>1951</v>
      </c>
      <c r="FR284" t="s">
        <v>1952</v>
      </c>
      <c r="FS284">
        <v>5</v>
      </c>
      <c r="FT284">
        <v>6</v>
      </c>
      <c r="FU284">
        <v>4</v>
      </c>
      <c r="FV284">
        <v>7</v>
      </c>
      <c r="FW284">
        <v>8</v>
      </c>
      <c r="FX284">
        <v>0.1</v>
      </c>
      <c r="FY284">
        <v>0.1</v>
      </c>
      <c r="FZ284">
        <v>0.2</v>
      </c>
      <c r="GA284">
        <v>0.3</v>
      </c>
      <c r="GB284">
        <v>0.3</v>
      </c>
      <c r="GC284">
        <f>FS284*FX284</f>
        <v>0.5</v>
      </c>
      <c r="GD284">
        <f>FT284*FY284</f>
        <v>0.60000000000000009</v>
      </c>
      <c r="GE284">
        <f>FU284*FZ284</f>
        <v>0.8</v>
      </c>
      <c r="GF284">
        <f>FV284*GA284</f>
        <v>2.1</v>
      </c>
      <c r="GG284">
        <f>FW284*GB284</f>
        <v>2.4</v>
      </c>
      <c r="GH284">
        <v>9</v>
      </c>
      <c r="GI284">
        <v>0</v>
      </c>
      <c r="GJ284">
        <v>9</v>
      </c>
      <c r="GK284">
        <f>GC284+GD284+GE284+GF284+GG284</f>
        <v>6.4</v>
      </c>
      <c r="GL284">
        <f>MEDIAN(FS284:FW284)</f>
        <v>6</v>
      </c>
    </row>
    <row r="285" spans="1:194" hidden="1" x14ac:dyDescent="0.25">
      <c r="A285">
        <v>284</v>
      </c>
      <c r="B285" t="s">
        <v>2</v>
      </c>
      <c r="C285" s="4">
        <v>89.1</v>
      </c>
      <c r="D285">
        <v>3.3</v>
      </c>
      <c r="E285" s="1">
        <f>C285/3/D285</f>
        <v>9</v>
      </c>
      <c r="G285">
        <v>85.31</v>
      </c>
      <c r="H285">
        <v>8.1999999999999993</v>
      </c>
      <c r="I285">
        <f>H285*D285*3</f>
        <v>81.179999999999978</v>
      </c>
      <c r="J285">
        <v>16.55</v>
      </c>
      <c r="K285">
        <v>9</v>
      </c>
      <c r="L285" s="3">
        <f>K285*3*D285</f>
        <v>89.1</v>
      </c>
      <c r="M285">
        <v>5.08</v>
      </c>
      <c r="N285">
        <v>5</v>
      </c>
      <c r="O285">
        <f>N285*D285*3</f>
        <v>49.5</v>
      </c>
      <c r="P285" s="5">
        <v>7</v>
      </c>
      <c r="Q285" s="5">
        <f>P285*D285*3</f>
        <v>69.3</v>
      </c>
      <c r="S285" t="s">
        <v>6403</v>
      </c>
      <c r="T285">
        <v>5.3</v>
      </c>
      <c r="U285" s="8">
        <f>T285*D285*3</f>
        <v>52.47</v>
      </c>
      <c r="V285">
        <v>31.81</v>
      </c>
      <c r="W285">
        <v>8</v>
      </c>
      <c r="X285" s="5">
        <f>W285*D285*3</f>
        <v>79.199999999999989</v>
      </c>
      <c r="Y285">
        <v>9.1999999999999993</v>
      </c>
      <c r="Z285">
        <v>7.5</v>
      </c>
      <c r="AA285">
        <f>Z285*D285*3</f>
        <v>74.25</v>
      </c>
      <c r="AC285">
        <v>139.13</v>
      </c>
      <c r="AD285">
        <v>7.9</v>
      </c>
      <c r="AE285" s="1">
        <f>AD285*3*D285</f>
        <v>78.210000000000008</v>
      </c>
      <c r="AF285">
        <v>11.99</v>
      </c>
      <c r="AG285" s="5">
        <v>7</v>
      </c>
      <c r="AH285" s="5">
        <f>AG285*D285*3</f>
        <v>69.3</v>
      </c>
      <c r="AI285" s="13"/>
      <c r="AJ285">
        <v>23</v>
      </c>
      <c r="AK285" s="8">
        <f>AJ285*D285*3</f>
        <v>227.7</v>
      </c>
      <c r="AL285" s="13"/>
      <c r="AM285">
        <v>30.49</v>
      </c>
      <c r="AN285">
        <v>7.2</v>
      </c>
      <c r="AO285" s="8">
        <f>AN285*D285*3</f>
        <v>71.28</v>
      </c>
      <c r="AP285">
        <v>12.62</v>
      </c>
      <c r="AQ285">
        <v>10</v>
      </c>
      <c r="AR285">
        <f>AQ285*D285*3</f>
        <v>99</v>
      </c>
      <c r="AT285">
        <v>9</v>
      </c>
      <c r="AU285">
        <f>AT285*D285*3</f>
        <v>89.1</v>
      </c>
      <c r="AX285">
        <v>9.1999999999999993</v>
      </c>
      <c r="AY285">
        <f>AX285*D285*3</f>
        <v>91.079999999999984</v>
      </c>
      <c r="BA285">
        <v>9</v>
      </c>
      <c r="BB285">
        <f>BA285*D285*3</f>
        <v>89.1</v>
      </c>
      <c r="BD285">
        <v>8.9</v>
      </c>
      <c r="BE285">
        <f>BD285*D285*3</f>
        <v>88.11</v>
      </c>
      <c r="BG285" s="10"/>
      <c r="BH285" s="1">
        <f>CHOOSE(MATCH(MIN(ABS(BP285-C285),ABS(BQ285-C285),ABS(BR285-C285)),CHOOSE({1;2;3},ABS(BP285-C285),ABS(BQ285-C285),ABS(BR285-C285)),0),BP285,BQ285,BR285)</f>
        <v>89.1</v>
      </c>
      <c r="BJ285" s="1" cm="1">
        <f t="array" ref="BJ285">(INDEX(_xlfn._xlws.SORT(CHOOSE({1;2;3;4;5;6},BQ285,BR285,L285,AE285,BO285,BP285)),3) + INDEX(_xlfn._xlws.SORT(CHOOSE({1;2;3;4;5;6},BQ285,BR285,L285,AE285,BO285,BP285)),4))/2</f>
        <v>78.704999999999998</v>
      </c>
      <c r="BK285">
        <v>8.9460014475072391</v>
      </c>
      <c r="BL285" t="s">
        <v>6117</v>
      </c>
      <c r="BM285" s="1">
        <f>BK285*3*D285</f>
        <v>88.565414330321659</v>
      </c>
      <c r="BN285" s="1">
        <f>BM285-C285</f>
        <v>-0.53458566967833576</v>
      </c>
      <c r="BO285" s="1">
        <f>GK285*3*D285</f>
        <v>66.825000000000003</v>
      </c>
      <c r="BP285" s="1">
        <f>DO285*3*D285</f>
        <v>89.1</v>
      </c>
      <c r="BQ285" s="1">
        <f>FJ285*3*D285</f>
        <v>79.199999999999989</v>
      </c>
      <c r="BR285" s="1">
        <f>GL285*3*D285</f>
        <v>69.3</v>
      </c>
      <c r="BT285">
        <v>85.31</v>
      </c>
      <c r="BU285">
        <v>8.1999999999999993</v>
      </c>
      <c r="BV285" t="s">
        <v>5699</v>
      </c>
      <c r="BW285" t="s">
        <v>5700</v>
      </c>
      <c r="BX285" t="s">
        <v>4993</v>
      </c>
      <c r="BY285" t="s">
        <v>5874</v>
      </c>
      <c r="BZ285" t="s">
        <v>5875</v>
      </c>
      <c r="CA285" t="s">
        <v>2480</v>
      </c>
      <c r="CC285" t="s">
        <v>3101</v>
      </c>
      <c r="CD285" t="s">
        <v>3501</v>
      </c>
      <c r="CE285" t="s">
        <v>2725</v>
      </c>
      <c r="CG285" t="s">
        <v>3502</v>
      </c>
      <c r="CH285" t="s">
        <v>2554</v>
      </c>
      <c r="CI285" t="s">
        <v>2484</v>
      </c>
      <c r="CK285" t="s">
        <v>3503</v>
      </c>
      <c r="CL285" t="s">
        <v>2557</v>
      </c>
      <c r="CM285" t="s">
        <v>3504</v>
      </c>
      <c r="CO285" t="s">
        <v>3505</v>
      </c>
      <c r="CP285" t="s">
        <v>2559</v>
      </c>
      <c r="CQ285" t="s">
        <v>3506</v>
      </c>
      <c r="CS285" t="s">
        <v>3507</v>
      </c>
      <c r="CT285" t="s">
        <v>2562</v>
      </c>
      <c r="CV285">
        <v>9</v>
      </c>
      <c r="CW285">
        <v>9</v>
      </c>
      <c r="CX285">
        <v>9</v>
      </c>
      <c r="CY285">
        <v>9</v>
      </c>
      <c r="CZ285">
        <v>9</v>
      </c>
      <c r="DA285">
        <v>0.1</v>
      </c>
      <c r="DB285">
        <v>0.1</v>
      </c>
      <c r="DC285">
        <v>0.2</v>
      </c>
      <c r="DD285">
        <v>0.3</v>
      </c>
      <c r="DE285">
        <v>0.3</v>
      </c>
      <c r="DF285">
        <v>0.9</v>
      </c>
      <c r="DG285">
        <v>0.9</v>
      </c>
      <c r="DH285">
        <v>1.8</v>
      </c>
      <c r="DI285">
        <v>2.7</v>
      </c>
      <c r="DJ285">
        <v>2.7</v>
      </c>
      <c r="DK285">
        <v>8.1999999999999993</v>
      </c>
      <c r="DL285">
        <v>0</v>
      </c>
      <c r="DM285">
        <v>8.1999999999999993</v>
      </c>
      <c r="DN285">
        <v>9</v>
      </c>
      <c r="DO285">
        <f>AVERAGE(CV285:CZ285)</f>
        <v>9</v>
      </c>
      <c r="DQ285">
        <v>9</v>
      </c>
      <c r="DR285" t="s">
        <v>28</v>
      </c>
      <c r="DS285" t="s">
        <v>61</v>
      </c>
      <c r="DT285" t="s">
        <v>120</v>
      </c>
      <c r="DU285" t="s">
        <v>483</v>
      </c>
      <c r="DV285" t="s">
        <v>345</v>
      </c>
      <c r="DW285" t="s">
        <v>3769</v>
      </c>
      <c r="DX285" t="s">
        <v>3770</v>
      </c>
      <c r="DY285" t="s">
        <v>4042</v>
      </c>
      <c r="DZ285" t="s">
        <v>4043</v>
      </c>
      <c r="EA285" t="s">
        <v>3860</v>
      </c>
      <c r="EB285" t="s">
        <v>3964</v>
      </c>
      <c r="EE285" t="s">
        <v>3886</v>
      </c>
      <c r="EF285" t="s">
        <v>4381</v>
      </c>
      <c r="EI285" t="s">
        <v>4813</v>
      </c>
      <c r="EJ285" t="s">
        <v>4814</v>
      </c>
      <c r="EM285" t="s">
        <v>3989</v>
      </c>
      <c r="EN285" t="s">
        <v>4384</v>
      </c>
      <c r="EQ285">
        <v>7</v>
      </c>
      <c r="ER285">
        <v>8</v>
      </c>
      <c r="ES285">
        <v>8</v>
      </c>
      <c r="ET285">
        <v>8</v>
      </c>
      <c r="EU285">
        <v>8</v>
      </c>
      <c r="EV285">
        <v>0.1</v>
      </c>
      <c r="EW285">
        <v>0.1</v>
      </c>
      <c r="EX285">
        <v>0.2</v>
      </c>
      <c r="EY285">
        <v>0.3</v>
      </c>
      <c r="EZ285">
        <v>0.3</v>
      </c>
      <c r="FA285">
        <f>EV285*EQ285</f>
        <v>0.70000000000000007</v>
      </c>
      <c r="FB285">
        <f>EW285*ER285</f>
        <v>0.8</v>
      </c>
      <c r="FC285">
        <f>EX285*ES285</f>
        <v>1.6</v>
      </c>
      <c r="FD285">
        <f>EY285*ET285</f>
        <v>2.4</v>
      </c>
      <c r="FE285">
        <f>EZ285*EU285</f>
        <v>2.4</v>
      </c>
      <c r="FF285">
        <v>19</v>
      </c>
      <c r="FG285">
        <v>0</v>
      </c>
      <c r="FH285">
        <v>9</v>
      </c>
      <c r="FI285">
        <f>FA285+FB285+FC285+FD285+FE285</f>
        <v>7.9</v>
      </c>
      <c r="FJ285">
        <f>MEDIAN(EQ285:EU285)</f>
        <v>8</v>
      </c>
      <c r="FL285">
        <v>77.739999999999995</v>
      </c>
      <c r="FM285">
        <v>9.3000000000000007</v>
      </c>
      <c r="FN285" t="s">
        <v>1953</v>
      </c>
      <c r="FO285" t="s">
        <v>1954</v>
      </c>
      <c r="FP285" t="s">
        <v>1955</v>
      </c>
      <c r="FQ285" t="s">
        <v>1956</v>
      </c>
      <c r="FR285" t="s">
        <v>1957</v>
      </c>
      <c r="FS285">
        <v>7.5</v>
      </c>
      <c r="FT285">
        <v>8</v>
      </c>
      <c r="FU285">
        <v>6.5</v>
      </c>
      <c r="FV285">
        <v>7</v>
      </c>
      <c r="FW285">
        <v>6</v>
      </c>
      <c r="FX285">
        <v>0.1</v>
      </c>
      <c r="FY285">
        <v>0.1</v>
      </c>
      <c r="FZ285">
        <v>0.2</v>
      </c>
      <c r="GA285">
        <v>0.3</v>
      </c>
      <c r="GB285">
        <v>0.3</v>
      </c>
      <c r="GC285">
        <f>FS285*FX285</f>
        <v>0.75</v>
      </c>
      <c r="GD285">
        <f>FT285*FY285</f>
        <v>0.8</v>
      </c>
      <c r="GE285">
        <f>FU285*FZ285</f>
        <v>1.3</v>
      </c>
      <c r="GF285">
        <f>FV285*GA285</f>
        <v>2.1</v>
      </c>
      <c r="GG285">
        <f>FW285*GB285</f>
        <v>1.7999999999999998</v>
      </c>
      <c r="GH285">
        <v>9.4499999999999993</v>
      </c>
      <c r="GI285">
        <v>-0.15</v>
      </c>
      <c r="GJ285">
        <v>9.3000000000000007</v>
      </c>
      <c r="GK285">
        <f>GC285+GD285+GE285+GF285+GG285</f>
        <v>6.75</v>
      </c>
      <c r="GL285">
        <f>MEDIAN(FS285:FW285)</f>
        <v>7</v>
      </c>
    </row>
    <row r="286" spans="1:194" hidden="1" x14ac:dyDescent="0.25">
      <c r="A286">
        <v>285</v>
      </c>
      <c r="B286" t="s">
        <v>2</v>
      </c>
      <c r="C286" s="4">
        <v>37.700000000000003</v>
      </c>
      <c r="D286">
        <v>2.9</v>
      </c>
      <c r="E286" s="1">
        <f>C286/3/D286</f>
        <v>4.3333333333333339</v>
      </c>
      <c r="G286">
        <v>83.84</v>
      </c>
      <c r="H286">
        <v>8</v>
      </c>
      <c r="I286">
        <f>H286*D286*3</f>
        <v>69.599999999999994</v>
      </c>
      <c r="J286">
        <v>17.04</v>
      </c>
      <c r="K286">
        <v>9</v>
      </c>
      <c r="L286" s="3">
        <f>K286*3*D286</f>
        <v>78.3</v>
      </c>
      <c r="M286">
        <v>10.33</v>
      </c>
      <c r="N286">
        <v>0</v>
      </c>
      <c r="O286">
        <f>N286*D286*3</f>
        <v>0</v>
      </c>
      <c r="P286" s="5">
        <v>8.6999999999999993</v>
      </c>
      <c r="Q286" s="5">
        <f>P286*D286*3</f>
        <v>75.69</v>
      </c>
      <c r="S286" t="s">
        <v>6411</v>
      </c>
      <c r="T286">
        <v>4.9000000000000004</v>
      </c>
      <c r="U286" s="8">
        <f>T286*D286*3</f>
        <v>42.63</v>
      </c>
      <c r="V286">
        <v>32.15</v>
      </c>
      <c r="W286">
        <v>8.4</v>
      </c>
      <c r="X286" s="5">
        <f>W286*D286*3</f>
        <v>73.08</v>
      </c>
      <c r="Y286">
        <v>9.92</v>
      </c>
      <c r="Z286">
        <v>7.5</v>
      </c>
      <c r="AA286">
        <f>Z286*D286*3</f>
        <v>65.25</v>
      </c>
      <c r="AC286">
        <v>138.97999999999999</v>
      </c>
      <c r="AD286">
        <v>7.9</v>
      </c>
      <c r="AE286" s="1">
        <f>AD286*3*D286</f>
        <v>68.73</v>
      </c>
      <c r="AF286">
        <v>11.99</v>
      </c>
      <c r="AG286" s="5">
        <v>7</v>
      </c>
      <c r="AH286" s="5">
        <f>AG286*D286*3</f>
        <v>60.900000000000006</v>
      </c>
      <c r="AI286" s="13"/>
      <c r="AJ286">
        <v>0.9</v>
      </c>
      <c r="AK286" s="8">
        <f>AJ286*D286*3</f>
        <v>7.83</v>
      </c>
      <c r="AL286" s="13"/>
      <c r="AM286">
        <v>30.39</v>
      </c>
      <c r="AN286">
        <v>7.2</v>
      </c>
      <c r="AO286" s="8">
        <f>AN286*D286*3</f>
        <v>62.64</v>
      </c>
      <c r="AP286">
        <v>14.27</v>
      </c>
      <c r="AQ286">
        <v>9.1999999999999993</v>
      </c>
      <c r="AR286">
        <f>AQ286*D286*3</f>
        <v>80.039999999999992</v>
      </c>
      <c r="AT286">
        <v>8.9</v>
      </c>
      <c r="AU286">
        <f>AT286*D286*3</f>
        <v>77.429999999999993</v>
      </c>
      <c r="AX286">
        <v>9.4</v>
      </c>
      <c r="AY286">
        <f>AX286*D286*3</f>
        <v>81.78</v>
      </c>
      <c r="BA286">
        <v>8.6999999999999993</v>
      </c>
      <c r="BB286">
        <f>BA286*D286*3</f>
        <v>75.69</v>
      </c>
      <c r="BD286">
        <v>8.1</v>
      </c>
      <c r="BE286">
        <f>BD286*D286*3</f>
        <v>70.47</v>
      </c>
      <c r="BG286" s="10"/>
      <c r="BH286" s="1">
        <f>CHOOSE(MATCH(MIN(ABS(BP286-C286),ABS(BQ286-C286),ABS(BR286-C286)),CHOOSE({1;2;3},ABS(BP286-C286),ABS(BQ286-C286),ABS(BR286-C286)),0),BP286,BQ286,BR286)</f>
        <v>52.199999999999996</v>
      </c>
      <c r="BJ286" s="1" cm="1">
        <f t="array" ref="BJ286">(INDEX(_xlfn._xlws.SORT(CHOOSE({1;2;3;4;5;6},BQ286,BR286,L286,AE286,BO286,BP286)),3) + INDEX(_xlfn._xlws.SORT(CHOOSE({1;2;3;4;5;6},BQ286,BR286,L286,AE286,BO286,BP286)),4))/2</f>
        <v>69.164999999999992</v>
      </c>
      <c r="BK286">
        <v>4.33813626114451</v>
      </c>
      <c r="BL286" t="s">
        <v>6117</v>
      </c>
      <c r="BM286" s="1">
        <f>BK286*3*D286</f>
        <v>37.741785471957236</v>
      </c>
      <c r="BN286" s="1">
        <f>BM286-C286</f>
        <v>4.1785471957233256E-2</v>
      </c>
      <c r="BO286" s="1">
        <f>GK286*3*D286</f>
        <v>46.980000000000004</v>
      </c>
      <c r="BP286" s="1">
        <f>DO286*3*D286</f>
        <v>78.3</v>
      </c>
      <c r="BQ286" s="1">
        <f>FJ286*3*D286</f>
        <v>69.599999999999994</v>
      </c>
      <c r="BR286" s="1">
        <f>GL286*3*D286</f>
        <v>52.199999999999996</v>
      </c>
      <c r="BT286">
        <v>83.84</v>
      </c>
      <c r="BU286">
        <v>8</v>
      </c>
      <c r="BV286" t="s">
        <v>5876</v>
      </c>
      <c r="BW286" t="s">
        <v>5877</v>
      </c>
      <c r="BX286" t="s">
        <v>5878</v>
      </c>
      <c r="BY286" t="s">
        <v>5879</v>
      </c>
      <c r="BZ286" t="s">
        <v>5880</v>
      </c>
      <c r="CA286" t="s">
        <v>2437</v>
      </c>
      <c r="CC286" t="s">
        <v>2518</v>
      </c>
      <c r="CD286" t="s">
        <v>2508</v>
      </c>
      <c r="CE286" t="s">
        <v>2440</v>
      </c>
      <c r="CG286" t="s">
        <v>2519</v>
      </c>
      <c r="CH286" t="s">
        <v>2510</v>
      </c>
      <c r="CI286" t="s">
        <v>2443</v>
      </c>
      <c r="CK286" t="s">
        <v>2520</v>
      </c>
      <c r="CL286" t="s">
        <v>2512</v>
      </c>
      <c r="CM286" t="s">
        <v>2446</v>
      </c>
      <c r="CO286" t="s">
        <v>2513</v>
      </c>
      <c r="CP286" t="s">
        <v>2514</v>
      </c>
      <c r="CQ286" t="s">
        <v>2449</v>
      </c>
      <c r="CS286" t="s">
        <v>2523</v>
      </c>
      <c r="CT286" t="s">
        <v>2524</v>
      </c>
      <c r="CV286">
        <v>9</v>
      </c>
      <c r="CW286">
        <v>9</v>
      </c>
      <c r="CX286">
        <v>9</v>
      </c>
      <c r="CY286">
        <v>9</v>
      </c>
      <c r="CZ286">
        <v>9</v>
      </c>
      <c r="DA286">
        <v>0.1</v>
      </c>
      <c r="DB286">
        <v>0.1</v>
      </c>
      <c r="DC286">
        <v>0.2</v>
      </c>
      <c r="DD286">
        <v>0.3</v>
      </c>
      <c r="DE286">
        <v>0.3</v>
      </c>
      <c r="DF286">
        <v>0.9</v>
      </c>
      <c r="DG286">
        <v>0.9</v>
      </c>
      <c r="DH286">
        <v>1.8</v>
      </c>
      <c r="DI286">
        <v>2.7</v>
      </c>
      <c r="DJ286">
        <v>2.7</v>
      </c>
      <c r="DK286">
        <v>8</v>
      </c>
      <c r="DL286">
        <v>0</v>
      </c>
      <c r="DM286">
        <v>8</v>
      </c>
      <c r="DN286">
        <v>9</v>
      </c>
      <c r="DO286">
        <f>AVERAGE(CV286:CZ286)</f>
        <v>9</v>
      </c>
      <c r="DQ286">
        <v>8</v>
      </c>
      <c r="DR286" t="s">
        <v>194</v>
      </c>
      <c r="DS286" t="s">
        <v>384</v>
      </c>
      <c r="DT286" t="s">
        <v>381</v>
      </c>
      <c r="DU286" t="s">
        <v>484</v>
      </c>
      <c r="DV286" t="s">
        <v>386</v>
      </c>
      <c r="DW286" t="s">
        <v>3805</v>
      </c>
      <c r="DX286" t="s">
        <v>3770</v>
      </c>
      <c r="DY286" t="s">
        <v>3771</v>
      </c>
      <c r="DZ286" t="s">
        <v>3772</v>
      </c>
      <c r="EA286" t="s">
        <v>3806</v>
      </c>
      <c r="EB286" t="s">
        <v>3807</v>
      </c>
      <c r="EC286" t="s">
        <v>3775</v>
      </c>
      <c r="ED286" t="s">
        <v>3776</v>
      </c>
      <c r="EE286" t="s">
        <v>3819</v>
      </c>
      <c r="EF286" t="s">
        <v>3967</v>
      </c>
      <c r="EG286" t="s">
        <v>3810</v>
      </c>
      <c r="EH286" t="s">
        <v>3811</v>
      </c>
      <c r="EI286" t="s">
        <v>3820</v>
      </c>
      <c r="EJ286" t="s">
        <v>3813</v>
      </c>
      <c r="EK286" t="s">
        <v>4241</v>
      </c>
      <c r="EL286" t="s">
        <v>3815</v>
      </c>
      <c r="EM286" t="s">
        <v>3816</v>
      </c>
      <c r="EN286" t="s">
        <v>3823</v>
      </c>
      <c r="EO286" t="s">
        <v>3824</v>
      </c>
      <c r="EP286" t="s">
        <v>3857</v>
      </c>
      <c r="EQ286">
        <v>7</v>
      </c>
      <c r="ER286">
        <v>8</v>
      </c>
      <c r="ES286">
        <v>8</v>
      </c>
      <c r="ET286">
        <v>8</v>
      </c>
      <c r="EU286">
        <v>8</v>
      </c>
      <c r="EV286">
        <v>0.1</v>
      </c>
      <c r="EW286">
        <v>0.1</v>
      </c>
      <c r="EX286">
        <v>0.2</v>
      </c>
      <c r="EY286">
        <v>0.3</v>
      </c>
      <c r="EZ286">
        <v>0.3</v>
      </c>
      <c r="FA286">
        <f>EV286*EQ286</f>
        <v>0.70000000000000007</v>
      </c>
      <c r="FB286">
        <f>EW286*ER286</f>
        <v>0.8</v>
      </c>
      <c r="FC286">
        <f>EX286*ES286</f>
        <v>1.6</v>
      </c>
      <c r="FD286">
        <f>EY286*ET286</f>
        <v>2.4</v>
      </c>
      <c r="FE286">
        <f>EZ286*EU286</f>
        <v>2.4</v>
      </c>
      <c r="FF286">
        <v>15</v>
      </c>
      <c r="FG286">
        <v>0</v>
      </c>
      <c r="FH286">
        <v>15</v>
      </c>
      <c r="FI286">
        <f>FA286+FB286+FC286+FD286+FE286</f>
        <v>7.9</v>
      </c>
      <c r="FJ286">
        <f>MEDIAN(EQ286:EU286)</f>
        <v>8</v>
      </c>
      <c r="FL286">
        <v>78.62</v>
      </c>
      <c r="FM286">
        <v>5.5</v>
      </c>
      <c r="FN286" t="s">
        <v>1958</v>
      </c>
      <c r="FO286" t="s">
        <v>1959</v>
      </c>
      <c r="FP286" t="s">
        <v>1960</v>
      </c>
      <c r="FQ286" t="s">
        <v>1961</v>
      </c>
      <c r="FR286" t="s">
        <v>1962</v>
      </c>
      <c r="FS286">
        <v>5</v>
      </c>
      <c r="FT286">
        <v>7</v>
      </c>
      <c r="FU286">
        <v>6</v>
      </c>
      <c r="FV286">
        <v>6</v>
      </c>
      <c r="FW286">
        <v>4</v>
      </c>
      <c r="FX286">
        <v>0.1</v>
      </c>
      <c r="FY286">
        <v>0.1</v>
      </c>
      <c r="FZ286">
        <v>0.2</v>
      </c>
      <c r="GA286">
        <v>0.3</v>
      </c>
      <c r="GB286">
        <v>0.3</v>
      </c>
      <c r="GC286">
        <f>FS286*FX286</f>
        <v>0.5</v>
      </c>
      <c r="GD286">
        <f>FT286*FY286</f>
        <v>0.70000000000000007</v>
      </c>
      <c r="GE286">
        <f>FU286*FZ286</f>
        <v>1.2000000000000002</v>
      </c>
      <c r="GF286">
        <f>FV286*GA286</f>
        <v>1.7999999999999998</v>
      </c>
      <c r="GG286">
        <f>FW286*GB286</f>
        <v>1.2</v>
      </c>
      <c r="GH286">
        <v>6</v>
      </c>
      <c r="GI286">
        <v>-0.5</v>
      </c>
      <c r="GJ286">
        <v>5.5</v>
      </c>
      <c r="GK286">
        <f>GC286+GD286+GE286+GF286+GG286</f>
        <v>5.4</v>
      </c>
      <c r="GL286">
        <f>MEDIAN(FS286:FW286)</f>
        <v>6</v>
      </c>
    </row>
    <row r="287" spans="1:194" hidden="1" x14ac:dyDescent="0.25">
      <c r="A287">
        <v>286</v>
      </c>
      <c r="B287" t="s">
        <v>2</v>
      </c>
      <c r="C287" s="4">
        <v>77.400000000000006</v>
      </c>
      <c r="D287">
        <v>3.6</v>
      </c>
      <c r="E287" s="1">
        <f>C287/3/D287</f>
        <v>7.166666666666667</v>
      </c>
      <c r="G287">
        <v>39</v>
      </c>
      <c r="H287">
        <v>8</v>
      </c>
      <c r="I287">
        <f>H287*D287*3</f>
        <v>86.4</v>
      </c>
      <c r="J287">
        <v>16.329999999999998</v>
      </c>
      <c r="K287">
        <v>8.4</v>
      </c>
      <c r="L287" s="3">
        <f>K287*3*D287</f>
        <v>90.720000000000013</v>
      </c>
      <c r="M287">
        <v>5.45</v>
      </c>
      <c r="N287">
        <v>3</v>
      </c>
      <c r="O287">
        <f>N287*D287*3</f>
        <v>32.400000000000006</v>
      </c>
      <c r="P287" s="5">
        <v>7</v>
      </c>
      <c r="Q287" s="5">
        <f>P287*D287*3</f>
        <v>75.599999999999994</v>
      </c>
      <c r="S287" t="s">
        <v>6412</v>
      </c>
      <c r="T287">
        <v>6</v>
      </c>
      <c r="U287" s="8">
        <f>T287*D287*3</f>
        <v>64.800000000000011</v>
      </c>
      <c r="V287">
        <v>31.14</v>
      </c>
      <c r="W287">
        <v>7.4</v>
      </c>
      <c r="X287" s="5">
        <f>W287*D287*3</f>
        <v>79.92</v>
      </c>
      <c r="Y287">
        <v>10.91</v>
      </c>
      <c r="Z287">
        <v>7.8</v>
      </c>
      <c r="AA287">
        <f>Z287*D287*3</f>
        <v>84.24</v>
      </c>
      <c r="AC287">
        <v>136.5</v>
      </c>
      <c r="AD287">
        <v>8</v>
      </c>
      <c r="AE287" s="1">
        <f>AD287*3*D287</f>
        <v>86.4</v>
      </c>
      <c r="AF287">
        <v>12.29</v>
      </c>
      <c r="AG287" s="5">
        <v>7</v>
      </c>
      <c r="AH287" s="5">
        <f>AG287*D287*3</f>
        <v>75.599999999999994</v>
      </c>
      <c r="AI287" s="13"/>
      <c r="AJ287">
        <v>2.7</v>
      </c>
      <c r="AK287" s="8">
        <f>AJ287*D287*3</f>
        <v>29.160000000000004</v>
      </c>
      <c r="AL287" s="13"/>
      <c r="AM287">
        <v>31.64</v>
      </c>
      <c r="AN287">
        <v>7.1</v>
      </c>
      <c r="AO287" s="8">
        <f>AN287*D287*3</f>
        <v>76.679999999999993</v>
      </c>
      <c r="AP287">
        <v>14.11</v>
      </c>
      <c r="AQ287">
        <v>10</v>
      </c>
      <c r="AR287">
        <f>AQ287*D287*3</f>
        <v>108</v>
      </c>
      <c r="AT287">
        <v>9.3000000000000007</v>
      </c>
      <c r="AU287">
        <f>AT287*D287*3</f>
        <v>100.44000000000001</v>
      </c>
      <c r="AX287">
        <v>9.4</v>
      </c>
      <c r="AY287">
        <f>AX287*D287*3</f>
        <v>101.52000000000001</v>
      </c>
      <c r="BA287">
        <v>9</v>
      </c>
      <c r="BB287">
        <f>BA287*D287*3</f>
        <v>97.199999999999989</v>
      </c>
      <c r="BD287">
        <v>8.1</v>
      </c>
      <c r="BE287">
        <f>BD287*D287*3</f>
        <v>87.48</v>
      </c>
      <c r="BG287" s="10"/>
      <c r="BH287" s="1">
        <f>CHOOSE(MATCH(MIN(ABS(BP287-C287),ABS(BQ287-C287),ABS(BR287-C287)),CHOOSE({1;2;3},ABS(BP287-C287),ABS(BQ287-C287),ABS(BR287-C287)),0),BP287,BQ287,BR287)</f>
        <v>86.4</v>
      </c>
      <c r="BJ287" s="1" cm="1">
        <f t="array" ref="BJ287">(INDEX(_xlfn._xlws.SORT(CHOOSE({1;2;3;4;5;6},BQ287,BR287,L287,AE287,BO287,BP287)),3) + INDEX(_xlfn._xlws.SORT(CHOOSE({1;2;3;4;5;6},BQ287,BR287,L287,AE287,BO287,BP287)),4))/2</f>
        <v>86.4</v>
      </c>
      <c r="BK287">
        <v>7.1251806265294304</v>
      </c>
      <c r="BL287" t="s">
        <v>6117</v>
      </c>
      <c r="BM287" s="1">
        <f>BK287*3*D287</f>
        <v>76.951950766517854</v>
      </c>
      <c r="BN287" s="1">
        <f>BM287-C287</f>
        <v>-0.44804923348215198</v>
      </c>
      <c r="BO287" s="1">
        <f>GK287*3*D287</f>
        <v>60.480000000000004</v>
      </c>
      <c r="BP287" s="1">
        <f>DO287*3*D287</f>
        <v>97.2</v>
      </c>
      <c r="BQ287" s="1">
        <f>FJ287*3*D287</f>
        <v>86.4</v>
      </c>
      <c r="BR287" s="1">
        <f>GL287*3*D287</f>
        <v>64.8</v>
      </c>
      <c r="BT287">
        <v>39</v>
      </c>
      <c r="BU287">
        <v>8</v>
      </c>
      <c r="BV287" t="s">
        <v>5881</v>
      </c>
      <c r="BW287" t="s">
        <v>5056</v>
      </c>
      <c r="BX287" t="s">
        <v>5882</v>
      </c>
      <c r="BY287" t="s">
        <v>5883</v>
      </c>
      <c r="BZ287" t="s">
        <v>5059</v>
      </c>
      <c r="CA287" t="s">
        <v>2437</v>
      </c>
      <c r="CC287" t="s">
        <v>2438</v>
      </c>
      <c r="CD287" t="s">
        <v>2439</v>
      </c>
      <c r="CE287" t="s">
        <v>2440</v>
      </c>
      <c r="CG287" t="s">
        <v>2647</v>
      </c>
      <c r="CH287" t="s">
        <v>2648</v>
      </c>
      <c r="CI287" t="s">
        <v>2535</v>
      </c>
      <c r="CK287" t="s">
        <v>2649</v>
      </c>
      <c r="CL287" t="s">
        <v>2650</v>
      </c>
      <c r="CM287" t="s">
        <v>2446</v>
      </c>
      <c r="CO287" t="s">
        <v>2651</v>
      </c>
      <c r="CP287" t="s">
        <v>2652</v>
      </c>
      <c r="CQ287" t="s">
        <v>3368</v>
      </c>
      <c r="CS287" t="s">
        <v>3508</v>
      </c>
      <c r="CT287" t="s">
        <v>3370</v>
      </c>
      <c r="CV287">
        <v>9</v>
      </c>
      <c r="CW287">
        <v>9</v>
      </c>
      <c r="CX287">
        <v>9</v>
      </c>
      <c r="CY287">
        <v>9</v>
      </c>
      <c r="CZ287">
        <v>9</v>
      </c>
      <c r="DA287">
        <v>0.1</v>
      </c>
      <c r="DB287">
        <v>0.1</v>
      </c>
      <c r="DC287">
        <v>0.2</v>
      </c>
      <c r="DD287">
        <v>0.3</v>
      </c>
      <c r="DE287">
        <v>0.3</v>
      </c>
      <c r="DF287">
        <v>0.9</v>
      </c>
      <c r="DG287">
        <v>0.9</v>
      </c>
      <c r="DH287">
        <v>1.8</v>
      </c>
      <c r="DI287">
        <v>2.7</v>
      </c>
      <c r="DJ287">
        <v>2.7</v>
      </c>
      <c r="DK287">
        <v>8</v>
      </c>
      <c r="DL287">
        <v>0</v>
      </c>
      <c r="DM287">
        <v>8</v>
      </c>
      <c r="DN287">
        <v>8.4</v>
      </c>
      <c r="DO287">
        <f>AVERAGE(CV287:CZ287)</f>
        <v>9</v>
      </c>
      <c r="DQ287">
        <v>8</v>
      </c>
      <c r="DR287" t="s">
        <v>33</v>
      </c>
      <c r="DS287" t="s">
        <v>187</v>
      </c>
      <c r="DT287" t="s">
        <v>241</v>
      </c>
      <c r="DU287" t="s">
        <v>189</v>
      </c>
      <c r="DV287" t="s">
        <v>485</v>
      </c>
      <c r="DW287" t="s">
        <v>3788</v>
      </c>
      <c r="DX287" t="s">
        <v>3789</v>
      </c>
      <c r="DY287" t="s">
        <v>3790</v>
      </c>
      <c r="DZ287" t="s">
        <v>3933</v>
      </c>
      <c r="EA287" t="s">
        <v>3792</v>
      </c>
      <c r="EB287" t="s">
        <v>3793</v>
      </c>
      <c r="EC287" t="s">
        <v>4189</v>
      </c>
      <c r="ED287" t="s">
        <v>4190</v>
      </c>
      <c r="EE287" t="s">
        <v>4305</v>
      </c>
      <c r="EF287" t="s">
        <v>3797</v>
      </c>
      <c r="EG287" t="s">
        <v>4306</v>
      </c>
      <c r="EH287" t="s">
        <v>4307</v>
      </c>
      <c r="EI287" t="s">
        <v>4194</v>
      </c>
      <c r="EJ287" t="s">
        <v>3800</v>
      </c>
      <c r="EK287" t="s">
        <v>4195</v>
      </c>
      <c r="EL287" t="s">
        <v>4196</v>
      </c>
      <c r="EM287" t="s">
        <v>4815</v>
      </c>
      <c r="EN287" t="s">
        <v>3803</v>
      </c>
      <c r="EO287" t="s">
        <v>4816</v>
      </c>
      <c r="EP287" t="s">
        <v>4310</v>
      </c>
      <c r="EQ287">
        <v>8</v>
      </c>
      <c r="ER287">
        <v>8</v>
      </c>
      <c r="ES287">
        <v>8</v>
      </c>
      <c r="ET287">
        <v>8</v>
      </c>
      <c r="EU287">
        <v>8</v>
      </c>
      <c r="EV287">
        <v>0.1</v>
      </c>
      <c r="EW287">
        <v>0.1</v>
      </c>
      <c r="EX287">
        <v>0.2</v>
      </c>
      <c r="EY287">
        <v>0.3</v>
      </c>
      <c r="EZ287">
        <v>0.3</v>
      </c>
      <c r="FA287">
        <f>EV287*EQ287</f>
        <v>0.8</v>
      </c>
      <c r="FB287">
        <f>EW287*ER287</f>
        <v>0.8</v>
      </c>
      <c r="FC287">
        <f>EX287*ES287</f>
        <v>1.6</v>
      </c>
      <c r="FD287">
        <f>EY287*ET287</f>
        <v>2.4</v>
      </c>
      <c r="FE287">
        <f>EZ287*EU287</f>
        <v>2.4</v>
      </c>
      <c r="FF287">
        <v>17</v>
      </c>
      <c r="FG287">
        <v>0</v>
      </c>
      <c r="FH287">
        <v>8</v>
      </c>
      <c r="FI287">
        <f>FA287+FB287+FC287+FD287+FE287</f>
        <v>8</v>
      </c>
      <c r="FJ287">
        <f>MEDIAN(EQ287:EU287)</f>
        <v>8</v>
      </c>
      <c r="FL287">
        <v>40.44</v>
      </c>
      <c r="FM287">
        <v>5.8</v>
      </c>
      <c r="FN287" t="s">
        <v>1963</v>
      </c>
      <c r="FO287" t="s">
        <v>1964</v>
      </c>
      <c r="FP287" t="s">
        <v>1965</v>
      </c>
      <c r="FQ287" t="s">
        <v>1966</v>
      </c>
      <c r="FR287" t="s">
        <v>1967</v>
      </c>
      <c r="FS287">
        <v>5</v>
      </c>
      <c r="FT287">
        <v>7.5</v>
      </c>
      <c r="FU287">
        <v>6</v>
      </c>
      <c r="FV287">
        <v>6.5</v>
      </c>
      <c r="FW287">
        <v>4</v>
      </c>
      <c r="FX287">
        <v>0.1</v>
      </c>
      <c r="FY287">
        <v>0.1</v>
      </c>
      <c r="FZ287">
        <v>0.2</v>
      </c>
      <c r="GA287">
        <v>0.3</v>
      </c>
      <c r="GB287">
        <v>0.3</v>
      </c>
      <c r="GC287">
        <f>FS287*FX287</f>
        <v>0.5</v>
      </c>
      <c r="GD287">
        <f>FT287*FY287</f>
        <v>0.75</v>
      </c>
      <c r="GE287">
        <f>FU287*FZ287</f>
        <v>1.2000000000000002</v>
      </c>
      <c r="GF287">
        <f>FV287*GA287</f>
        <v>1.95</v>
      </c>
      <c r="GG287">
        <f>FW287*GB287</f>
        <v>1.2</v>
      </c>
      <c r="GH287">
        <v>5.85</v>
      </c>
      <c r="GJ287">
        <v>5.8</v>
      </c>
      <c r="GK287">
        <f>GC287+GD287+GE287+GF287+GG287</f>
        <v>5.6000000000000005</v>
      </c>
      <c r="GL287">
        <f>MEDIAN(FS287:FW287)</f>
        <v>6</v>
      </c>
    </row>
    <row r="288" spans="1:194" hidden="1" x14ac:dyDescent="0.25">
      <c r="A288">
        <v>287</v>
      </c>
      <c r="B288" t="s">
        <v>2</v>
      </c>
      <c r="C288" s="4">
        <v>98.4</v>
      </c>
      <c r="D288">
        <v>4.0999999999999996</v>
      </c>
      <c r="E288" s="1">
        <f>C288/3/D288</f>
        <v>8.0000000000000018</v>
      </c>
      <c r="G288">
        <v>36.56</v>
      </c>
      <c r="H288">
        <v>8</v>
      </c>
      <c r="I288">
        <f>H288*D288*3</f>
        <v>98.399999999999991</v>
      </c>
      <c r="J288">
        <v>17.61</v>
      </c>
      <c r="K288">
        <v>8.4</v>
      </c>
      <c r="L288" s="3">
        <f>K288*3*D288</f>
        <v>103.32000000000001</v>
      </c>
      <c r="M288">
        <v>5.18</v>
      </c>
      <c r="N288">
        <v>3</v>
      </c>
      <c r="O288">
        <f>N288*D288*3</f>
        <v>36.9</v>
      </c>
      <c r="P288" s="5">
        <v>9</v>
      </c>
      <c r="Q288" s="5">
        <f>P288*D288*3</f>
        <v>110.69999999999999</v>
      </c>
      <c r="S288" t="s">
        <v>6413</v>
      </c>
      <c r="T288">
        <v>7.3</v>
      </c>
      <c r="U288" s="8">
        <f>T288*D288*3</f>
        <v>89.789999999999992</v>
      </c>
      <c r="V288">
        <v>31.44</v>
      </c>
      <c r="W288">
        <v>9</v>
      </c>
      <c r="X288" s="5">
        <f>W288*D288*3</f>
        <v>110.69999999999999</v>
      </c>
      <c r="Y288">
        <v>12.11</v>
      </c>
      <c r="Z288">
        <v>7.6</v>
      </c>
      <c r="AA288">
        <f>Z288*D288*3</f>
        <v>93.47999999999999</v>
      </c>
      <c r="AC288">
        <v>133.08000000000001</v>
      </c>
      <c r="AD288">
        <v>8</v>
      </c>
      <c r="AE288" s="1">
        <f>AD288*3*D288</f>
        <v>98.399999999999991</v>
      </c>
      <c r="AF288">
        <v>11.89</v>
      </c>
      <c r="AG288" s="5">
        <v>7</v>
      </c>
      <c r="AH288" s="5">
        <f>AG288*D288*3</f>
        <v>86.1</v>
      </c>
      <c r="AI288" s="13"/>
      <c r="AJ288">
        <v>2.7</v>
      </c>
      <c r="AK288" s="8">
        <f>AJ288*D288*3</f>
        <v>33.21</v>
      </c>
      <c r="AL288" s="13"/>
      <c r="AM288">
        <v>30.15</v>
      </c>
      <c r="AN288">
        <v>7.5</v>
      </c>
      <c r="AO288" s="8">
        <f>AN288*D288*3</f>
        <v>92.249999999999986</v>
      </c>
      <c r="AP288">
        <v>12.86</v>
      </c>
      <c r="AQ288">
        <v>10</v>
      </c>
      <c r="AR288">
        <f>AQ288*D288*3</f>
        <v>123</v>
      </c>
      <c r="AT288">
        <v>8.8000000000000007</v>
      </c>
      <c r="AU288">
        <f>AT288*D288*3</f>
        <v>108.24</v>
      </c>
      <c r="AX288">
        <v>9.4</v>
      </c>
      <c r="AY288">
        <f>AX288*D288*3</f>
        <v>115.62</v>
      </c>
      <c r="BA288">
        <v>9</v>
      </c>
      <c r="BB288">
        <f>BA288*D288*3</f>
        <v>110.69999999999999</v>
      </c>
      <c r="BD288">
        <v>9</v>
      </c>
      <c r="BE288">
        <f>BD288*D288*3</f>
        <v>110.69999999999999</v>
      </c>
      <c r="BG288" s="10"/>
      <c r="BH288" s="1">
        <f>CHOOSE(MATCH(MIN(ABS(BP288-C288),ABS(BQ288-C288),ABS(BR288-C288)),CHOOSE({1;2;3},ABS(BP288-C288),ABS(BQ288-C288),ABS(BR288-C288)),0),BP288,BQ288,BR288)</f>
        <v>98.399999999999991</v>
      </c>
      <c r="BJ288" s="1" cm="1">
        <f t="array" ref="BJ288">(INDEX(_xlfn._xlws.SORT(CHOOSE({1;2;3;4;5;6},BQ288,BR288,L288,AE288,BO288,BP288)),3) + INDEX(_xlfn._xlws.SORT(CHOOSE({1;2;3;4;5;6},BQ288,BR288,L288,AE288,BO288,BP288)),4))/2</f>
        <v>98.399999999999991</v>
      </c>
      <c r="BK288">
        <v>7.9864779868854701</v>
      </c>
      <c r="BL288" t="s">
        <v>6117</v>
      </c>
      <c r="BM288" s="1">
        <f>BK288*3*D288</f>
        <v>98.23367923869128</v>
      </c>
      <c r="BN288" s="1">
        <f>BM288-C288</f>
        <v>-0.1663207613087252</v>
      </c>
      <c r="BO288" s="1">
        <f>GK288*3*D288</f>
        <v>51.660000000000004</v>
      </c>
      <c r="BP288" s="1">
        <f>DO288*3*D288</f>
        <v>110.69999999999999</v>
      </c>
      <c r="BQ288" s="1">
        <f>FJ288*3*D288</f>
        <v>98.399999999999991</v>
      </c>
      <c r="BR288" s="1">
        <f>GL288*3*D288</f>
        <v>61.499999999999993</v>
      </c>
      <c r="BT288">
        <v>36.56</v>
      </c>
      <c r="BU288">
        <v>8</v>
      </c>
      <c r="BV288" t="s">
        <v>5003</v>
      </c>
      <c r="BW288" t="s">
        <v>5004</v>
      </c>
      <c r="BX288" t="s">
        <v>5327</v>
      </c>
      <c r="BY288" t="s">
        <v>5092</v>
      </c>
      <c r="BZ288" t="s">
        <v>5031</v>
      </c>
      <c r="CA288" t="s">
        <v>2437</v>
      </c>
      <c r="CC288" t="s">
        <v>2438</v>
      </c>
      <c r="CD288" t="s">
        <v>2439</v>
      </c>
      <c r="CE288" t="s">
        <v>2440</v>
      </c>
      <c r="CG288" t="s">
        <v>2441</v>
      </c>
      <c r="CH288" t="s">
        <v>2442</v>
      </c>
      <c r="CI288" t="s">
        <v>2443</v>
      </c>
      <c r="CK288" t="s">
        <v>2444</v>
      </c>
      <c r="CL288" t="s">
        <v>2445</v>
      </c>
      <c r="CM288" t="s">
        <v>2446</v>
      </c>
      <c r="CO288" t="s">
        <v>2447</v>
      </c>
      <c r="CP288" t="s">
        <v>2448</v>
      </c>
      <c r="CQ288" t="s">
        <v>2449</v>
      </c>
      <c r="CS288" t="s">
        <v>2450</v>
      </c>
      <c r="CT288" t="s">
        <v>2451</v>
      </c>
      <c r="CV288">
        <v>9</v>
      </c>
      <c r="CW288">
        <v>9</v>
      </c>
      <c r="CX288">
        <v>9</v>
      </c>
      <c r="CY288">
        <v>9</v>
      </c>
      <c r="CZ288">
        <v>9</v>
      </c>
      <c r="DA288">
        <v>0.1</v>
      </c>
      <c r="DB288">
        <v>0.1</v>
      </c>
      <c r="DC288">
        <v>0.2</v>
      </c>
      <c r="DD288">
        <v>0.3</v>
      </c>
      <c r="DE288">
        <v>0.3</v>
      </c>
      <c r="DF288">
        <v>0.9</v>
      </c>
      <c r="DG288">
        <v>0.9</v>
      </c>
      <c r="DH288">
        <v>1.8</v>
      </c>
      <c r="DI288">
        <v>2.7</v>
      </c>
      <c r="DJ288">
        <v>2.7</v>
      </c>
      <c r="DK288">
        <v>8</v>
      </c>
      <c r="DL288">
        <v>0</v>
      </c>
      <c r="DM288">
        <v>8</v>
      </c>
      <c r="DN288">
        <v>8.4</v>
      </c>
      <c r="DO288">
        <f>AVERAGE(CV288:CZ288)</f>
        <v>9</v>
      </c>
      <c r="DQ288">
        <v>8</v>
      </c>
      <c r="DR288" t="s">
        <v>33</v>
      </c>
      <c r="DS288" t="s">
        <v>100</v>
      </c>
      <c r="DT288" t="s">
        <v>101</v>
      </c>
      <c r="DU288" t="s">
        <v>102</v>
      </c>
      <c r="DV288" t="s">
        <v>103</v>
      </c>
      <c r="DW288" t="s">
        <v>3788</v>
      </c>
      <c r="DX288" t="s">
        <v>3789</v>
      </c>
      <c r="DY288" t="s">
        <v>3790</v>
      </c>
      <c r="DZ288" t="s">
        <v>3992</v>
      </c>
      <c r="EA288" t="s">
        <v>3993</v>
      </c>
      <c r="EB288" t="s">
        <v>3793</v>
      </c>
      <c r="EC288" t="s">
        <v>3994</v>
      </c>
      <c r="ED288" t="s">
        <v>3995</v>
      </c>
      <c r="EE288" t="s">
        <v>3996</v>
      </c>
      <c r="EF288" t="s">
        <v>3797</v>
      </c>
      <c r="EG288" t="s">
        <v>3997</v>
      </c>
      <c r="EH288" t="s">
        <v>3998</v>
      </c>
      <c r="EI288" t="s">
        <v>3981</v>
      </c>
      <c r="EJ288" t="s">
        <v>3800</v>
      </c>
      <c r="EK288" t="s">
        <v>3999</v>
      </c>
      <c r="EL288" t="s">
        <v>4000</v>
      </c>
      <c r="EM288" t="s">
        <v>4001</v>
      </c>
      <c r="EN288" t="s">
        <v>3803</v>
      </c>
      <c r="EO288" t="s">
        <v>4002</v>
      </c>
      <c r="EP288" t="s">
        <v>4003</v>
      </c>
      <c r="EQ288">
        <v>8</v>
      </c>
      <c r="ER288">
        <v>8</v>
      </c>
      <c r="ES288">
        <v>8</v>
      </c>
      <c r="ET288">
        <v>8</v>
      </c>
      <c r="EU288">
        <v>8</v>
      </c>
      <c r="EV288">
        <v>0.1</v>
      </c>
      <c r="EW288">
        <v>0.1</v>
      </c>
      <c r="EX288">
        <v>0.2</v>
      </c>
      <c r="EY288">
        <v>0.3</v>
      </c>
      <c r="EZ288">
        <v>0.3</v>
      </c>
      <c r="FA288">
        <f>EV288*EQ288</f>
        <v>0.8</v>
      </c>
      <c r="FB288">
        <f>EW288*ER288</f>
        <v>0.8</v>
      </c>
      <c r="FC288">
        <f>EX288*ES288</f>
        <v>1.6</v>
      </c>
      <c r="FD288">
        <f>EY288*ET288</f>
        <v>2.4</v>
      </c>
      <c r="FE288">
        <f>EZ288*EU288</f>
        <v>2.4</v>
      </c>
      <c r="FF288">
        <v>16</v>
      </c>
      <c r="FG288">
        <v>0</v>
      </c>
      <c r="FH288">
        <v>8</v>
      </c>
      <c r="FI288">
        <f>FA288+FB288+FC288+FD288+FE288</f>
        <v>8</v>
      </c>
      <c r="FJ288">
        <f>MEDIAN(EQ288:EU288)</f>
        <v>8</v>
      </c>
      <c r="FL288">
        <v>37.950000000000003</v>
      </c>
      <c r="FM288">
        <v>5.5</v>
      </c>
      <c r="FN288" t="s">
        <v>1714</v>
      </c>
      <c r="FO288" t="s">
        <v>1968</v>
      </c>
      <c r="FP288" t="s">
        <v>1969</v>
      </c>
      <c r="FQ288" t="s">
        <v>1718</v>
      </c>
      <c r="FR288" t="s">
        <v>1970</v>
      </c>
      <c r="FS288">
        <v>5</v>
      </c>
      <c r="FT288">
        <v>7</v>
      </c>
      <c r="FU288">
        <v>6</v>
      </c>
      <c r="FV288">
        <v>4</v>
      </c>
      <c r="FW288">
        <v>2</v>
      </c>
      <c r="FX288">
        <v>0.1</v>
      </c>
      <c r="FY288">
        <v>0.1</v>
      </c>
      <c r="FZ288">
        <v>0.2</v>
      </c>
      <c r="GA288">
        <v>0.3</v>
      </c>
      <c r="GB288">
        <v>0.3</v>
      </c>
      <c r="GC288">
        <f>FS288*FX288</f>
        <v>0.5</v>
      </c>
      <c r="GD288">
        <f>FT288*FY288</f>
        <v>0.70000000000000007</v>
      </c>
      <c r="GE288">
        <f>FU288*FZ288</f>
        <v>1.2000000000000002</v>
      </c>
      <c r="GF288">
        <f>FV288*GA288</f>
        <v>1.2</v>
      </c>
      <c r="GG288">
        <f>FW288*GB288</f>
        <v>0.6</v>
      </c>
      <c r="GH288">
        <v>6</v>
      </c>
      <c r="GI288">
        <v>-0.5</v>
      </c>
      <c r="GJ288">
        <v>5.5</v>
      </c>
      <c r="GK288">
        <f>GC288+GD288+GE288+GF288+GG288</f>
        <v>4.2</v>
      </c>
      <c r="GL288">
        <f>MEDIAN(FS288:FW288)</f>
        <v>5</v>
      </c>
    </row>
    <row r="289" spans="1:194" hidden="1" x14ac:dyDescent="0.25">
      <c r="A289">
        <v>288</v>
      </c>
      <c r="B289" t="s">
        <v>2</v>
      </c>
      <c r="C289" s="4">
        <v>69.3</v>
      </c>
      <c r="D289">
        <v>3.3</v>
      </c>
      <c r="E289" s="1">
        <f>C289/3/D289</f>
        <v>7</v>
      </c>
      <c r="G289">
        <v>38.700000000000003</v>
      </c>
      <c r="H289">
        <v>8.1999999999999993</v>
      </c>
      <c r="I289">
        <f>H289*D289*3</f>
        <v>81.179999999999978</v>
      </c>
      <c r="J289">
        <v>17.45</v>
      </c>
      <c r="K289">
        <v>9</v>
      </c>
      <c r="L289" s="3">
        <f>K289*3*D289</f>
        <v>89.1</v>
      </c>
      <c r="M289">
        <v>5.5</v>
      </c>
      <c r="N289">
        <v>3</v>
      </c>
      <c r="O289">
        <f>N289*D289*3</f>
        <v>29.699999999999996</v>
      </c>
      <c r="P289" s="5">
        <v>9</v>
      </c>
      <c r="Q289" s="5">
        <f>P289*D289*3</f>
        <v>89.1</v>
      </c>
      <c r="S289" t="s">
        <v>6414</v>
      </c>
      <c r="T289">
        <v>6.6</v>
      </c>
      <c r="U289" s="8">
        <f>T289*D289*3</f>
        <v>65.339999999999989</v>
      </c>
      <c r="V289">
        <v>35.93</v>
      </c>
      <c r="W289">
        <v>7.4</v>
      </c>
      <c r="X289" s="5">
        <f>W289*D289*3</f>
        <v>73.259999999999991</v>
      </c>
      <c r="Y289">
        <v>10.51</v>
      </c>
      <c r="Z289">
        <v>7.5</v>
      </c>
      <c r="AA289">
        <f>Z289*D289*3</f>
        <v>74.25</v>
      </c>
      <c r="AC289">
        <v>129.72</v>
      </c>
      <c r="AD289">
        <v>8</v>
      </c>
      <c r="AE289" s="1">
        <f>AD289*3*D289</f>
        <v>79.199999999999989</v>
      </c>
      <c r="AF289">
        <v>11.85</v>
      </c>
      <c r="AG289" s="5">
        <v>7</v>
      </c>
      <c r="AH289" s="5">
        <f>AG289*D289*3</f>
        <v>69.3</v>
      </c>
      <c r="AI289" s="13"/>
      <c r="AJ289">
        <v>23.5</v>
      </c>
      <c r="AK289" s="8">
        <f>AJ289*D289*3</f>
        <v>232.64999999999998</v>
      </c>
      <c r="AL289" s="13"/>
      <c r="AM289">
        <v>31.31</v>
      </c>
      <c r="AN289">
        <v>7.2</v>
      </c>
      <c r="AO289" s="8">
        <f>AN289*D289*3</f>
        <v>71.28</v>
      </c>
      <c r="AP289">
        <v>14.05</v>
      </c>
      <c r="AQ289">
        <v>10</v>
      </c>
      <c r="AR289">
        <f>AQ289*D289*3</f>
        <v>99</v>
      </c>
      <c r="AT289">
        <v>8.9</v>
      </c>
      <c r="AU289">
        <f>AT289*D289*3</f>
        <v>88.11</v>
      </c>
      <c r="AX289">
        <v>9.4</v>
      </c>
      <c r="AY289">
        <f>AX289*D289*3</f>
        <v>93.06</v>
      </c>
      <c r="BA289">
        <v>9.1999999999999993</v>
      </c>
      <c r="BB289">
        <f>BA289*D289*3</f>
        <v>91.079999999999984</v>
      </c>
      <c r="BD289">
        <v>9</v>
      </c>
      <c r="BE289">
        <f>BD289*D289*3</f>
        <v>89.1</v>
      </c>
      <c r="BG289" s="10"/>
      <c r="BH289" s="1">
        <f>CHOOSE(MATCH(MIN(ABS(BP289-C289),ABS(BQ289-C289),ABS(BR289-C289)),CHOOSE({1;2;3},ABS(BP289-C289),ABS(BQ289-C289),ABS(BR289-C289)),0),BP289,BQ289,BR289)</f>
        <v>79.199999999999989</v>
      </c>
      <c r="BJ289" s="1" cm="1">
        <f t="array" ref="BJ289">(INDEX(_xlfn._xlws.SORT(CHOOSE({1;2;3;4;5;6},BQ289,BR289,L289,AE289,BO289,BP289)),3) + INDEX(_xlfn._xlws.SORT(CHOOSE({1;2;3;4;5;6},BQ289,BR289,L289,AE289,BO289,BP289)),4))/2</f>
        <v>79.199999999999989</v>
      </c>
      <c r="BK289">
        <v>7.13333542555295</v>
      </c>
      <c r="BL289" t="s">
        <v>6117</v>
      </c>
      <c r="BM289" s="1">
        <f>BK289*3*D289</f>
        <v>70.620020712974195</v>
      </c>
      <c r="BN289" s="1">
        <f>BM289-C289</f>
        <v>1.3200207129741983</v>
      </c>
      <c r="BO289" s="1">
        <f>GK289*3*D289</f>
        <v>53.460000000000008</v>
      </c>
      <c r="BP289" s="1">
        <f>DO289*3*D289</f>
        <v>89.1</v>
      </c>
      <c r="BQ289" s="1">
        <f>FJ289*3*D289</f>
        <v>79.199999999999989</v>
      </c>
      <c r="BR289" s="1">
        <f>GL289*3*D289</f>
        <v>49.5</v>
      </c>
      <c r="BT289">
        <v>38.700000000000003</v>
      </c>
      <c r="BU289">
        <v>8.1999999999999993</v>
      </c>
      <c r="BV289" t="s">
        <v>5884</v>
      </c>
      <c r="BW289" t="s">
        <v>5885</v>
      </c>
      <c r="BX289" t="s">
        <v>5025</v>
      </c>
      <c r="BY289" t="s">
        <v>5886</v>
      </c>
      <c r="BZ289" t="s">
        <v>5887</v>
      </c>
      <c r="CA289" t="s">
        <v>3509</v>
      </c>
      <c r="CC289" t="s">
        <v>3510</v>
      </c>
      <c r="CD289" t="s">
        <v>3511</v>
      </c>
      <c r="CE289" t="s">
        <v>3512</v>
      </c>
      <c r="CG289" t="s">
        <v>3513</v>
      </c>
      <c r="CH289" t="s">
        <v>3514</v>
      </c>
      <c r="CI289" t="s">
        <v>2496</v>
      </c>
      <c r="CK289" t="s">
        <v>3515</v>
      </c>
      <c r="CL289" t="s">
        <v>3516</v>
      </c>
      <c r="CM289" t="s">
        <v>3517</v>
      </c>
      <c r="CO289" t="s">
        <v>3518</v>
      </c>
      <c r="CP289" t="s">
        <v>3519</v>
      </c>
      <c r="CQ289" t="s">
        <v>2630</v>
      </c>
      <c r="CS289" t="s">
        <v>3520</v>
      </c>
      <c r="CT289" t="s">
        <v>3521</v>
      </c>
      <c r="CV289">
        <v>9</v>
      </c>
      <c r="CW289">
        <v>9</v>
      </c>
      <c r="CX289">
        <v>9</v>
      </c>
      <c r="CY289">
        <v>9</v>
      </c>
      <c r="CZ289">
        <v>9</v>
      </c>
      <c r="DA289">
        <v>0.1</v>
      </c>
      <c r="DB289">
        <v>0.1</v>
      </c>
      <c r="DC289">
        <v>0.2</v>
      </c>
      <c r="DD289">
        <v>0.3</v>
      </c>
      <c r="DE289">
        <v>0.3</v>
      </c>
      <c r="DF289">
        <v>0.9</v>
      </c>
      <c r="DG289">
        <v>0.9</v>
      </c>
      <c r="DH289">
        <v>1.8</v>
      </c>
      <c r="DI289">
        <v>2.7</v>
      </c>
      <c r="DJ289">
        <v>2.7</v>
      </c>
      <c r="DK289">
        <v>8.1999999999999993</v>
      </c>
      <c r="DL289">
        <v>0</v>
      </c>
      <c r="DM289">
        <v>8.1999999999999993</v>
      </c>
      <c r="DN289">
        <v>9</v>
      </c>
      <c r="DO289">
        <f>AVERAGE(CV289:CZ289)</f>
        <v>9</v>
      </c>
      <c r="DQ289">
        <v>8</v>
      </c>
      <c r="DR289" t="s">
        <v>33</v>
      </c>
      <c r="DS289" t="s">
        <v>82</v>
      </c>
      <c r="DT289" t="s">
        <v>83</v>
      </c>
      <c r="DU289" t="s">
        <v>486</v>
      </c>
      <c r="DV289" t="s">
        <v>487</v>
      </c>
      <c r="DW289" t="s">
        <v>3788</v>
      </c>
      <c r="DX289" t="s">
        <v>3789</v>
      </c>
      <c r="DY289" t="s">
        <v>3790</v>
      </c>
      <c r="DZ289" t="s">
        <v>3933</v>
      </c>
      <c r="EA289" t="s">
        <v>3934</v>
      </c>
      <c r="EB289" t="s">
        <v>3793</v>
      </c>
      <c r="EC289" t="s">
        <v>3935</v>
      </c>
      <c r="ED289" t="s">
        <v>3936</v>
      </c>
      <c r="EE289" t="s">
        <v>3937</v>
      </c>
      <c r="EF289" t="s">
        <v>3797</v>
      </c>
      <c r="EG289" t="s">
        <v>3938</v>
      </c>
      <c r="EH289" t="s">
        <v>3939</v>
      </c>
      <c r="EI289" t="s">
        <v>4817</v>
      </c>
      <c r="EJ289" t="s">
        <v>3800</v>
      </c>
      <c r="EK289" t="s">
        <v>4818</v>
      </c>
      <c r="EL289" t="s">
        <v>4819</v>
      </c>
      <c r="EM289" t="s">
        <v>4820</v>
      </c>
      <c r="EN289" t="s">
        <v>3803</v>
      </c>
      <c r="EO289" t="s">
        <v>4821</v>
      </c>
      <c r="EP289" t="s">
        <v>4822</v>
      </c>
      <c r="EQ289">
        <v>8</v>
      </c>
      <c r="ER289">
        <v>8</v>
      </c>
      <c r="ES289">
        <v>8</v>
      </c>
      <c r="ET289">
        <v>8</v>
      </c>
      <c r="EU289">
        <v>8</v>
      </c>
      <c r="EV289">
        <v>0.1</v>
      </c>
      <c r="EW289">
        <v>0.1</v>
      </c>
      <c r="EX289">
        <v>0.2</v>
      </c>
      <c r="EY289">
        <v>0.3</v>
      </c>
      <c r="EZ289">
        <v>0.3</v>
      </c>
      <c r="FA289">
        <f>EV289*EQ289</f>
        <v>0.8</v>
      </c>
      <c r="FB289">
        <f>EW289*ER289</f>
        <v>0.8</v>
      </c>
      <c r="FC289">
        <f>EX289*ES289</f>
        <v>1.6</v>
      </c>
      <c r="FD289">
        <f>EY289*ET289</f>
        <v>2.4</v>
      </c>
      <c r="FE289">
        <f>EZ289*EU289</f>
        <v>2.4</v>
      </c>
      <c r="FF289">
        <v>16</v>
      </c>
      <c r="FG289">
        <v>0</v>
      </c>
      <c r="FH289">
        <v>8</v>
      </c>
      <c r="FI289">
        <f>FA289+FB289+FC289+FD289+FE289</f>
        <v>8</v>
      </c>
      <c r="FJ289">
        <f>MEDIAN(EQ289:EU289)</f>
        <v>8</v>
      </c>
      <c r="FL289">
        <v>37.61</v>
      </c>
      <c r="FM289">
        <v>9</v>
      </c>
      <c r="FN289" t="s">
        <v>1971</v>
      </c>
      <c r="FO289" t="s">
        <v>1972</v>
      </c>
      <c r="FP289" t="s">
        <v>1973</v>
      </c>
      <c r="FQ289" t="s">
        <v>1974</v>
      </c>
      <c r="FR289" t="s">
        <v>1975</v>
      </c>
      <c r="FS289">
        <v>4</v>
      </c>
      <c r="FT289">
        <v>5</v>
      </c>
      <c r="FU289">
        <v>3</v>
      </c>
      <c r="FV289">
        <v>6</v>
      </c>
      <c r="FW289">
        <v>7</v>
      </c>
      <c r="FX289">
        <v>0.1</v>
      </c>
      <c r="FY289">
        <v>0.1</v>
      </c>
      <c r="FZ289">
        <v>0.2</v>
      </c>
      <c r="GA289">
        <v>0.3</v>
      </c>
      <c r="GB289">
        <v>0.3</v>
      </c>
      <c r="GC289">
        <f>FS289*FX289</f>
        <v>0.4</v>
      </c>
      <c r="GD289">
        <f>FT289*FY289</f>
        <v>0.5</v>
      </c>
      <c r="GE289">
        <f>FU289*FZ289</f>
        <v>0.60000000000000009</v>
      </c>
      <c r="GF289">
        <f>FV289*GA289</f>
        <v>1.7999999999999998</v>
      </c>
      <c r="GG289">
        <f>FW289*GB289</f>
        <v>2.1</v>
      </c>
      <c r="GH289">
        <v>9</v>
      </c>
      <c r="GI289">
        <v>0</v>
      </c>
      <c r="GJ289">
        <v>9</v>
      </c>
      <c r="GK289">
        <f>GC289+GD289+GE289+GF289+GG289</f>
        <v>5.4</v>
      </c>
      <c r="GL289">
        <f>MEDIAN(FS289:FW289)</f>
        <v>5</v>
      </c>
    </row>
    <row r="290" spans="1:194" hidden="1" x14ac:dyDescent="0.25">
      <c r="A290">
        <v>289</v>
      </c>
      <c r="B290" t="s">
        <v>2</v>
      </c>
      <c r="C290" s="4">
        <v>74.25</v>
      </c>
      <c r="D290">
        <v>3.3</v>
      </c>
      <c r="E290" s="1">
        <f>C290/3/D290</f>
        <v>7.5</v>
      </c>
      <c r="G290">
        <v>39.200000000000003</v>
      </c>
      <c r="H290">
        <v>8.1</v>
      </c>
      <c r="I290">
        <f>H290*D290*3</f>
        <v>80.19</v>
      </c>
      <c r="J290">
        <v>17.829999999999998</v>
      </c>
      <c r="K290">
        <v>9</v>
      </c>
      <c r="L290" s="3">
        <f>K290*3*D290</f>
        <v>89.1</v>
      </c>
      <c r="M290">
        <v>4.3600000000000003</v>
      </c>
      <c r="N290">
        <v>6.5</v>
      </c>
      <c r="O290">
        <f>N290*D290*3</f>
        <v>64.349999999999994</v>
      </c>
      <c r="P290" s="5">
        <v>7</v>
      </c>
      <c r="Q290" s="5">
        <f>P290*D290*3</f>
        <v>69.3</v>
      </c>
      <c r="S290" t="s">
        <v>6415</v>
      </c>
      <c r="T290">
        <v>8.1999999999999993</v>
      </c>
      <c r="U290" s="8">
        <f>T290*D290*3</f>
        <v>81.179999999999978</v>
      </c>
      <c r="V290">
        <v>31.73</v>
      </c>
      <c r="W290">
        <v>8.4</v>
      </c>
      <c r="X290" s="5">
        <f>W290*D290*3</f>
        <v>83.16</v>
      </c>
      <c r="Y290">
        <v>9.0399999999999991</v>
      </c>
      <c r="Z290">
        <v>7</v>
      </c>
      <c r="AA290">
        <f>Z290*D290*3</f>
        <v>69.3</v>
      </c>
      <c r="AC290">
        <v>130.91999999999999</v>
      </c>
      <c r="AD290">
        <v>7.9</v>
      </c>
      <c r="AE290" s="1">
        <f>AD290*3*D290</f>
        <v>78.210000000000008</v>
      </c>
      <c r="AF290">
        <v>11.84</v>
      </c>
      <c r="AG290" s="5">
        <v>7</v>
      </c>
      <c r="AH290" s="5">
        <f>AG290*D290*3</f>
        <v>69.3</v>
      </c>
      <c r="AI290" s="13"/>
      <c r="AJ290">
        <v>0.9</v>
      </c>
      <c r="AK290" s="8">
        <f>AJ290*D290*3</f>
        <v>8.91</v>
      </c>
      <c r="AL290" s="13"/>
      <c r="AM290">
        <v>31.17</v>
      </c>
      <c r="AN290">
        <v>7.6</v>
      </c>
      <c r="AO290" s="8">
        <f>AN290*D290*3</f>
        <v>75.239999999999995</v>
      </c>
      <c r="AP290">
        <v>13.48</v>
      </c>
      <c r="AQ290">
        <v>7.6</v>
      </c>
      <c r="AR290">
        <f>AQ290*D290*3</f>
        <v>75.239999999999995</v>
      </c>
      <c r="AT290">
        <v>8.1</v>
      </c>
      <c r="AU290">
        <f>AT290*D290*3</f>
        <v>80.19</v>
      </c>
      <c r="AX290">
        <v>9.1</v>
      </c>
      <c r="AY290">
        <f>AX290*D290*3</f>
        <v>90.089999999999989</v>
      </c>
      <c r="BA290">
        <v>8.9</v>
      </c>
      <c r="BB290">
        <f>BA290*D290*3</f>
        <v>88.11</v>
      </c>
      <c r="BD290">
        <v>9</v>
      </c>
      <c r="BE290">
        <f>BD290*D290*3</f>
        <v>89.1</v>
      </c>
      <c r="BG290" s="10"/>
      <c r="BH290" s="1">
        <f>CHOOSE(MATCH(MIN(ABS(BP290-C290),ABS(BQ290-C290),ABS(BR290-C290)),CHOOSE({1;2;3},ABS(BP290-C290),ABS(BQ290-C290),ABS(BR290-C290)),0),BP290,BQ290,BR290)</f>
        <v>79.199999999999989</v>
      </c>
      <c r="BJ290" s="1" cm="1">
        <f t="array" ref="BJ290">(INDEX(_xlfn._xlws.SORT(CHOOSE({1;2;3;4;5;6},BQ290,BR290,L290,AE290,BO290,BP290)),3) + INDEX(_xlfn._xlws.SORT(CHOOSE({1;2;3;4;5;6},BQ290,BR290,L290,AE290,BO290,BP290)),4))/2</f>
        <v>78.704999999999998</v>
      </c>
      <c r="BK290">
        <v>7.5286967205713804</v>
      </c>
      <c r="BL290" t="s">
        <v>6117</v>
      </c>
      <c r="BM290" s="1">
        <f>BK290*3*D290</f>
        <v>74.534097533656663</v>
      </c>
      <c r="BN290" s="1">
        <f>BM290-C290</f>
        <v>0.2840975336566629</v>
      </c>
      <c r="BO290" s="1">
        <f>GK290*3*D290</f>
        <v>45.045000000000002</v>
      </c>
      <c r="BP290" s="1">
        <f>DO290*3*D290</f>
        <v>89.1</v>
      </c>
      <c r="BQ290" s="1">
        <f>FJ290*3*D290</f>
        <v>79.199999999999989</v>
      </c>
      <c r="BR290" s="1">
        <f>GL290*3*D290</f>
        <v>49.5</v>
      </c>
      <c r="BT290">
        <v>39.200000000000003</v>
      </c>
      <c r="BU290">
        <v>8.1</v>
      </c>
      <c r="BV290" t="s">
        <v>5114</v>
      </c>
      <c r="BW290" t="s">
        <v>5888</v>
      </c>
      <c r="BX290" t="s">
        <v>5773</v>
      </c>
      <c r="BY290" t="s">
        <v>5889</v>
      </c>
      <c r="BZ290" t="s">
        <v>5890</v>
      </c>
      <c r="CA290" t="s">
        <v>2797</v>
      </c>
      <c r="CC290" t="s">
        <v>3401</v>
      </c>
      <c r="CD290" t="s">
        <v>3402</v>
      </c>
      <c r="CE290" t="s">
        <v>2683</v>
      </c>
      <c r="CG290" t="s">
        <v>3403</v>
      </c>
      <c r="CH290" t="s">
        <v>3404</v>
      </c>
      <c r="CI290" t="s">
        <v>3522</v>
      </c>
      <c r="CK290" t="s">
        <v>3406</v>
      </c>
      <c r="CL290" t="s">
        <v>3407</v>
      </c>
      <c r="CM290" t="s">
        <v>3523</v>
      </c>
      <c r="CO290" t="s">
        <v>3409</v>
      </c>
      <c r="CP290" t="s">
        <v>3410</v>
      </c>
      <c r="CQ290" t="s">
        <v>3524</v>
      </c>
      <c r="CS290" t="s">
        <v>3412</v>
      </c>
      <c r="CT290" t="s">
        <v>3413</v>
      </c>
      <c r="CV290">
        <v>9</v>
      </c>
      <c r="CW290">
        <v>9</v>
      </c>
      <c r="CX290">
        <v>9</v>
      </c>
      <c r="CY290">
        <v>9</v>
      </c>
      <c r="CZ290">
        <v>9</v>
      </c>
      <c r="DA290">
        <v>0.1</v>
      </c>
      <c r="DB290">
        <v>0.1</v>
      </c>
      <c r="DC290">
        <v>0.2</v>
      </c>
      <c r="DD290">
        <v>0.3</v>
      </c>
      <c r="DE290">
        <v>0.3</v>
      </c>
      <c r="DF290">
        <v>0.9</v>
      </c>
      <c r="DG290">
        <v>0.9</v>
      </c>
      <c r="DH290">
        <v>1.8</v>
      </c>
      <c r="DI290">
        <v>2.7</v>
      </c>
      <c r="DJ290">
        <v>2.7</v>
      </c>
      <c r="DK290">
        <v>8.1</v>
      </c>
      <c r="DL290">
        <v>0</v>
      </c>
      <c r="DM290">
        <v>8.1</v>
      </c>
      <c r="DN290">
        <v>9</v>
      </c>
      <c r="DO290">
        <f>AVERAGE(CV290:CZ290)</f>
        <v>9</v>
      </c>
      <c r="DQ290">
        <v>15</v>
      </c>
      <c r="DR290" t="s">
        <v>28</v>
      </c>
      <c r="DS290" t="s">
        <v>43</v>
      </c>
      <c r="DT290" t="s">
        <v>178</v>
      </c>
      <c r="DU290" t="s">
        <v>45</v>
      </c>
      <c r="DV290" t="s">
        <v>236</v>
      </c>
      <c r="DW290" t="s">
        <v>3769</v>
      </c>
      <c r="DX290" t="s">
        <v>3770</v>
      </c>
      <c r="DY290" t="s">
        <v>3771</v>
      </c>
      <c r="DZ290" t="s">
        <v>3772</v>
      </c>
      <c r="EA290" t="s">
        <v>3806</v>
      </c>
      <c r="EB290" t="s">
        <v>3807</v>
      </c>
      <c r="EC290" t="s">
        <v>3775</v>
      </c>
      <c r="ED290" t="s">
        <v>3776</v>
      </c>
      <c r="EE290" t="s">
        <v>3819</v>
      </c>
      <c r="EF290" t="s">
        <v>4104</v>
      </c>
      <c r="EG290" t="s">
        <v>3810</v>
      </c>
      <c r="EH290" t="s">
        <v>3811</v>
      </c>
      <c r="EI290" t="s">
        <v>3820</v>
      </c>
      <c r="EJ290" t="s">
        <v>4174</v>
      </c>
      <c r="EK290" t="s">
        <v>4175</v>
      </c>
      <c r="EL290" t="s">
        <v>3856</v>
      </c>
      <c r="EM290" t="s">
        <v>3816</v>
      </c>
      <c r="EN290" t="s">
        <v>3931</v>
      </c>
      <c r="EO290" t="s">
        <v>4259</v>
      </c>
      <c r="EP290" t="s">
        <v>4177</v>
      </c>
      <c r="EQ290">
        <v>7</v>
      </c>
      <c r="ER290">
        <v>8</v>
      </c>
      <c r="ES290">
        <v>8</v>
      </c>
      <c r="ET290">
        <v>8</v>
      </c>
      <c r="EU290">
        <v>8</v>
      </c>
      <c r="EV290">
        <v>0.1</v>
      </c>
      <c r="EW290">
        <v>0.1</v>
      </c>
      <c r="EX290">
        <v>0.2</v>
      </c>
      <c r="EY290">
        <v>0.3</v>
      </c>
      <c r="EZ290">
        <v>0.3</v>
      </c>
      <c r="FA290">
        <f>EV290*EQ290</f>
        <v>0.70000000000000007</v>
      </c>
      <c r="FB290">
        <f>EW290*ER290</f>
        <v>0.8</v>
      </c>
      <c r="FC290">
        <f>EX290*ES290</f>
        <v>1.6</v>
      </c>
      <c r="FD290">
        <f>EY290*ET290</f>
        <v>2.4</v>
      </c>
      <c r="FE290">
        <f>EZ290*EU290</f>
        <v>2.4</v>
      </c>
      <c r="FF290">
        <v>15</v>
      </c>
      <c r="FG290">
        <v>0</v>
      </c>
      <c r="FH290">
        <v>15</v>
      </c>
      <c r="FI290">
        <f>FA290+FB290+FC290+FD290+FE290</f>
        <v>7.9</v>
      </c>
      <c r="FJ290">
        <f>MEDIAN(EQ290:EU290)</f>
        <v>8</v>
      </c>
      <c r="FL290">
        <v>38.119999999999997</v>
      </c>
      <c r="FM290">
        <v>4.8</v>
      </c>
      <c r="FN290" t="s">
        <v>1976</v>
      </c>
      <c r="FO290" t="s">
        <v>1977</v>
      </c>
      <c r="FP290" t="s">
        <v>1978</v>
      </c>
      <c r="FQ290" t="s">
        <v>1979</v>
      </c>
      <c r="FR290" t="s">
        <v>1980</v>
      </c>
      <c r="FS290">
        <v>5</v>
      </c>
      <c r="FT290">
        <v>7.5</v>
      </c>
      <c r="FU290">
        <v>6</v>
      </c>
      <c r="FV290">
        <v>4</v>
      </c>
      <c r="FW290">
        <v>3</v>
      </c>
      <c r="FX290">
        <v>0.1</v>
      </c>
      <c r="FY290">
        <v>0.1</v>
      </c>
      <c r="FZ290">
        <v>0.2</v>
      </c>
      <c r="GA290">
        <v>0.3</v>
      </c>
      <c r="GB290">
        <v>0.3</v>
      </c>
      <c r="GC290">
        <f>FS290*FX290</f>
        <v>0.5</v>
      </c>
      <c r="GD290">
        <f>FT290*FY290</f>
        <v>0.75</v>
      </c>
      <c r="GE290">
        <f>FU290*FZ290</f>
        <v>1.2000000000000002</v>
      </c>
      <c r="GF290">
        <f>FV290*GA290</f>
        <v>1.2</v>
      </c>
      <c r="GG290">
        <f>FW290*GB290</f>
        <v>0.89999999999999991</v>
      </c>
      <c r="GH290">
        <v>4.8</v>
      </c>
      <c r="GI290">
        <v>0</v>
      </c>
      <c r="GJ290">
        <v>4.8</v>
      </c>
      <c r="GK290">
        <f>GC290+GD290+GE290+GF290+GG290</f>
        <v>4.5500000000000007</v>
      </c>
      <c r="GL290">
        <f>MEDIAN(FS290:FW290)</f>
        <v>5</v>
      </c>
    </row>
    <row r="291" spans="1:194" hidden="1" x14ac:dyDescent="0.25">
      <c r="A291">
        <v>290</v>
      </c>
      <c r="B291" t="s">
        <v>2</v>
      </c>
      <c r="C291" s="4">
        <v>41.85</v>
      </c>
      <c r="D291">
        <v>2.7</v>
      </c>
      <c r="E291" s="1">
        <f>C291/3/D291</f>
        <v>5.166666666666667</v>
      </c>
      <c r="G291">
        <v>84.02</v>
      </c>
      <c r="H291">
        <v>8.6999999999999993</v>
      </c>
      <c r="I291">
        <f>H291*D291*3</f>
        <v>70.47</v>
      </c>
      <c r="J291">
        <v>17.649999999999999</v>
      </c>
      <c r="K291">
        <v>8.4</v>
      </c>
      <c r="L291" s="3">
        <f>K291*3*D291</f>
        <v>68.040000000000006</v>
      </c>
      <c r="M291">
        <v>4.74</v>
      </c>
      <c r="N291">
        <v>9</v>
      </c>
      <c r="O291">
        <f>N291*D291*3</f>
        <v>72.900000000000006</v>
      </c>
      <c r="P291" s="5">
        <v>7.6</v>
      </c>
      <c r="Q291" s="5">
        <f>P291*D291*3</f>
        <v>61.56</v>
      </c>
      <c r="S291" t="s">
        <v>6416</v>
      </c>
      <c r="T291">
        <v>4</v>
      </c>
      <c r="U291" s="8">
        <f>T291*D291*3</f>
        <v>32.400000000000006</v>
      </c>
      <c r="V291">
        <v>33.340000000000003</v>
      </c>
      <c r="W291">
        <v>8.4</v>
      </c>
      <c r="X291" s="5">
        <f>W291*D291*3</f>
        <v>68.040000000000006</v>
      </c>
      <c r="Y291">
        <v>9.3800000000000008</v>
      </c>
      <c r="Z291">
        <v>7.8</v>
      </c>
      <c r="AA291">
        <f>Z291*D291*3</f>
        <v>63.180000000000007</v>
      </c>
      <c r="AC291">
        <v>147.41999999999999</v>
      </c>
      <c r="AD291">
        <v>7.1</v>
      </c>
      <c r="AE291" s="1">
        <f>AD291*3*D291</f>
        <v>57.51</v>
      </c>
      <c r="AF291">
        <v>12.07</v>
      </c>
      <c r="AG291" s="5">
        <v>7</v>
      </c>
      <c r="AH291" s="5">
        <f>AG291*D291*3</f>
        <v>56.7</v>
      </c>
      <c r="AI291" s="13"/>
      <c r="AJ291">
        <v>31</v>
      </c>
      <c r="AK291" s="8">
        <f>AJ291*D291*3</f>
        <v>251.10000000000002</v>
      </c>
      <c r="AL291" s="13"/>
      <c r="AM291">
        <v>31.07</v>
      </c>
      <c r="AN291">
        <v>6.6</v>
      </c>
      <c r="AO291" s="8">
        <f>AN291*D291*3</f>
        <v>53.46</v>
      </c>
      <c r="AP291">
        <v>15.13</v>
      </c>
      <c r="AQ291">
        <v>8.8000000000000007</v>
      </c>
      <c r="AR291">
        <f>AQ291*D291*3</f>
        <v>71.280000000000015</v>
      </c>
      <c r="AT291">
        <v>9</v>
      </c>
      <c r="AU291">
        <f>AT291*D291*3</f>
        <v>72.900000000000006</v>
      </c>
      <c r="AX291">
        <v>9.9</v>
      </c>
      <c r="AY291">
        <f>AX291*D291*3</f>
        <v>80.190000000000012</v>
      </c>
      <c r="BA291">
        <v>9</v>
      </c>
      <c r="BB291">
        <f>BA291*D291*3</f>
        <v>72.900000000000006</v>
      </c>
      <c r="BD291">
        <v>8.6999999999999993</v>
      </c>
      <c r="BE291">
        <f>BD291*D291*3</f>
        <v>70.47</v>
      </c>
      <c r="BG291" s="10"/>
      <c r="BH291" s="1">
        <f>CHOOSE(MATCH(MIN(ABS(BP291-C291),ABS(BQ291-C291),ABS(BR291-C291)),CHOOSE({1;2;3},ABS(BP291-C291),ABS(BQ291-C291),ABS(BR291-C291)),0),BP291,BQ291,BR291)</f>
        <v>32.400000000000006</v>
      </c>
      <c r="BJ291" s="1" cm="1">
        <f t="array" ref="BJ291">(INDEX(_xlfn._xlws.SORT(CHOOSE({1;2;3;4;5;6},BQ291,BR291,L291,AE291,BO291,BP291)),3) + INDEX(_xlfn._xlws.SORT(CHOOSE({1;2;3;4;5;6},BQ291,BR291,L291,AE291,BO291,BP291)),4))/2</f>
        <v>57.105000000000004</v>
      </c>
      <c r="BK291">
        <v>5.2152387189870799</v>
      </c>
      <c r="BL291" t="s">
        <v>6117</v>
      </c>
      <c r="BM291" s="1">
        <f>BK291*3*D291</f>
        <v>42.243433623795347</v>
      </c>
      <c r="BN291" s="1">
        <f>BM291-C291</f>
        <v>0.39343362379534597</v>
      </c>
      <c r="BO291" s="1">
        <f>GK291*3*D291</f>
        <v>31.59</v>
      </c>
      <c r="BP291" s="1">
        <f>DO291*3*D291</f>
        <v>71.280000000000015</v>
      </c>
      <c r="BQ291" s="1">
        <f>FJ291*3*D291</f>
        <v>56.7</v>
      </c>
      <c r="BR291" s="1">
        <f>GL291*3*D291</f>
        <v>32.400000000000006</v>
      </c>
      <c r="BT291">
        <v>84.02</v>
      </c>
      <c r="BU291">
        <v>8.6999999999999993</v>
      </c>
      <c r="BV291" t="s">
        <v>5746</v>
      </c>
      <c r="BW291" t="s">
        <v>5004</v>
      </c>
      <c r="BX291" t="s">
        <v>5327</v>
      </c>
      <c r="BY291" t="s">
        <v>5891</v>
      </c>
      <c r="BZ291" t="s">
        <v>5892</v>
      </c>
      <c r="CA291" t="s">
        <v>2550</v>
      </c>
      <c r="CC291" t="s">
        <v>2634</v>
      </c>
      <c r="CD291" t="s">
        <v>2635</v>
      </c>
      <c r="CE291" t="s">
        <v>2553</v>
      </c>
      <c r="CG291" t="s">
        <v>2634</v>
      </c>
      <c r="CH291" t="s">
        <v>2832</v>
      </c>
      <c r="CI291" t="s">
        <v>2833</v>
      </c>
      <c r="CK291" t="s">
        <v>2634</v>
      </c>
      <c r="CL291" t="s">
        <v>2834</v>
      </c>
      <c r="CM291" t="s">
        <v>2595</v>
      </c>
      <c r="CO291" t="s">
        <v>2634</v>
      </c>
      <c r="CP291" t="s">
        <v>2835</v>
      </c>
      <c r="CQ291" t="s">
        <v>2926</v>
      </c>
      <c r="CR291" t="s">
        <v>3184</v>
      </c>
      <c r="CS291" t="s">
        <v>3185</v>
      </c>
      <c r="CT291" t="s">
        <v>3525</v>
      </c>
      <c r="CV291">
        <v>9</v>
      </c>
      <c r="CW291">
        <v>9</v>
      </c>
      <c r="CX291">
        <v>9</v>
      </c>
      <c r="CY291">
        <v>9</v>
      </c>
      <c r="CZ291">
        <v>8</v>
      </c>
      <c r="DA291">
        <v>0.1</v>
      </c>
      <c r="DB291">
        <v>0.1</v>
      </c>
      <c r="DC291">
        <v>0.2</v>
      </c>
      <c r="DD291">
        <v>0.3</v>
      </c>
      <c r="DE291">
        <v>0.3</v>
      </c>
      <c r="DF291">
        <v>0.9</v>
      </c>
      <c r="DG291">
        <v>0.9</v>
      </c>
      <c r="DH291">
        <v>1.8</v>
      </c>
      <c r="DI291">
        <v>2.7</v>
      </c>
      <c r="DJ291">
        <v>2.4</v>
      </c>
      <c r="DK291">
        <v>8.6999999999999993</v>
      </c>
      <c r="DL291">
        <v>0</v>
      </c>
      <c r="DM291">
        <v>8.6999999999999993</v>
      </c>
      <c r="DN291">
        <v>8.4</v>
      </c>
      <c r="DO291">
        <f>AVERAGE(CV291:CZ291)</f>
        <v>8.8000000000000007</v>
      </c>
      <c r="DQ291">
        <v>14</v>
      </c>
      <c r="DR291" t="s">
        <v>28</v>
      </c>
      <c r="DS291" t="s">
        <v>61</v>
      </c>
      <c r="DT291" t="s">
        <v>90</v>
      </c>
      <c r="DU291" t="s">
        <v>112</v>
      </c>
      <c r="DV291" t="s">
        <v>397</v>
      </c>
      <c r="DW291" t="s">
        <v>3769</v>
      </c>
      <c r="DX291" t="s">
        <v>3770</v>
      </c>
      <c r="DY291" t="s">
        <v>3963</v>
      </c>
      <c r="DZ291" t="s">
        <v>3963</v>
      </c>
      <c r="EA291" t="s">
        <v>3860</v>
      </c>
      <c r="EB291" t="s">
        <v>3964</v>
      </c>
      <c r="EC291" t="s">
        <v>4823</v>
      </c>
      <c r="ED291" t="s">
        <v>4823</v>
      </c>
      <c r="EE291" t="s">
        <v>3966</v>
      </c>
      <c r="EF291" t="s">
        <v>4020</v>
      </c>
      <c r="EG291" t="s">
        <v>3968</v>
      </c>
      <c r="EH291" t="s">
        <v>3968</v>
      </c>
      <c r="EI291" t="s">
        <v>4021</v>
      </c>
      <c r="EJ291" t="s">
        <v>4022</v>
      </c>
      <c r="EK291" t="s">
        <v>4023</v>
      </c>
      <c r="EL291" t="s">
        <v>4023</v>
      </c>
      <c r="EM291" t="s">
        <v>4024</v>
      </c>
      <c r="EN291" t="s">
        <v>3823</v>
      </c>
      <c r="EO291" t="s">
        <v>4625</v>
      </c>
      <c r="EP291" t="s">
        <v>4625</v>
      </c>
      <c r="EQ291">
        <v>7</v>
      </c>
      <c r="ER291">
        <v>8</v>
      </c>
      <c r="ES291">
        <v>7</v>
      </c>
      <c r="ET291">
        <v>7</v>
      </c>
      <c r="EU291">
        <v>7</v>
      </c>
      <c r="EV291">
        <v>0.1</v>
      </c>
      <c r="EW291">
        <v>0.1</v>
      </c>
      <c r="EX291">
        <v>0.2</v>
      </c>
      <c r="EY291">
        <v>0.3</v>
      </c>
      <c r="EZ291">
        <v>0.3</v>
      </c>
      <c r="FA291">
        <f>EV291*EQ291</f>
        <v>0.70000000000000007</v>
      </c>
      <c r="FB291">
        <f>EW291*ER291</f>
        <v>0.8</v>
      </c>
      <c r="FC291">
        <f>EX291*ES291</f>
        <v>1.4000000000000001</v>
      </c>
      <c r="FD291">
        <f>EY291*ET291</f>
        <v>2.1</v>
      </c>
      <c r="FE291">
        <f>EZ291*EU291</f>
        <v>2.1</v>
      </c>
      <c r="FF291">
        <v>14</v>
      </c>
      <c r="FG291">
        <v>0</v>
      </c>
      <c r="FH291">
        <v>14</v>
      </c>
      <c r="FI291">
        <f>FA291+FB291+FC291+FD291+FE291</f>
        <v>7.1</v>
      </c>
      <c r="FJ291">
        <f>MEDIAN(EQ291:EU291)</f>
        <v>7</v>
      </c>
      <c r="FL291">
        <v>73.58</v>
      </c>
      <c r="FM291">
        <v>8</v>
      </c>
      <c r="FN291" t="s">
        <v>1981</v>
      </c>
      <c r="FO291" t="s">
        <v>1982</v>
      </c>
      <c r="FP291" t="s">
        <v>1983</v>
      </c>
      <c r="FQ291" t="s">
        <v>1984</v>
      </c>
      <c r="FR291" t="s">
        <v>1985</v>
      </c>
      <c r="FS291">
        <v>5</v>
      </c>
      <c r="FT291">
        <v>4</v>
      </c>
      <c r="FU291">
        <v>3</v>
      </c>
      <c r="FV291">
        <v>2</v>
      </c>
      <c r="FW291">
        <v>6</v>
      </c>
      <c r="FX291">
        <v>0.1</v>
      </c>
      <c r="FY291">
        <v>0.1</v>
      </c>
      <c r="FZ291">
        <v>0.2</v>
      </c>
      <c r="GA291">
        <v>0.3</v>
      </c>
      <c r="GB291">
        <v>0.3</v>
      </c>
      <c r="GC291">
        <f>FS291*FX291</f>
        <v>0.5</v>
      </c>
      <c r="GD291">
        <f>FT291*FY291</f>
        <v>0.4</v>
      </c>
      <c r="GE291">
        <f>FU291*FZ291</f>
        <v>0.60000000000000009</v>
      </c>
      <c r="GF291">
        <f>FV291*GA291</f>
        <v>0.6</v>
      </c>
      <c r="GG291">
        <f>FW291*GB291</f>
        <v>1.7999999999999998</v>
      </c>
      <c r="GH291">
        <v>7.9</v>
      </c>
      <c r="GI291">
        <v>0.1</v>
      </c>
      <c r="GJ291">
        <v>8</v>
      </c>
      <c r="GK291">
        <f>GC291+GD291+GE291+GF291+GG291</f>
        <v>3.9</v>
      </c>
      <c r="GL291">
        <f>MEDIAN(FS291:FW291)</f>
        <v>4</v>
      </c>
    </row>
    <row r="292" spans="1:194" x14ac:dyDescent="0.25">
      <c r="A292">
        <v>232</v>
      </c>
      <c r="B292" t="s">
        <v>2</v>
      </c>
      <c r="C292" s="4">
        <v>68.45</v>
      </c>
      <c r="D292">
        <v>3.7</v>
      </c>
      <c r="E292" s="1">
        <f>C292/3/D292</f>
        <v>6.1666666666666661</v>
      </c>
      <c r="G292">
        <v>84.74</v>
      </c>
      <c r="H292">
        <v>8</v>
      </c>
      <c r="I292">
        <f>H292*D292*3</f>
        <v>88.800000000000011</v>
      </c>
      <c r="J292">
        <v>17.87</v>
      </c>
      <c r="K292">
        <v>8.4</v>
      </c>
      <c r="L292" s="3">
        <f>K292*3*D292</f>
        <v>93.240000000000009</v>
      </c>
      <c r="M292">
        <v>5.27</v>
      </c>
      <c r="N292">
        <v>3</v>
      </c>
      <c r="O292">
        <f>N292*D292*3</f>
        <v>33.300000000000004</v>
      </c>
      <c r="P292" s="5">
        <v>8.6999999999999993</v>
      </c>
      <c r="Q292" s="5">
        <f>P292*D292*3</f>
        <v>96.57</v>
      </c>
      <c r="S292" t="s">
        <v>6363</v>
      </c>
      <c r="T292">
        <v>5.6</v>
      </c>
      <c r="U292" s="8">
        <f>T292*D292*3</f>
        <v>62.16</v>
      </c>
      <c r="V292">
        <v>34.51</v>
      </c>
      <c r="W292">
        <v>8</v>
      </c>
      <c r="X292" s="5">
        <f>W292*D292*3</f>
        <v>88.800000000000011</v>
      </c>
      <c r="Y292">
        <v>8.7899999999999991</v>
      </c>
      <c r="Z292">
        <v>4</v>
      </c>
      <c r="AA292">
        <f>Z292*D292*3</f>
        <v>44.400000000000006</v>
      </c>
      <c r="AC292">
        <v>48.43</v>
      </c>
      <c r="AD292">
        <v>7.9</v>
      </c>
      <c r="AE292" s="1">
        <f>AD292*3*D292</f>
        <v>87.690000000000012</v>
      </c>
      <c r="AF292">
        <v>11.97</v>
      </c>
      <c r="AG292" s="5">
        <v>7</v>
      </c>
      <c r="AH292" s="5">
        <f>AG292*D292*3</f>
        <v>77.7</v>
      </c>
      <c r="AI292" s="13"/>
      <c r="AK292" s="8">
        <f>AJ292*D292*3</f>
        <v>0</v>
      </c>
      <c r="AL292" s="13"/>
      <c r="AM292">
        <v>31.54</v>
      </c>
      <c r="AN292">
        <v>7</v>
      </c>
      <c r="AO292" s="8">
        <f>AN292*D292*3</f>
        <v>77.7</v>
      </c>
      <c r="AP292">
        <v>14.37</v>
      </c>
      <c r="AQ292">
        <v>10</v>
      </c>
      <c r="AR292">
        <f>AQ292*D292*3</f>
        <v>111</v>
      </c>
      <c r="AT292">
        <v>8.4</v>
      </c>
      <c r="AU292">
        <f>AT292*D292*3</f>
        <v>93.240000000000009</v>
      </c>
      <c r="AW292">
        <v>24.17</v>
      </c>
      <c r="AX292">
        <v>8.1999999999999993</v>
      </c>
      <c r="AY292">
        <f>AX292*D292*3</f>
        <v>91.02</v>
      </c>
      <c r="AZ292">
        <v>24.17</v>
      </c>
      <c r="BA292">
        <v>9</v>
      </c>
      <c r="BB292">
        <f>BA292*D292*3</f>
        <v>99.9</v>
      </c>
      <c r="BD292">
        <v>9</v>
      </c>
      <c r="BE292">
        <f>BD292*D292*3</f>
        <v>99.9</v>
      </c>
      <c r="BG292" s="10"/>
      <c r="BH292" s="1">
        <f>CHOOSE(MATCH(MIN(ABS(BP292-C292),ABS(BQ292-C292),ABS(BR292-C292)),CHOOSE({1;2;3},ABS(BP292-C292),ABS(BQ292-C292),ABS(BR292-C292)),0),BP292,BQ292,BR292)</f>
        <v>88.800000000000011</v>
      </c>
      <c r="BJ292" s="1" cm="1">
        <f t="array" ref="BJ292">(INDEX(_xlfn._xlws.SORT(CHOOSE({1;2;3;4;5;6},BQ292,BR292,L292,AE292,BO292,BP292)),3) + INDEX(_xlfn._xlws.SORT(CHOOSE({1;2;3;4;5;6},BQ292,BR292,L292,AE292,BO292,BP292)),4))/2</f>
        <v>90.465000000000003</v>
      </c>
      <c r="BK292">
        <v>7.0920258382732104</v>
      </c>
      <c r="BL292" s="11" t="s">
        <v>6116</v>
      </c>
      <c r="BM292" s="1">
        <f>BK292*3*D292</f>
        <v>78.721486804832651</v>
      </c>
      <c r="BN292" s="1">
        <f>BM292-C292</f>
        <v>10.271486804832648</v>
      </c>
      <c r="BO292" s="1">
        <f>GK292*3*D292</f>
        <v>92.13000000000001</v>
      </c>
      <c r="BP292" s="1">
        <f>DO292*3*D292</f>
        <v>99.9</v>
      </c>
      <c r="BQ292" s="1">
        <f>FJ292*3*D292</f>
        <v>88.800000000000011</v>
      </c>
      <c r="BR292" s="1">
        <f>GL292*3*D292</f>
        <v>88.800000000000011</v>
      </c>
      <c r="BT292">
        <v>84.74</v>
      </c>
      <c r="BU292">
        <v>8</v>
      </c>
      <c r="BV292" t="s">
        <v>5051</v>
      </c>
      <c r="BW292" t="s">
        <v>5047</v>
      </c>
      <c r="BX292" t="s">
        <v>5757</v>
      </c>
      <c r="BY292" t="s">
        <v>5092</v>
      </c>
      <c r="BZ292" t="s">
        <v>5054</v>
      </c>
      <c r="CA292" t="s">
        <v>2452</v>
      </c>
      <c r="CC292" t="s">
        <v>2438</v>
      </c>
      <c r="CD292" t="s">
        <v>2453</v>
      </c>
      <c r="CE292" t="s">
        <v>2586</v>
      </c>
      <c r="CG292" t="s">
        <v>2881</v>
      </c>
      <c r="CH292" t="s">
        <v>2593</v>
      </c>
      <c r="CI292" t="s">
        <v>2567</v>
      </c>
      <c r="CK292" t="s">
        <v>3338</v>
      </c>
      <c r="CL292" t="s">
        <v>3339</v>
      </c>
      <c r="CM292" t="s">
        <v>2589</v>
      </c>
      <c r="CO292" t="s">
        <v>3340</v>
      </c>
      <c r="CP292" t="s">
        <v>3341</v>
      </c>
      <c r="CQ292" t="s">
        <v>3030</v>
      </c>
      <c r="CS292" t="s">
        <v>3041</v>
      </c>
      <c r="CT292" t="s">
        <v>3342</v>
      </c>
      <c r="CV292">
        <v>9</v>
      </c>
      <c r="CW292">
        <v>9</v>
      </c>
      <c r="CX292">
        <v>9</v>
      </c>
      <c r="CY292">
        <v>9</v>
      </c>
      <c r="CZ292">
        <v>9</v>
      </c>
      <c r="DA292">
        <v>0.1</v>
      </c>
      <c r="DB292">
        <v>0.1</v>
      </c>
      <c r="DC292">
        <v>0.2</v>
      </c>
      <c r="DD292">
        <v>0.3</v>
      </c>
      <c r="DE292">
        <v>0.3</v>
      </c>
      <c r="DF292">
        <v>0.9</v>
      </c>
      <c r="DG292">
        <v>0.9</v>
      </c>
      <c r="DH292">
        <v>1.8</v>
      </c>
      <c r="DI292">
        <v>2.7</v>
      </c>
      <c r="DJ292">
        <v>2.7</v>
      </c>
      <c r="DK292">
        <v>8</v>
      </c>
      <c r="DL292">
        <v>0</v>
      </c>
      <c r="DM292">
        <v>8</v>
      </c>
      <c r="DN292">
        <v>8.4</v>
      </c>
      <c r="DO292">
        <f>AVERAGE(CV292:CZ292)</f>
        <v>9</v>
      </c>
      <c r="DQ292">
        <v>8</v>
      </c>
      <c r="DR292" t="s">
        <v>28</v>
      </c>
      <c r="DS292" t="s">
        <v>43</v>
      </c>
      <c r="DT292" t="s">
        <v>227</v>
      </c>
      <c r="DU292" t="s">
        <v>228</v>
      </c>
      <c r="DV292" t="s">
        <v>229</v>
      </c>
      <c r="DW292" t="s">
        <v>3805</v>
      </c>
      <c r="DX292" t="s">
        <v>3770</v>
      </c>
      <c r="DY292" t="s">
        <v>3771</v>
      </c>
      <c r="DZ292" t="s">
        <v>3772</v>
      </c>
      <c r="EA292" t="s">
        <v>3806</v>
      </c>
      <c r="EB292" t="s">
        <v>3807</v>
      </c>
      <c r="EC292" t="s">
        <v>3775</v>
      </c>
      <c r="ED292" t="s">
        <v>3776</v>
      </c>
      <c r="EE292" t="s">
        <v>3946</v>
      </c>
      <c r="EF292" t="s">
        <v>3809</v>
      </c>
      <c r="EG292" t="s">
        <v>3810</v>
      </c>
      <c r="EH292" t="s">
        <v>3811</v>
      </c>
      <c r="EI292" t="s">
        <v>3947</v>
      </c>
      <c r="EJ292" t="s">
        <v>3813</v>
      </c>
      <c r="EK292" t="s">
        <v>3948</v>
      </c>
      <c r="EL292" t="s">
        <v>3815</v>
      </c>
      <c r="EM292" t="s">
        <v>3949</v>
      </c>
      <c r="EN292" t="s">
        <v>3809</v>
      </c>
      <c r="EO292" t="s">
        <v>3950</v>
      </c>
      <c r="EP292" t="s">
        <v>3818</v>
      </c>
      <c r="EQ292">
        <v>7</v>
      </c>
      <c r="ER292">
        <v>8</v>
      </c>
      <c r="ES292">
        <v>8</v>
      </c>
      <c r="ET292">
        <v>8</v>
      </c>
      <c r="EU292">
        <v>8</v>
      </c>
      <c r="EV292">
        <v>0.1</v>
      </c>
      <c r="EW292">
        <v>0.1</v>
      </c>
      <c r="EX292">
        <v>0.2</v>
      </c>
      <c r="EY292">
        <v>0.3</v>
      </c>
      <c r="EZ292">
        <v>0.3</v>
      </c>
      <c r="FA292">
        <f>EV292*EQ292</f>
        <v>0.70000000000000007</v>
      </c>
      <c r="FB292">
        <f>EW292*ER292</f>
        <v>0.8</v>
      </c>
      <c r="FC292">
        <f>EX292*ES292</f>
        <v>1.6</v>
      </c>
      <c r="FD292">
        <f>EY292*ET292</f>
        <v>2.4</v>
      </c>
      <c r="FE292">
        <f>EZ292*EU292</f>
        <v>2.4</v>
      </c>
      <c r="FF292">
        <v>15</v>
      </c>
      <c r="FG292">
        <v>0</v>
      </c>
      <c r="FH292">
        <v>15</v>
      </c>
      <c r="FI292">
        <f>FA292+FB292+FC292+FD292+FE292</f>
        <v>7.9</v>
      </c>
      <c r="FJ292">
        <f>MEDIAN(EQ292:EU292)</f>
        <v>8</v>
      </c>
      <c r="FL292">
        <v>76.430000000000007</v>
      </c>
      <c r="FM292">
        <v>7</v>
      </c>
      <c r="FN292" t="s">
        <v>1704</v>
      </c>
      <c r="FO292" t="s">
        <v>1705</v>
      </c>
      <c r="FP292" t="s">
        <v>1706</v>
      </c>
      <c r="FQ292" t="s">
        <v>1707</v>
      </c>
      <c r="FR292" t="s">
        <v>1708</v>
      </c>
      <c r="FS292">
        <v>8</v>
      </c>
      <c r="FT292">
        <v>9</v>
      </c>
      <c r="FU292">
        <v>7.5</v>
      </c>
      <c r="FV292">
        <v>9</v>
      </c>
      <c r="FW292">
        <v>8</v>
      </c>
      <c r="FX292">
        <v>0.1</v>
      </c>
      <c r="FY292">
        <v>0.1</v>
      </c>
      <c r="FZ292">
        <v>0.2</v>
      </c>
      <c r="GA292">
        <v>0.3</v>
      </c>
      <c r="GB292">
        <v>0.3</v>
      </c>
      <c r="GC292">
        <f>FS292*FX292</f>
        <v>0.8</v>
      </c>
      <c r="GD292">
        <f>FT292*FY292</f>
        <v>0.9</v>
      </c>
      <c r="GE292">
        <f>FU292*FZ292</f>
        <v>1.5</v>
      </c>
      <c r="GF292">
        <f>FV292*GA292</f>
        <v>2.6999999999999997</v>
      </c>
      <c r="GG292">
        <f>FW292*GB292</f>
        <v>2.4</v>
      </c>
      <c r="GH292">
        <v>6.8</v>
      </c>
      <c r="GI292">
        <v>0.2</v>
      </c>
      <c r="GJ292">
        <v>7</v>
      </c>
      <c r="GK292">
        <f>GC292+GD292+GE292+GF292+GG292</f>
        <v>8.3000000000000007</v>
      </c>
      <c r="GL292">
        <f>MEDIAN(FS292:FW292)</f>
        <v>8</v>
      </c>
    </row>
    <row r="293" spans="1:194" hidden="1" x14ac:dyDescent="0.25">
      <c r="A293">
        <v>292</v>
      </c>
      <c r="B293" t="s">
        <v>2</v>
      </c>
      <c r="C293" s="4">
        <v>39.6</v>
      </c>
      <c r="D293">
        <v>3.3</v>
      </c>
      <c r="E293" s="1">
        <f>C293/3/D293</f>
        <v>4.0000000000000009</v>
      </c>
      <c r="G293">
        <v>101.36</v>
      </c>
      <c r="H293">
        <v>7.35</v>
      </c>
      <c r="I293">
        <f>H293*D293*3</f>
        <v>72.765000000000001</v>
      </c>
      <c r="J293">
        <v>16.88</v>
      </c>
      <c r="K293">
        <v>9</v>
      </c>
      <c r="L293" s="3">
        <f>K293*3*D293</f>
        <v>89.1</v>
      </c>
      <c r="M293">
        <v>5.05</v>
      </c>
      <c r="N293">
        <v>5.5</v>
      </c>
      <c r="O293">
        <f>N293*D293*3</f>
        <v>54.449999999999996</v>
      </c>
      <c r="P293" s="5">
        <v>7.5</v>
      </c>
      <c r="Q293" s="5">
        <f>P293*D293*3</f>
        <v>74.25</v>
      </c>
      <c r="S293" t="s">
        <v>6418</v>
      </c>
      <c r="T293">
        <v>7.2</v>
      </c>
      <c r="U293" s="8">
        <f>T293*D293*3</f>
        <v>71.28</v>
      </c>
      <c r="V293">
        <v>30.88</v>
      </c>
      <c r="W293">
        <v>8</v>
      </c>
      <c r="X293" s="5">
        <f>W293*D293*3</f>
        <v>79.199999999999989</v>
      </c>
      <c r="Y293">
        <v>12.01</v>
      </c>
      <c r="Z293">
        <v>7.5</v>
      </c>
      <c r="AA293">
        <f>Z293*D293*3</f>
        <v>74.25</v>
      </c>
      <c r="AC293">
        <v>142.83000000000001</v>
      </c>
      <c r="AD293">
        <v>7.6</v>
      </c>
      <c r="AE293" s="1">
        <f>AD293*3*D293</f>
        <v>75.239999999999981</v>
      </c>
      <c r="AF293">
        <v>12.4</v>
      </c>
      <c r="AG293" s="5">
        <v>7</v>
      </c>
      <c r="AH293" s="5">
        <f>AG293*D293*3</f>
        <v>69.3</v>
      </c>
      <c r="AI293" s="13"/>
      <c r="AK293" s="8">
        <f>AJ293*D293*3</f>
        <v>0</v>
      </c>
      <c r="AL293" s="13"/>
      <c r="AM293">
        <v>31.28</v>
      </c>
      <c r="AN293">
        <v>7.4</v>
      </c>
      <c r="AO293" s="8">
        <f>AN293*D293*3</f>
        <v>73.259999999999991</v>
      </c>
      <c r="AP293">
        <v>13.03</v>
      </c>
      <c r="AQ293">
        <v>10</v>
      </c>
      <c r="AR293">
        <f>AQ293*D293*3</f>
        <v>99</v>
      </c>
      <c r="AT293">
        <v>9</v>
      </c>
      <c r="AU293">
        <f>AT293*D293*3</f>
        <v>89.1</v>
      </c>
      <c r="AX293">
        <v>9.1</v>
      </c>
      <c r="AY293">
        <f>AX293*D293*3</f>
        <v>90.089999999999989</v>
      </c>
      <c r="BA293">
        <v>9</v>
      </c>
      <c r="BB293">
        <f>BA293*D293*3</f>
        <v>89.1</v>
      </c>
      <c r="BD293">
        <v>8.9</v>
      </c>
      <c r="BE293">
        <f>BD293*D293*3</f>
        <v>88.11</v>
      </c>
      <c r="BG293" s="10"/>
      <c r="BH293" s="1">
        <f>CHOOSE(MATCH(MIN(ABS(BP293-C293),ABS(BQ293-C293),ABS(BR293-C293)),CHOOSE({1;2;3},ABS(BP293-C293),ABS(BQ293-C293),ABS(BR293-C293)),0),BP293,BQ293,BR293)</f>
        <v>29.7</v>
      </c>
      <c r="BJ293" s="1" cm="1">
        <f t="array" ref="BJ293">(INDEX(_xlfn._xlws.SORT(CHOOSE({1;2;3;4;5;6},BQ293,BR293,L293,AE293,BO293,BP293)),3) + INDEX(_xlfn._xlws.SORT(CHOOSE({1;2;3;4;5;6},BQ293,BR293,L293,AE293,BO293,BP293)),4))/2</f>
        <v>77.219999999999985</v>
      </c>
      <c r="BK293">
        <v>4.0059656201836296</v>
      </c>
      <c r="BL293" t="s">
        <v>6117</v>
      </c>
      <c r="BM293" s="1">
        <f>BK293*3*D293</f>
        <v>39.659059639817926</v>
      </c>
      <c r="BN293" s="1">
        <f>BM293-C293</f>
        <v>5.9059639817924392E-2</v>
      </c>
      <c r="BO293" s="1">
        <f>GK293*3*D293</f>
        <v>38.114999999999995</v>
      </c>
      <c r="BP293" s="1">
        <f>DO293*3*D293</f>
        <v>83.160000000000011</v>
      </c>
      <c r="BQ293" s="1">
        <f>FJ293*3*D293</f>
        <v>79.199999999999989</v>
      </c>
      <c r="BR293" s="1">
        <f>GL293*3*D293</f>
        <v>29.7</v>
      </c>
      <c r="BT293">
        <v>101.36</v>
      </c>
      <c r="BU293">
        <v>7.35</v>
      </c>
      <c r="BV293" t="s">
        <v>5032</v>
      </c>
      <c r="BW293" t="s">
        <v>5897</v>
      </c>
      <c r="BX293" t="s">
        <v>5898</v>
      </c>
      <c r="BY293" t="s">
        <v>5899</v>
      </c>
      <c r="BZ293" t="s">
        <v>5900</v>
      </c>
      <c r="CA293" t="s">
        <v>3530</v>
      </c>
      <c r="CB293" t="s">
        <v>3531</v>
      </c>
      <c r="CC293" t="s">
        <v>3532</v>
      </c>
      <c r="CD293" t="s">
        <v>2905</v>
      </c>
      <c r="CE293" t="s">
        <v>2586</v>
      </c>
      <c r="CG293" t="s">
        <v>3533</v>
      </c>
      <c r="CH293" t="s">
        <v>3534</v>
      </c>
      <c r="CI293" t="s">
        <v>2803</v>
      </c>
      <c r="CJ293" t="s">
        <v>2458</v>
      </c>
      <c r="CK293" t="s">
        <v>2529</v>
      </c>
      <c r="CL293" t="s">
        <v>3251</v>
      </c>
      <c r="CM293" t="s">
        <v>3136</v>
      </c>
      <c r="CN293" t="s">
        <v>3535</v>
      </c>
      <c r="CO293" t="s">
        <v>3536</v>
      </c>
      <c r="CP293" t="s">
        <v>3537</v>
      </c>
      <c r="CQ293" t="s">
        <v>2630</v>
      </c>
      <c r="CR293" t="s">
        <v>3184</v>
      </c>
      <c r="CS293" t="s">
        <v>3538</v>
      </c>
      <c r="CT293" t="s">
        <v>3539</v>
      </c>
      <c r="CV293">
        <v>8.5</v>
      </c>
      <c r="CW293">
        <v>10</v>
      </c>
      <c r="CX293">
        <v>7.5</v>
      </c>
      <c r="CY293">
        <v>8.5</v>
      </c>
      <c r="CZ293">
        <v>7.5</v>
      </c>
      <c r="DA293">
        <v>0.1</v>
      </c>
      <c r="DB293">
        <v>0.1</v>
      </c>
      <c r="DC293">
        <v>0.2</v>
      </c>
      <c r="DD293">
        <v>0.3</v>
      </c>
      <c r="DE293">
        <v>0.3</v>
      </c>
      <c r="DF293">
        <v>0.85</v>
      </c>
      <c r="DG293">
        <v>1</v>
      </c>
      <c r="DH293">
        <v>1.5</v>
      </c>
      <c r="DI293">
        <v>2.5499999999999998</v>
      </c>
      <c r="DJ293">
        <v>2.25</v>
      </c>
      <c r="DK293">
        <v>7.35</v>
      </c>
      <c r="DL293">
        <v>0</v>
      </c>
      <c r="DM293">
        <v>7.35</v>
      </c>
      <c r="DN293">
        <v>9</v>
      </c>
      <c r="DO293">
        <f>AVERAGE(CV293:CZ293)</f>
        <v>8.4</v>
      </c>
      <c r="DQ293" t="s">
        <v>27</v>
      </c>
      <c r="DR293" t="s">
        <v>379</v>
      </c>
      <c r="DS293" t="s">
        <v>488</v>
      </c>
      <c r="DT293" t="s">
        <v>489</v>
      </c>
      <c r="DU293" t="s">
        <v>385</v>
      </c>
      <c r="DV293" t="s">
        <v>490</v>
      </c>
      <c r="DW293" t="s">
        <v>3805</v>
      </c>
      <c r="DX293" t="s">
        <v>3770</v>
      </c>
      <c r="DY293" t="s">
        <v>3771</v>
      </c>
      <c r="DZ293" t="s">
        <v>3772</v>
      </c>
      <c r="EA293" t="s">
        <v>4742</v>
      </c>
      <c r="EB293" t="s">
        <v>3774</v>
      </c>
      <c r="EC293" t="s">
        <v>3775</v>
      </c>
      <c r="ED293" t="s">
        <v>3776</v>
      </c>
      <c r="EE293" t="s">
        <v>4743</v>
      </c>
      <c r="EF293" t="s">
        <v>4020</v>
      </c>
      <c r="EG293" t="s">
        <v>4744</v>
      </c>
      <c r="EH293" t="s">
        <v>3811</v>
      </c>
      <c r="EI293" t="s">
        <v>3820</v>
      </c>
      <c r="EJ293" t="s">
        <v>4174</v>
      </c>
      <c r="EK293" t="s">
        <v>4014</v>
      </c>
      <c r="EL293" t="s">
        <v>3815</v>
      </c>
      <c r="EM293" t="s">
        <v>4745</v>
      </c>
      <c r="EN293" t="s">
        <v>3823</v>
      </c>
      <c r="EO293" t="s">
        <v>4746</v>
      </c>
      <c r="EP293" t="s">
        <v>4747</v>
      </c>
      <c r="EQ293">
        <v>7</v>
      </c>
      <c r="ER293">
        <v>8</v>
      </c>
      <c r="ES293">
        <v>8</v>
      </c>
      <c r="ET293">
        <v>7</v>
      </c>
      <c r="EU293">
        <v>8</v>
      </c>
      <c r="EV293">
        <v>0.1</v>
      </c>
      <c r="EW293">
        <v>0.1</v>
      </c>
      <c r="EX293">
        <v>0.2</v>
      </c>
      <c r="EY293">
        <v>0.3</v>
      </c>
      <c r="EZ293">
        <v>0.3</v>
      </c>
      <c r="FA293">
        <f>EV293*EQ293</f>
        <v>0.70000000000000007</v>
      </c>
      <c r="FB293">
        <f>EW293*ER293</f>
        <v>0.8</v>
      </c>
      <c r="FC293">
        <f>EX293*ES293</f>
        <v>1.6</v>
      </c>
      <c r="FD293">
        <f>EY293*ET293</f>
        <v>2.1</v>
      </c>
      <c r="FE293">
        <f>EZ293*EU293</f>
        <v>2.4</v>
      </c>
      <c r="FF293">
        <v>14.5</v>
      </c>
      <c r="FG293">
        <v>0.5</v>
      </c>
      <c r="FH293">
        <v>9.5</v>
      </c>
      <c r="FI293">
        <f>FA293+FB293+FC293+FD293+FE293</f>
        <v>7.6</v>
      </c>
      <c r="FJ293">
        <f>MEDIAN(EQ293:EU293)</f>
        <v>8</v>
      </c>
      <c r="FL293">
        <v>82.33</v>
      </c>
      <c r="FM293">
        <v>10</v>
      </c>
      <c r="FN293" t="s">
        <v>1991</v>
      </c>
      <c r="FO293" t="s">
        <v>1992</v>
      </c>
      <c r="FP293" t="s">
        <v>1993</v>
      </c>
      <c r="FQ293" t="s">
        <v>1994</v>
      </c>
      <c r="FR293" t="s">
        <v>1995</v>
      </c>
      <c r="FS293">
        <v>2.5</v>
      </c>
      <c r="FT293">
        <v>3</v>
      </c>
      <c r="FU293">
        <v>1.5</v>
      </c>
      <c r="FV293">
        <v>4</v>
      </c>
      <c r="FW293">
        <v>6</v>
      </c>
      <c r="FX293">
        <v>0.1</v>
      </c>
      <c r="FY293">
        <v>0.1</v>
      </c>
      <c r="FZ293">
        <v>0.2</v>
      </c>
      <c r="GA293">
        <v>0.3</v>
      </c>
      <c r="GB293">
        <v>0.3</v>
      </c>
      <c r="GC293">
        <f>FS293*FX293</f>
        <v>0.25</v>
      </c>
      <c r="GD293">
        <f>FT293*FY293</f>
        <v>0.30000000000000004</v>
      </c>
      <c r="GE293">
        <f>FU293*FZ293</f>
        <v>0.30000000000000004</v>
      </c>
      <c r="GF293">
        <f>FV293*GA293</f>
        <v>1.2</v>
      </c>
      <c r="GG293">
        <f>FW293*GB293</f>
        <v>1.7999999999999998</v>
      </c>
      <c r="GH293">
        <v>9.6999999999999993</v>
      </c>
      <c r="GI293">
        <v>0.3</v>
      </c>
      <c r="GJ293">
        <v>10</v>
      </c>
      <c r="GK293">
        <f>GC293+GD293+GE293+GF293+GG293</f>
        <v>3.8499999999999996</v>
      </c>
      <c r="GL293">
        <f>MEDIAN(FS293:FW293)</f>
        <v>3</v>
      </c>
    </row>
    <row r="294" spans="1:194" x14ac:dyDescent="0.25">
      <c r="A294">
        <v>160</v>
      </c>
      <c r="B294" t="s">
        <v>2</v>
      </c>
      <c r="C294" s="4">
        <v>74.25</v>
      </c>
      <c r="D294">
        <v>3.3</v>
      </c>
      <c r="E294" s="1">
        <f>C294/3/D294</f>
        <v>7.5</v>
      </c>
      <c r="G294">
        <v>38.18</v>
      </c>
      <c r="H294">
        <v>6</v>
      </c>
      <c r="I294">
        <f>H294*D294*3</f>
        <v>59.399999999999991</v>
      </c>
      <c r="J294">
        <v>17.77</v>
      </c>
      <c r="K294">
        <v>8.4</v>
      </c>
      <c r="L294" s="3">
        <f>K294*3*D294</f>
        <v>83.160000000000011</v>
      </c>
      <c r="M294">
        <v>5.12</v>
      </c>
      <c r="N294">
        <v>5.7</v>
      </c>
      <c r="O294">
        <f>N294*D294*3</f>
        <v>56.429999999999993</v>
      </c>
      <c r="P294" s="5">
        <v>7.9</v>
      </c>
      <c r="Q294" s="5">
        <f>P294*D294*3</f>
        <v>78.210000000000008</v>
      </c>
      <c r="S294" t="s">
        <v>6294</v>
      </c>
      <c r="T294">
        <v>5.6</v>
      </c>
      <c r="U294" s="8">
        <f>T294*D294*3</f>
        <v>55.439999999999991</v>
      </c>
      <c r="V294">
        <v>32.369999999999997</v>
      </c>
      <c r="W294">
        <v>8.4</v>
      </c>
      <c r="X294" s="5">
        <f>W294*D294*3</f>
        <v>83.16</v>
      </c>
      <c r="Y294">
        <v>9.49</v>
      </c>
      <c r="Z294">
        <v>7.5</v>
      </c>
      <c r="AA294">
        <f>Z294*D294*3</f>
        <v>74.25</v>
      </c>
      <c r="AC294">
        <v>45.66</v>
      </c>
      <c r="AD294">
        <v>8</v>
      </c>
      <c r="AE294" s="1">
        <f>AD294*3*D294</f>
        <v>79.199999999999989</v>
      </c>
      <c r="AF294">
        <v>11.79</v>
      </c>
      <c r="AG294" s="5">
        <v>7</v>
      </c>
      <c r="AH294" s="5">
        <f>AG294*D294*3</f>
        <v>69.3</v>
      </c>
      <c r="AI294" s="13"/>
      <c r="AK294" s="8">
        <f>AJ294*D294*3</f>
        <v>0</v>
      </c>
      <c r="AL294" s="13"/>
      <c r="AM294">
        <v>30.74</v>
      </c>
      <c r="AN294">
        <v>7.3</v>
      </c>
      <c r="AO294" s="8">
        <f>AN294*D294*3</f>
        <v>72.27</v>
      </c>
      <c r="AP294">
        <v>12.84</v>
      </c>
      <c r="AQ294">
        <v>9.1999999999999993</v>
      </c>
      <c r="AR294">
        <f>AQ294*D294*3</f>
        <v>91.079999999999984</v>
      </c>
      <c r="AT294">
        <v>8.5</v>
      </c>
      <c r="AU294">
        <f>AT294*D294*3</f>
        <v>84.149999999999991</v>
      </c>
      <c r="AW294">
        <v>25.18</v>
      </c>
      <c r="AX294">
        <v>9.9</v>
      </c>
      <c r="AY294">
        <f>AX294*D294*3</f>
        <v>98.01</v>
      </c>
      <c r="AZ294">
        <v>25.18</v>
      </c>
      <c r="BA294">
        <v>7.9</v>
      </c>
      <c r="BB294">
        <f>BA294*D294*3</f>
        <v>78.210000000000008</v>
      </c>
      <c r="BD294">
        <v>8.9</v>
      </c>
      <c r="BE294">
        <f>BD294*D294*3</f>
        <v>88.11</v>
      </c>
      <c r="BG294" s="10"/>
      <c r="BH294" s="1">
        <f>CHOOSE(MATCH(MIN(ABS(BP294-C294),ABS(BQ294-C294),ABS(BR294-C294)),CHOOSE({1;2;3},ABS(BP294-C294),ABS(BQ294-C294),ABS(BR294-C294)),0),BP294,BQ294,BR294)</f>
        <v>75.239999999999981</v>
      </c>
      <c r="BJ294" s="1" cm="1">
        <f t="array" ref="BJ294">(INDEX(_xlfn._xlws.SORT(CHOOSE({1;2;3;4;5;6},BQ294,BR294,L294,AE294,BO294,BP294)),3) + INDEX(_xlfn._xlws.SORT(CHOOSE({1;2;3;4;5;6},BQ294,BR294,L294,AE294,BO294,BP294)),4))/2</f>
        <v>77.219999999999985</v>
      </c>
      <c r="BK294">
        <v>8.5405664365800593</v>
      </c>
      <c r="BL294" s="11" t="s">
        <v>6116</v>
      </c>
      <c r="BM294" s="1">
        <f>BK294*3*D294</f>
        <v>84.551607722142592</v>
      </c>
      <c r="BN294" s="1">
        <f>BM294-C294</f>
        <v>10.301607722142592</v>
      </c>
      <c r="BO294" s="1">
        <f>GK294*3*D294</f>
        <v>28.214999999999996</v>
      </c>
      <c r="BP294" s="1">
        <f>DO294*3*D294</f>
        <v>75.239999999999981</v>
      </c>
      <c r="BQ294" s="1">
        <f>FJ294*3*D294</f>
        <v>79.199999999999989</v>
      </c>
      <c r="BR294" s="1">
        <f>GL294*3*D294</f>
        <v>24.75</v>
      </c>
      <c r="BT294">
        <v>38.18</v>
      </c>
      <c r="BU294">
        <v>6</v>
      </c>
      <c r="BV294" t="s">
        <v>5046</v>
      </c>
      <c r="BW294" t="s">
        <v>5524</v>
      </c>
      <c r="BX294" t="s">
        <v>5525</v>
      </c>
      <c r="BY294" t="s">
        <v>5526</v>
      </c>
      <c r="BZ294" t="s">
        <v>5527</v>
      </c>
      <c r="CA294" t="s">
        <v>2420</v>
      </c>
      <c r="CC294" t="s">
        <v>2525</v>
      </c>
      <c r="CD294" t="s">
        <v>2627</v>
      </c>
      <c r="CE294" t="s">
        <v>2423</v>
      </c>
      <c r="CG294" t="s">
        <v>2998</v>
      </c>
      <c r="CH294" t="s">
        <v>3198</v>
      </c>
      <c r="CI294" t="s">
        <v>2426</v>
      </c>
      <c r="CJ294" t="s">
        <v>2427</v>
      </c>
      <c r="CK294" t="s">
        <v>2999</v>
      </c>
      <c r="CL294" t="s">
        <v>3199</v>
      </c>
      <c r="CM294" t="s">
        <v>2430</v>
      </c>
      <c r="CN294" t="s">
        <v>2579</v>
      </c>
      <c r="CO294" t="s">
        <v>3200</v>
      </c>
      <c r="CP294" t="s">
        <v>3201</v>
      </c>
      <c r="CQ294" t="s">
        <v>3202</v>
      </c>
      <c r="CR294" t="s">
        <v>3009</v>
      </c>
      <c r="CS294" t="s">
        <v>3203</v>
      </c>
      <c r="CT294" t="s">
        <v>3203</v>
      </c>
      <c r="CV294">
        <v>9</v>
      </c>
      <c r="CW294">
        <v>9</v>
      </c>
      <c r="CX294">
        <v>8</v>
      </c>
      <c r="CY294">
        <v>7</v>
      </c>
      <c r="CZ294">
        <v>5</v>
      </c>
      <c r="DA294">
        <v>0.1</v>
      </c>
      <c r="DB294">
        <v>0.1</v>
      </c>
      <c r="DC294">
        <v>0.2</v>
      </c>
      <c r="DD294">
        <v>0.3</v>
      </c>
      <c r="DE294">
        <v>0.3</v>
      </c>
      <c r="DF294">
        <v>0.9</v>
      </c>
      <c r="DG294">
        <v>0.9</v>
      </c>
      <c r="DH294">
        <v>1.6</v>
      </c>
      <c r="DI294">
        <v>2.1</v>
      </c>
      <c r="DJ294">
        <v>1.5</v>
      </c>
      <c r="DK294">
        <v>6</v>
      </c>
      <c r="DL294">
        <v>0</v>
      </c>
      <c r="DM294">
        <v>6</v>
      </c>
      <c r="DN294">
        <v>8.4</v>
      </c>
      <c r="DO294">
        <f>AVERAGE(CV294:CZ294)</f>
        <v>7.6</v>
      </c>
      <c r="DQ294">
        <v>8</v>
      </c>
      <c r="DR294" t="s">
        <v>73</v>
      </c>
      <c r="DS294" t="s">
        <v>48</v>
      </c>
      <c r="DT294" t="s">
        <v>49</v>
      </c>
      <c r="DU294" t="s">
        <v>50</v>
      </c>
      <c r="DV294" t="s">
        <v>319</v>
      </c>
      <c r="DW294" t="s">
        <v>3769</v>
      </c>
      <c r="DX294" t="s">
        <v>3789</v>
      </c>
      <c r="DY294" t="s">
        <v>3826</v>
      </c>
      <c r="DZ294" t="s">
        <v>3827</v>
      </c>
      <c r="EA294" t="s">
        <v>3828</v>
      </c>
      <c r="EB294" t="s">
        <v>3793</v>
      </c>
      <c r="EC294" t="s">
        <v>3829</v>
      </c>
      <c r="ED294" t="s">
        <v>3827</v>
      </c>
      <c r="EE294" t="s">
        <v>3830</v>
      </c>
      <c r="EF294" t="s">
        <v>3797</v>
      </c>
      <c r="EG294" t="s">
        <v>3831</v>
      </c>
      <c r="EH294" t="s">
        <v>3827</v>
      </c>
      <c r="EI294" t="s">
        <v>3832</v>
      </c>
      <c r="EJ294" t="s">
        <v>3800</v>
      </c>
      <c r="EK294" t="s">
        <v>3833</v>
      </c>
      <c r="EL294" t="s">
        <v>3827</v>
      </c>
      <c r="EM294" t="s">
        <v>4288</v>
      </c>
      <c r="EN294" t="s">
        <v>3803</v>
      </c>
      <c r="EO294" t="s">
        <v>3835</v>
      </c>
      <c r="EP294" t="s">
        <v>3827</v>
      </c>
      <c r="EQ294">
        <v>8</v>
      </c>
      <c r="ER294">
        <v>8</v>
      </c>
      <c r="ES294">
        <v>8</v>
      </c>
      <c r="ET294">
        <v>8</v>
      </c>
      <c r="EU294">
        <v>8</v>
      </c>
      <c r="EV294">
        <v>0.1</v>
      </c>
      <c r="EW294">
        <v>0.1</v>
      </c>
      <c r="EX294">
        <v>0.2</v>
      </c>
      <c r="EY294">
        <v>0.3</v>
      </c>
      <c r="EZ294">
        <v>0.3</v>
      </c>
      <c r="FA294">
        <f>EV294*EQ294</f>
        <v>0.8</v>
      </c>
      <c r="FB294">
        <f>EW294*ER294</f>
        <v>0.8</v>
      </c>
      <c r="FC294">
        <f>EX294*ES294</f>
        <v>1.6</v>
      </c>
      <c r="FD294">
        <f>EY294*ET294</f>
        <v>2.4</v>
      </c>
      <c r="FE294">
        <f>EZ294*EU294</f>
        <v>2.4</v>
      </c>
      <c r="FF294">
        <v>16</v>
      </c>
      <c r="FG294">
        <v>0</v>
      </c>
      <c r="FH294">
        <v>8</v>
      </c>
      <c r="FI294">
        <f>FA294+FB294+FC294+FD294+FE294</f>
        <v>8</v>
      </c>
      <c r="FJ294">
        <f>MEDIAN(EQ294:EU294)</f>
        <v>8</v>
      </c>
      <c r="FL294">
        <v>40.24</v>
      </c>
      <c r="FM294">
        <v>8.6999999999999993</v>
      </c>
      <c r="FN294" t="s">
        <v>1358</v>
      </c>
      <c r="FO294" t="s">
        <v>1359</v>
      </c>
      <c r="FP294" t="s">
        <v>1360</v>
      </c>
      <c r="FQ294" t="s">
        <v>1361</v>
      </c>
      <c r="FR294" t="s">
        <v>1362</v>
      </c>
      <c r="FS294">
        <v>2.5</v>
      </c>
      <c r="FT294">
        <v>2</v>
      </c>
      <c r="FU294">
        <v>1.5</v>
      </c>
      <c r="FV294">
        <v>3</v>
      </c>
      <c r="FW294">
        <v>4</v>
      </c>
      <c r="FX294">
        <v>0.1</v>
      </c>
      <c r="FY294">
        <v>0.1</v>
      </c>
      <c r="FZ294">
        <v>0.2</v>
      </c>
      <c r="GA294">
        <v>0.3</v>
      </c>
      <c r="GB294">
        <v>0.3</v>
      </c>
      <c r="GC294">
        <f>FS294*FX294</f>
        <v>0.25</v>
      </c>
      <c r="GD294">
        <f>FT294*FY294</f>
        <v>0.2</v>
      </c>
      <c r="GE294">
        <f>FU294*FZ294</f>
        <v>0.30000000000000004</v>
      </c>
      <c r="GF294">
        <f>FV294*GA294</f>
        <v>0.89999999999999991</v>
      </c>
      <c r="GG294">
        <f>FW294*GB294</f>
        <v>1.2</v>
      </c>
      <c r="GH294">
        <v>8.6999999999999993</v>
      </c>
      <c r="GI294">
        <v>0</v>
      </c>
      <c r="GJ294">
        <v>8.6999999999999993</v>
      </c>
      <c r="GK294">
        <f>GC294+GD294+GE294+GF294+GG294</f>
        <v>2.8499999999999996</v>
      </c>
      <c r="GL294">
        <f>MEDIAN(FS294:FW294)</f>
        <v>2.5</v>
      </c>
    </row>
    <row r="295" spans="1:194" hidden="1" x14ac:dyDescent="0.25">
      <c r="A295">
        <v>294</v>
      </c>
      <c r="B295" t="s">
        <v>2</v>
      </c>
      <c r="C295" s="4">
        <v>74.25</v>
      </c>
      <c r="D295">
        <v>3.3</v>
      </c>
      <c r="E295" s="1">
        <f>C295/3/D295</f>
        <v>7.5</v>
      </c>
      <c r="G295">
        <v>38.07</v>
      </c>
      <c r="H295">
        <v>8</v>
      </c>
      <c r="I295">
        <f>H295*D295*3</f>
        <v>79.199999999999989</v>
      </c>
      <c r="J295">
        <v>18.350000000000001</v>
      </c>
      <c r="K295">
        <v>8.4</v>
      </c>
      <c r="L295" s="3">
        <f>K295*3*D295</f>
        <v>83.160000000000011</v>
      </c>
      <c r="M295">
        <v>4.96</v>
      </c>
      <c r="N295">
        <v>5</v>
      </c>
      <c r="O295">
        <f>N295*D295*3</f>
        <v>49.5</v>
      </c>
      <c r="P295" s="5">
        <v>8</v>
      </c>
      <c r="Q295" s="5">
        <f>P295*D295*3</f>
        <v>79.199999999999989</v>
      </c>
      <c r="S295" t="s">
        <v>6420</v>
      </c>
      <c r="T295">
        <v>8.1</v>
      </c>
      <c r="U295" s="8">
        <f>T295*D295*3</f>
        <v>80.19</v>
      </c>
      <c r="V295">
        <v>35.24</v>
      </c>
      <c r="W295">
        <v>8.5</v>
      </c>
      <c r="X295" s="5">
        <f>W295*D295*3</f>
        <v>84.149999999999991</v>
      </c>
      <c r="Y295">
        <v>12.28</v>
      </c>
      <c r="Z295">
        <v>7.6</v>
      </c>
      <c r="AA295">
        <f>Z295*D295*3</f>
        <v>75.239999999999995</v>
      </c>
      <c r="AC295">
        <v>137.02000000000001</v>
      </c>
      <c r="AD295">
        <v>7.9</v>
      </c>
      <c r="AE295" s="1">
        <f>AD295*3*D295</f>
        <v>78.210000000000008</v>
      </c>
      <c r="AF295">
        <v>11.95</v>
      </c>
      <c r="AG295" s="5">
        <v>7</v>
      </c>
      <c r="AH295" s="5">
        <f>AG295*D295*3</f>
        <v>69.3</v>
      </c>
      <c r="AI295" s="13"/>
      <c r="AJ295">
        <v>27</v>
      </c>
      <c r="AK295" s="8">
        <f>AJ295*D295*3</f>
        <v>267.29999999999995</v>
      </c>
      <c r="AL295" s="13"/>
      <c r="AM295">
        <v>30.09</v>
      </c>
      <c r="AN295">
        <v>7.2</v>
      </c>
      <c r="AO295" s="8">
        <f>AN295*D295*3</f>
        <v>71.28</v>
      </c>
      <c r="AP295">
        <v>13.62</v>
      </c>
      <c r="AQ295">
        <v>10</v>
      </c>
      <c r="AR295">
        <f>AQ295*D295*3</f>
        <v>99</v>
      </c>
      <c r="AT295">
        <v>8.5</v>
      </c>
      <c r="AU295">
        <f>AT295*D295*3</f>
        <v>84.149999999999991</v>
      </c>
      <c r="AX295">
        <v>9.1999999999999993</v>
      </c>
      <c r="AY295">
        <f>AX295*D295*3</f>
        <v>91.079999999999984</v>
      </c>
      <c r="BA295">
        <v>9</v>
      </c>
      <c r="BB295">
        <f>BA295*D295*3</f>
        <v>89.1</v>
      </c>
      <c r="BD295">
        <v>8.1</v>
      </c>
      <c r="BE295">
        <f>BD295*D295*3</f>
        <v>80.19</v>
      </c>
      <c r="BG295" s="10"/>
      <c r="BH295" s="1">
        <f>CHOOSE(MATCH(MIN(ABS(BP295-C295),ABS(BQ295-C295),ABS(BR295-C295)),CHOOSE({1;2;3},ABS(BP295-C295),ABS(BQ295-C295),ABS(BR295-C295)),0),BP295,BQ295,BR295)</f>
        <v>79.199999999999989</v>
      </c>
      <c r="BJ295" s="1" cm="1">
        <f t="array" ref="BJ295">(INDEX(_xlfn._xlws.SORT(CHOOSE({1;2;3;4;5;6},BQ295,BR295,L295,AE295,BO295,BP295)),3) + INDEX(_xlfn._xlws.SORT(CHOOSE({1;2;3;4;5;6},BQ295,BR295,L295,AE295,BO295,BP295)),4))/2</f>
        <v>81.180000000000007</v>
      </c>
      <c r="BK295">
        <v>7.5437923735985999</v>
      </c>
      <c r="BL295" t="s">
        <v>6117</v>
      </c>
      <c r="BM295" s="1">
        <f>BK295*3*D295</f>
        <v>74.683544498626134</v>
      </c>
      <c r="BN295" s="1">
        <f>BM295-C295</f>
        <v>0.43354449862613365</v>
      </c>
      <c r="BO295" s="1">
        <f>GK295*3*D295</f>
        <v>78.210000000000008</v>
      </c>
      <c r="BP295" s="1">
        <f>DO295*3*D295</f>
        <v>89.1</v>
      </c>
      <c r="BQ295" s="1">
        <f>FJ295*3*D295</f>
        <v>79.199999999999989</v>
      </c>
      <c r="BR295" s="1">
        <f>GL295*3*D295</f>
        <v>84.149999999999991</v>
      </c>
      <c r="BT295">
        <v>38.07</v>
      </c>
      <c r="BU295">
        <v>8</v>
      </c>
      <c r="BV295" t="s">
        <v>5003</v>
      </c>
      <c r="BW295" t="s">
        <v>5906</v>
      </c>
      <c r="BX295" t="s">
        <v>5136</v>
      </c>
      <c r="BY295" t="s">
        <v>5907</v>
      </c>
      <c r="BZ295" t="s">
        <v>5050</v>
      </c>
      <c r="CA295" t="s">
        <v>2790</v>
      </c>
      <c r="CC295" t="s">
        <v>2585</v>
      </c>
      <c r="CD295" t="s">
        <v>2744</v>
      </c>
      <c r="CE295" t="s">
        <v>2586</v>
      </c>
      <c r="CG295" t="s">
        <v>2791</v>
      </c>
      <c r="CH295" t="s">
        <v>2823</v>
      </c>
      <c r="CI295" t="s">
        <v>2567</v>
      </c>
      <c r="CK295" t="s">
        <v>2792</v>
      </c>
      <c r="CL295" t="s">
        <v>2825</v>
      </c>
      <c r="CM295" t="s">
        <v>2589</v>
      </c>
      <c r="CO295" t="s">
        <v>2793</v>
      </c>
      <c r="CP295" t="s">
        <v>2828</v>
      </c>
      <c r="CQ295" t="s">
        <v>3030</v>
      </c>
      <c r="CS295" t="s">
        <v>2794</v>
      </c>
      <c r="CT295" t="s">
        <v>2831</v>
      </c>
      <c r="CV295">
        <v>9</v>
      </c>
      <c r="CW295">
        <v>9</v>
      </c>
      <c r="CX295">
        <v>9</v>
      </c>
      <c r="CY295">
        <v>9</v>
      </c>
      <c r="CZ295">
        <v>9</v>
      </c>
      <c r="DA295">
        <v>0.1</v>
      </c>
      <c r="DB295">
        <v>0.1</v>
      </c>
      <c r="DC295">
        <v>0.2</v>
      </c>
      <c r="DD295">
        <v>0.3</v>
      </c>
      <c r="DE295">
        <v>0.3</v>
      </c>
      <c r="DF295">
        <v>0.9</v>
      </c>
      <c r="DG295">
        <v>0.9</v>
      </c>
      <c r="DH295">
        <v>1.8</v>
      </c>
      <c r="DI295">
        <v>2.7</v>
      </c>
      <c r="DJ295">
        <v>2.7</v>
      </c>
      <c r="DK295">
        <v>8</v>
      </c>
      <c r="DL295">
        <v>0</v>
      </c>
      <c r="DM295">
        <v>8</v>
      </c>
      <c r="DN295">
        <v>8.4</v>
      </c>
      <c r="DO295">
        <f>AVERAGE(CV295:CZ295)</f>
        <v>9</v>
      </c>
      <c r="DQ295">
        <v>8</v>
      </c>
      <c r="DR295" t="s">
        <v>28</v>
      </c>
      <c r="DS295" t="s">
        <v>493</v>
      </c>
      <c r="DT295" t="s">
        <v>494</v>
      </c>
      <c r="DU295" t="s">
        <v>157</v>
      </c>
      <c r="DV295" t="s">
        <v>495</v>
      </c>
      <c r="DW295" t="s">
        <v>3769</v>
      </c>
      <c r="DX295" t="s">
        <v>3770</v>
      </c>
      <c r="DY295" t="s">
        <v>3771</v>
      </c>
      <c r="DZ295" t="s">
        <v>3772</v>
      </c>
      <c r="EA295" t="s">
        <v>3806</v>
      </c>
      <c r="EB295" t="s">
        <v>3807</v>
      </c>
      <c r="EC295" t="s">
        <v>3775</v>
      </c>
      <c r="ED295" t="s">
        <v>3776</v>
      </c>
      <c r="EE295" t="s">
        <v>3819</v>
      </c>
      <c r="EF295" t="s">
        <v>3809</v>
      </c>
      <c r="EG295" t="s">
        <v>3810</v>
      </c>
      <c r="EH295" t="s">
        <v>3811</v>
      </c>
      <c r="EI295" t="s">
        <v>3820</v>
      </c>
      <c r="EJ295" t="s">
        <v>3813</v>
      </c>
      <c r="EK295" t="s">
        <v>3855</v>
      </c>
      <c r="EL295" t="s">
        <v>3856</v>
      </c>
      <c r="EM295" t="s">
        <v>3816</v>
      </c>
      <c r="EN295" t="s">
        <v>3823</v>
      </c>
      <c r="EO295" t="s">
        <v>3824</v>
      </c>
      <c r="EP295" t="s">
        <v>3857</v>
      </c>
      <c r="EQ295">
        <v>7</v>
      </c>
      <c r="ER295">
        <v>8</v>
      </c>
      <c r="ES295">
        <v>8</v>
      </c>
      <c r="ET295">
        <v>8</v>
      </c>
      <c r="EU295">
        <v>8</v>
      </c>
      <c r="EV295">
        <v>0.1</v>
      </c>
      <c r="EW295">
        <v>0.1</v>
      </c>
      <c r="EX295">
        <v>0.2</v>
      </c>
      <c r="EY295">
        <v>0.3</v>
      </c>
      <c r="EZ295">
        <v>0.3</v>
      </c>
      <c r="FA295">
        <f>EV295*EQ295</f>
        <v>0.70000000000000007</v>
      </c>
      <c r="FB295">
        <f>EW295*ER295</f>
        <v>0.8</v>
      </c>
      <c r="FC295">
        <f>EX295*ES295</f>
        <v>1.6</v>
      </c>
      <c r="FD295">
        <f>EY295*ET295</f>
        <v>2.4</v>
      </c>
      <c r="FE295">
        <f>EZ295*EU295</f>
        <v>2.4</v>
      </c>
      <c r="FF295">
        <v>15</v>
      </c>
      <c r="FG295">
        <v>0</v>
      </c>
      <c r="FH295">
        <v>8</v>
      </c>
      <c r="FI295">
        <f>FA295+FB295+FC295+FD295+FE295</f>
        <v>7.9</v>
      </c>
      <c r="FJ295">
        <f>MEDIAN(EQ295:EU295)</f>
        <v>8</v>
      </c>
      <c r="FL295">
        <v>45.63</v>
      </c>
      <c r="FM295">
        <v>8.4</v>
      </c>
      <c r="FN295" t="s">
        <v>2001</v>
      </c>
      <c r="FO295" t="s">
        <v>2002</v>
      </c>
      <c r="FP295" t="s">
        <v>2003</v>
      </c>
      <c r="FQ295" t="s">
        <v>2004</v>
      </c>
      <c r="FR295" t="s">
        <v>2005</v>
      </c>
      <c r="FS295">
        <v>10</v>
      </c>
      <c r="FT295">
        <v>10</v>
      </c>
      <c r="FU295">
        <v>8.5</v>
      </c>
      <c r="FV295">
        <v>7.5</v>
      </c>
      <c r="FW295">
        <v>6.5</v>
      </c>
      <c r="FX295">
        <v>0.1</v>
      </c>
      <c r="FY295">
        <v>0.1</v>
      </c>
      <c r="FZ295">
        <v>0.2</v>
      </c>
      <c r="GA295">
        <v>0.3</v>
      </c>
      <c r="GB295">
        <v>0.3</v>
      </c>
      <c r="GC295">
        <f>FS295*FX295</f>
        <v>1</v>
      </c>
      <c r="GD295">
        <f>FT295*FY295</f>
        <v>1</v>
      </c>
      <c r="GE295">
        <f>FU295*FZ295</f>
        <v>1.7000000000000002</v>
      </c>
      <c r="GF295">
        <f>FV295*GA295</f>
        <v>2.25</v>
      </c>
      <c r="GG295">
        <f>FW295*GB295</f>
        <v>1.95</v>
      </c>
      <c r="GH295">
        <v>8.4</v>
      </c>
      <c r="GJ295">
        <v>8.4</v>
      </c>
      <c r="GK295">
        <f>GC295+GD295+GE295+GF295+GG295</f>
        <v>7.9</v>
      </c>
      <c r="GL295">
        <f>MEDIAN(FS295:FW295)</f>
        <v>8.5</v>
      </c>
    </row>
    <row r="296" spans="1:194" hidden="1" x14ac:dyDescent="0.25">
      <c r="A296">
        <v>295</v>
      </c>
      <c r="B296" t="s">
        <v>2</v>
      </c>
      <c r="C296" s="4">
        <v>81</v>
      </c>
      <c r="D296">
        <v>3.6</v>
      </c>
      <c r="E296" s="1">
        <f>C296/3/D296</f>
        <v>7.5</v>
      </c>
      <c r="G296">
        <v>40.79</v>
      </c>
      <c r="H296">
        <v>6.5</v>
      </c>
      <c r="I296">
        <f>H296*D296*3</f>
        <v>70.2</v>
      </c>
      <c r="J296">
        <v>16.39</v>
      </c>
      <c r="K296">
        <v>8.4</v>
      </c>
      <c r="L296" s="3">
        <f>K296*3*D296</f>
        <v>90.720000000000013</v>
      </c>
      <c r="M296">
        <v>5.92</v>
      </c>
      <c r="N296">
        <v>6.8</v>
      </c>
      <c r="O296">
        <f>N296*D296*3</f>
        <v>73.44</v>
      </c>
      <c r="P296" s="5">
        <v>8.6999999999999993</v>
      </c>
      <c r="Q296" s="5">
        <f>P296*D296*3</f>
        <v>93.96</v>
      </c>
      <c r="S296" t="s">
        <v>6421</v>
      </c>
      <c r="T296">
        <v>5.0999999999999996</v>
      </c>
      <c r="U296" s="8">
        <f>T296*D296*3</f>
        <v>55.08</v>
      </c>
      <c r="V296">
        <v>29.59</v>
      </c>
      <c r="W296">
        <v>9</v>
      </c>
      <c r="X296" s="5">
        <f>W296*D296*3</f>
        <v>97.199999999999989</v>
      </c>
      <c r="Y296">
        <v>12.16</v>
      </c>
      <c r="Z296">
        <v>7.5</v>
      </c>
      <c r="AA296">
        <f>Z296*D296*3</f>
        <v>81</v>
      </c>
      <c r="AC296">
        <v>155.24</v>
      </c>
      <c r="AD296">
        <v>7.1</v>
      </c>
      <c r="AE296" s="1">
        <f>AD296*3*D296</f>
        <v>76.679999999999993</v>
      </c>
      <c r="AF296">
        <v>12.17</v>
      </c>
      <c r="AG296" s="5">
        <v>7</v>
      </c>
      <c r="AH296" s="5">
        <f>AG296*D296*3</f>
        <v>75.599999999999994</v>
      </c>
      <c r="AI296" s="13"/>
      <c r="AJ296">
        <v>2.7</v>
      </c>
      <c r="AK296" s="8">
        <f>AJ296*D296*3</f>
        <v>29.160000000000004</v>
      </c>
      <c r="AL296" s="13"/>
      <c r="AM296">
        <v>31.06</v>
      </c>
      <c r="AN296">
        <v>7.2</v>
      </c>
      <c r="AO296" s="8">
        <f>AN296*D296*3</f>
        <v>77.760000000000005</v>
      </c>
      <c r="AP296">
        <v>14.44</v>
      </c>
      <c r="AQ296">
        <v>8.6</v>
      </c>
      <c r="AR296">
        <f>AQ296*D296*3</f>
        <v>92.88</v>
      </c>
      <c r="AT296">
        <v>8.8000000000000007</v>
      </c>
      <c r="AU296">
        <f>AT296*D296*3</f>
        <v>95.04</v>
      </c>
      <c r="AX296">
        <v>9.6</v>
      </c>
      <c r="AY296">
        <f>AX296*D296*3</f>
        <v>103.68</v>
      </c>
      <c r="BA296">
        <v>7.6</v>
      </c>
      <c r="BB296">
        <f>BA296*D296*3</f>
        <v>82.08</v>
      </c>
      <c r="BD296">
        <v>9</v>
      </c>
      <c r="BE296">
        <f>BD296*D296*3</f>
        <v>97.199999999999989</v>
      </c>
      <c r="BG296" s="10"/>
      <c r="BH296" s="1">
        <f>CHOOSE(MATCH(MIN(ABS(BP296-C296),ABS(BQ296-C296),ABS(BR296-C296)),CHOOSE({1;2;3},ABS(BP296-C296),ABS(BQ296-C296),ABS(BR296-C296)),0),BP296,BQ296,BR296)</f>
        <v>77.760000000000005</v>
      </c>
      <c r="BJ296" s="1" cm="1">
        <f t="array" ref="BJ296">(INDEX(_xlfn._xlws.SORT(CHOOSE({1;2;3;4;5;6},BQ296,BR296,L296,AE296,BO296,BP296)),3) + INDEX(_xlfn._xlws.SORT(CHOOSE({1;2;3;4;5;6},BQ296,BR296,L296,AE296,BO296,BP296)),4))/2</f>
        <v>76.14</v>
      </c>
      <c r="BK296">
        <v>7.5167506593699702</v>
      </c>
      <c r="BL296" t="s">
        <v>6117</v>
      </c>
      <c r="BM296" s="1">
        <f>BK296*3*D296</f>
        <v>81.180907121195688</v>
      </c>
      <c r="BN296" s="1">
        <f>BM296-C296</f>
        <v>0.18090712119568764</v>
      </c>
      <c r="BO296" s="1">
        <f>GK296*3*D296</f>
        <v>73.440000000000012</v>
      </c>
      <c r="BP296" s="1">
        <f>DO296*3*D296</f>
        <v>77.760000000000005</v>
      </c>
      <c r="BQ296" s="1">
        <f>FJ296*3*D296</f>
        <v>75.600000000000009</v>
      </c>
      <c r="BR296" s="1">
        <f>GL296*3*D296</f>
        <v>70.2</v>
      </c>
      <c r="BT296">
        <v>40.79</v>
      </c>
      <c r="BU296">
        <v>6.5</v>
      </c>
      <c r="BV296" t="s">
        <v>5367</v>
      </c>
      <c r="BW296" t="s">
        <v>5056</v>
      </c>
      <c r="BX296" t="s">
        <v>5057</v>
      </c>
      <c r="BY296" t="s">
        <v>4984</v>
      </c>
      <c r="BZ296" t="s">
        <v>5091</v>
      </c>
      <c r="CA296" t="s">
        <v>2437</v>
      </c>
      <c r="CC296" t="s">
        <v>2438</v>
      </c>
      <c r="CD296" t="s">
        <v>2439</v>
      </c>
      <c r="CE296" t="s">
        <v>2440</v>
      </c>
      <c r="CG296" t="s">
        <v>2647</v>
      </c>
      <c r="CH296" t="s">
        <v>2648</v>
      </c>
      <c r="CI296" t="s">
        <v>2535</v>
      </c>
      <c r="CJ296" t="s">
        <v>2427</v>
      </c>
      <c r="CK296" t="s">
        <v>3004</v>
      </c>
      <c r="CL296" t="s">
        <v>3005</v>
      </c>
      <c r="CM296" t="s">
        <v>3006</v>
      </c>
      <c r="CN296" t="s">
        <v>3006</v>
      </c>
      <c r="CO296" t="s">
        <v>3540</v>
      </c>
      <c r="CP296" t="s">
        <v>3541</v>
      </c>
      <c r="CQ296" t="s">
        <v>3009</v>
      </c>
      <c r="CR296" t="s">
        <v>3009</v>
      </c>
      <c r="CS296" t="s">
        <v>3010</v>
      </c>
      <c r="CT296" t="s">
        <v>3542</v>
      </c>
      <c r="CV296">
        <v>9</v>
      </c>
      <c r="CW296">
        <v>9</v>
      </c>
      <c r="CX296">
        <v>7</v>
      </c>
      <c r="CY296">
        <v>6</v>
      </c>
      <c r="CZ296">
        <v>5</v>
      </c>
      <c r="DA296">
        <v>0.1</v>
      </c>
      <c r="DB296">
        <v>0.1</v>
      </c>
      <c r="DC296">
        <v>0.2</v>
      </c>
      <c r="DD296">
        <v>0.3</v>
      </c>
      <c r="DE296">
        <v>0.3</v>
      </c>
      <c r="DF296">
        <v>0.9</v>
      </c>
      <c r="DG296">
        <v>0.9</v>
      </c>
      <c r="DH296">
        <v>1.4</v>
      </c>
      <c r="DI296">
        <v>1.8</v>
      </c>
      <c r="DJ296">
        <v>1.5</v>
      </c>
      <c r="DK296">
        <v>6.5</v>
      </c>
      <c r="DL296">
        <v>0</v>
      </c>
      <c r="DM296">
        <v>6.5</v>
      </c>
      <c r="DN296">
        <v>8.4</v>
      </c>
      <c r="DO296">
        <f>AVERAGE(CV296:CZ296)</f>
        <v>7.2</v>
      </c>
      <c r="DQ296" t="s">
        <v>125</v>
      </c>
      <c r="DR296" t="s">
        <v>33</v>
      </c>
      <c r="DS296" t="s">
        <v>336</v>
      </c>
      <c r="DT296" t="s">
        <v>279</v>
      </c>
      <c r="DU296" t="s">
        <v>314</v>
      </c>
      <c r="DV296" t="s">
        <v>315</v>
      </c>
      <c r="DW296" t="s">
        <v>3788</v>
      </c>
      <c r="DX296" t="s">
        <v>3789</v>
      </c>
      <c r="DY296" t="s">
        <v>4145</v>
      </c>
      <c r="DZ296" t="s">
        <v>4145</v>
      </c>
      <c r="EA296" t="s">
        <v>3993</v>
      </c>
      <c r="EB296" t="s">
        <v>4146</v>
      </c>
      <c r="EC296" t="s">
        <v>4424</v>
      </c>
      <c r="ED296" t="s">
        <v>4424</v>
      </c>
      <c r="EE296" t="s">
        <v>4425</v>
      </c>
      <c r="EF296" t="s">
        <v>4426</v>
      </c>
      <c r="EG296" t="s">
        <v>4426</v>
      </c>
      <c r="EH296" t="s">
        <v>4426</v>
      </c>
      <c r="EI296" t="s">
        <v>3981</v>
      </c>
      <c r="EJ296" t="s">
        <v>4496</v>
      </c>
      <c r="EK296" t="s">
        <v>4496</v>
      </c>
      <c r="EL296" t="s">
        <v>4496</v>
      </c>
      <c r="EM296" t="s">
        <v>4497</v>
      </c>
      <c r="EN296" t="s">
        <v>4429</v>
      </c>
      <c r="EO296" t="s">
        <v>4498</v>
      </c>
      <c r="EP296" t="s">
        <v>4498</v>
      </c>
      <c r="EQ296">
        <v>8</v>
      </c>
      <c r="ER296">
        <v>7</v>
      </c>
      <c r="ES296">
        <v>7</v>
      </c>
      <c r="ET296">
        <v>7</v>
      </c>
      <c r="EU296">
        <v>7</v>
      </c>
      <c r="EV296">
        <v>0.1</v>
      </c>
      <c r="EW296">
        <v>0.1</v>
      </c>
      <c r="EX296">
        <v>0.2</v>
      </c>
      <c r="EY296">
        <v>0.3</v>
      </c>
      <c r="EZ296">
        <v>0.3</v>
      </c>
      <c r="FA296">
        <f>EV296*EQ296</f>
        <v>0.8</v>
      </c>
      <c r="FB296">
        <f>EW296*ER296</f>
        <v>0.70000000000000007</v>
      </c>
      <c r="FC296">
        <f>EX296*ES296</f>
        <v>1.4000000000000001</v>
      </c>
      <c r="FD296">
        <f>EY296*ET296</f>
        <v>2.1</v>
      </c>
      <c r="FE296">
        <f>EZ296*EU296</f>
        <v>2.1</v>
      </c>
      <c r="FF296">
        <v>19</v>
      </c>
      <c r="FG296">
        <v>0</v>
      </c>
      <c r="FH296">
        <v>9</v>
      </c>
      <c r="FI296">
        <f>FA296+FB296+FC296+FD296+FE296</f>
        <v>7.1</v>
      </c>
      <c r="FJ296">
        <f>MEDIAN(EQ296:EU296)</f>
        <v>7</v>
      </c>
      <c r="FL296">
        <v>37.380000000000003</v>
      </c>
      <c r="FM296">
        <v>8.4</v>
      </c>
      <c r="FN296" t="s">
        <v>2006</v>
      </c>
      <c r="FO296" t="s">
        <v>2007</v>
      </c>
      <c r="FP296" t="s">
        <v>2008</v>
      </c>
      <c r="FQ296" t="s">
        <v>974</v>
      </c>
      <c r="FR296" t="s">
        <v>2009</v>
      </c>
      <c r="FS296">
        <v>5</v>
      </c>
      <c r="FT296">
        <v>7.5</v>
      </c>
      <c r="FU296">
        <v>6</v>
      </c>
      <c r="FV296">
        <v>6.5</v>
      </c>
      <c r="FW296">
        <v>8</v>
      </c>
      <c r="FX296">
        <v>0.1</v>
      </c>
      <c r="FY296">
        <v>0.1</v>
      </c>
      <c r="FZ296">
        <v>0.2</v>
      </c>
      <c r="GA296">
        <v>0.3</v>
      </c>
      <c r="GB296">
        <v>0.3</v>
      </c>
      <c r="GC296">
        <f>FS296*FX296</f>
        <v>0.5</v>
      </c>
      <c r="GD296">
        <f>FT296*FY296</f>
        <v>0.75</v>
      </c>
      <c r="GE296">
        <f>FU296*FZ296</f>
        <v>1.2000000000000002</v>
      </c>
      <c r="GF296">
        <f>FV296*GA296</f>
        <v>1.95</v>
      </c>
      <c r="GG296">
        <f>FW296*GB296</f>
        <v>2.4</v>
      </c>
      <c r="GH296">
        <v>8.4</v>
      </c>
      <c r="GI296">
        <v>0</v>
      </c>
      <c r="GJ296">
        <v>8.4</v>
      </c>
      <c r="GK296">
        <f>GC296+GD296+GE296+GF296+GG296</f>
        <v>6.8000000000000007</v>
      </c>
      <c r="GL296">
        <f>MEDIAN(FS296:FW296)</f>
        <v>6.5</v>
      </c>
    </row>
    <row r="297" spans="1:194" hidden="1" x14ac:dyDescent="0.25">
      <c r="A297">
        <v>296</v>
      </c>
      <c r="B297" t="s">
        <v>2</v>
      </c>
      <c r="C297" s="4">
        <v>79.2</v>
      </c>
      <c r="D297">
        <v>3.3</v>
      </c>
      <c r="E297" s="1">
        <f>C297/3/D297</f>
        <v>8.0000000000000018</v>
      </c>
      <c r="G297">
        <v>39.07</v>
      </c>
      <c r="H297">
        <v>8.1</v>
      </c>
      <c r="I297">
        <f>H297*D297*3</f>
        <v>80.19</v>
      </c>
      <c r="J297">
        <v>18.54</v>
      </c>
      <c r="K297">
        <v>9</v>
      </c>
      <c r="L297" s="3">
        <f>K297*3*D297</f>
        <v>89.1</v>
      </c>
      <c r="M297">
        <v>4.78</v>
      </c>
      <c r="N297">
        <v>3</v>
      </c>
      <c r="O297">
        <f>N297*D297*3</f>
        <v>29.699999999999996</v>
      </c>
      <c r="P297" s="5">
        <v>7.9</v>
      </c>
      <c r="Q297" s="5">
        <f>P297*D297*3</f>
        <v>78.210000000000008</v>
      </c>
      <c r="S297" t="s">
        <v>6422</v>
      </c>
      <c r="T297">
        <v>5.7</v>
      </c>
      <c r="U297" s="8">
        <f>T297*D297*3</f>
        <v>56.429999999999993</v>
      </c>
      <c r="V297">
        <v>30.41</v>
      </c>
      <c r="W297">
        <v>8</v>
      </c>
      <c r="X297" s="5">
        <f>W297*D297*3</f>
        <v>79.199999999999989</v>
      </c>
      <c r="Y297">
        <v>12.94</v>
      </c>
      <c r="Z297">
        <v>7.8</v>
      </c>
      <c r="AA297">
        <f>Z297*D297*3</f>
        <v>77.22</v>
      </c>
      <c r="AC297">
        <v>138.54</v>
      </c>
      <c r="AD297">
        <v>8</v>
      </c>
      <c r="AE297" s="1">
        <f>AD297*3*D297</f>
        <v>79.199999999999989</v>
      </c>
      <c r="AF297">
        <v>13.36</v>
      </c>
      <c r="AH297" s="5">
        <f>AG297*D297*3</f>
        <v>0</v>
      </c>
      <c r="AI297" s="13"/>
      <c r="AJ297">
        <v>23</v>
      </c>
      <c r="AK297" s="8">
        <f>AJ297*D297*3</f>
        <v>227.7</v>
      </c>
      <c r="AL297" s="13"/>
      <c r="AM297">
        <v>28.8</v>
      </c>
      <c r="AN297">
        <v>7.3</v>
      </c>
      <c r="AO297" s="8">
        <f>AN297*D297*3</f>
        <v>72.27</v>
      </c>
      <c r="AP297">
        <v>11.88</v>
      </c>
      <c r="AQ297">
        <v>10</v>
      </c>
      <c r="AR297">
        <f>AQ297*D297*3</f>
        <v>99</v>
      </c>
      <c r="AT297">
        <v>9</v>
      </c>
      <c r="AU297">
        <f>AT297*D297*3</f>
        <v>89.1</v>
      </c>
      <c r="AX297">
        <v>9.4</v>
      </c>
      <c r="AY297">
        <f>AX297*D297*3</f>
        <v>93.06</v>
      </c>
      <c r="BA297">
        <v>8.6</v>
      </c>
      <c r="BB297">
        <f>BA297*D297*3</f>
        <v>85.14</v>
      </c>
      <c r="BD297">
        <v>8.9</v>
      </c>
      <c r="BE297">
        <f>BD297*D297*3</f>
        <v>88.11</v>
      </c>
      <c r="BG297" s="10"/>
      <c r="BH297" s="1">
        <f>CHOOSE(MATCH(MIN(ABS(BP297-C297),ABS(BQ297-C297),ABS(BR297-C297)),CHOOSE({1;2;3},ABS(BP297-C297),ABS(BQ297-C297),ABS(BR297-C297)),0),BP297,BQ297,BR297)</f>
        <v>79.199999999999989</v>
      </c>
      <c r="BJ297" s="1" cm="1">
        <f t="array" ref="BJ297">(INDEX(_xlfn._xlws.SORT(CHOOSE({1;2;3;4;5;6},BQ297,BR297,L297,AE297,BO297,BP297)),3) + INDEX(_xlfn._xlws.SORT(CHOOSE({1;2;3;4;5;6},BQ297,BR297,L297,AE297,BO297,BP297)),4))/2</f>
        <v>79.199999999999989</v>
      </c>
      <c r="BK297">
        <v>7.99094289878862</v>
      </c>
      <c r="BL297" t="s">
        <v>6117</v>
      </c>
      <c r="BM297" s="1">
        <f>BK297*3*D297</f>
        <v>79.110334698007335</v>
      </c>
      <c r="BN297" s="1">
        <f>BM297-C297</f>
        <v>-8.9665301992667423E-2</v>
      </c>
      <c r="BO297" s="1">
        <f>GK297*3*D297</f>
        <v>53.460000000000008</v>
      </c>
      <c r="BP297" s="1">
        <f>DO297*3*D297</f>
        <v>87.12</v>
      </c>
      <c r="BQ297" s="1">
        <f>FJ297*3*D297</f>
        <v>79.199999999999989</v>
      </c>
      <c r="BR297" s="1">
        <f>GL297*3*D297</f>
        <v>49.5</v>
      </c>
      <c r="BT297">
        <v>39.07</v>
      </c>
      <c r="BU297">
        <v>8.1</v>
      </c>
      <c r="BV297" t="s">
        <v>5908</v>
      </c>
      <c r="BW297" t="s">
        <v>5691</v>
      </c>
      <c r="BX297" t="s">
        <v>5909</v>
      </c>
      <c r="BY297" t="s">
        <v>5910</v>
      </c>
      <c r="BZ297" t="s">
        <v>5911</v>
      </c>
      <c r="CA297" t="s">
        <v>2420</v>
      </c>
      <c r="CC297" t="s">
        <v>2491</v>
      </c>
      <c r="CD297" t="s">
        <v>2492</v>
      </c>
      <c r="CE297" t="s">
        <v>2572</v>
      </c>
      <c r="CG297" t="s">
        <v>2573</v>
      </c>
      <c r="CH297" t="s">
        <v>2495</v>
      </c>
      <c r="CI297" t="s">
        <v>2575</v>
      </c>
      <c r="CJ297" t="s">
        <v>2427</v>
      </c>
      <c r="CK297" t="s">
        <v>2734</v>
      </c>
      <c r="CL297" t="s">
        <v>2729</v>
      </c>
      <c r="CM297" t="s">
        <v>2578</v>
      </c>
      <c r="CO297" t="s">
        <v>3543</v>
      </c>
      <c r="CP297" t="s">
        <v>2501</v>
      </c>
      <c r="CQ297" t="s">
        <v>3544</v>
      </c>
      <c r="CS297" t="s">
        <v>3545</v>
      </c>
      <c r="CT297" t="s">
        <v>3386</v>
      </c>
      <c r="CV297">
        <v>9</v>
      </c>
      <c r="CW297">
        <v>9</v>
      </c>
      <c r="CX297">
        <v>8</v>
      </c>
      <c r="CY297">
        <v>9</v>
      </c>
      <c r="CZ297">
        <v>9</v>
      </c>
      <c r="DA297">
        <v>0.1</v>
      </c>
      <c r="DB297">
        <v>0.1</v>
      </c>
      <c r="DC297">
        <v>0.2</v>
      </c>
      <c r="DD297">
        <v>0.3</v>
      </c>
      <c r="DE297">
        <v>0.3</v>
      </c>
      <c r="DF297">
        <v>0.9</v>
      </c>
      <c r="DG297">
        <v>0.9</v>
      </c>
      <c r="DH297">
        <v>1.6</v>
      </c>
      <c r="DI297">
        <v>2.7</v>
      </c>
      <c r="DJ297">
        <v>2.7</v>
      </c>
      <c r="DK297">
        <v>8.1</v>
      </c>
      <c r="DL297">
        <v>0</v>
      </c>
      <c r="DM297">
        <v>8.1</v>
      </c>
      <c r="DN297">
        <v>9</v>
      </c>
      <c r="DO297">
        <f>AVERAGE(CV297:CZ297)</f>
        <v>8.8000000000000007</v>
      </c>
      <c r="DQ297">
        <v>8</v>
      </c>
      <c r="DR297" t="s">
        <v>33</v>
      </c>
      <c r="DS297" t="s">
        <v>34</v>
      </c>
      <c r="DT297" t="s">
        <v>35</v>
      </c>
      <c r="DU297" t="s">
        <v>36</v>
      </c>
      <c r="DV297" t="s">
        <v>200</v>
      </c>
      <c r="DW297" t="s">
        <v>3788</v>
      </c>
      <c r="DX297" t="s">
        <v>3789</v>
      </c>
      <c r="DY297" t="s">
        <v>3790</v>
      </c>
      <c r="DZ297" t="s">
        <v>3791</v>
      </c>
      <c r="EA297" t="s">
        <v>3792</v>
      </c>
      <c r="EB297" t="s">
        <v>3793</v>
      </c>
      <c r="EC297" t="s">
        <v>3794</v>
      </c>
      <c r="ED297" t="s">
        <v>3795</v>
      </c>
      <c r="EE297" t="s">
        <v>3796</v>
      </c>
      <c r="EF297" t="s">
        <v>3797</v>
      </c>
      <c r="EG297" t="s">
        <v>3798</v>
      </c>
      <c r="EH297" t="s">
        <v>3798</v>
      </c>
      <c r="EI297" t="s">
        <v>3799</v>
      </c>
      <c r="EJ297" t="s">
        <v>3800</v>
      </c>
      <c r="EK297" t="s">
        <v>3801</v>
      </c>
      <c r="EL297" t="s">
        <v>3801</v>
      </c>
      <c r="EM297" t="s">
        <v>4227</v>
      </c>
      <c r="EN297" t="s">
        <v>3803</v>
      </c>
      <c r="EO297" t="s">
        <v>4228</v>
      </c>
      <c r="EP297" t="s">
        <v>4229</v>
      </c>
      <c r="EQ297">
        <v>8</v>
      </c>
      <c r="ER297">
        <v>8</v>
      </c>
      <c r="ES297">
        <v>8</v>
      </c>
      <c r="ET297">
        <v>8</v>
      </c>
      <c r="EU297">
        <v>8</v>
      </c>
      <c r="EV297">
        <v>0.1</v>
      </c>
      <c r="EW297">
        <v>0.1</v>
      </c>
      <c r="EX297">
        <v>0.2</v>
      </c>
      <c r="EY297">
        <v>0.3</v>
      </c>
      <c r="EZ297">
        <v>0.3</v>
      </c>
      <c r="FA297">
        <f>EV297*EQ297</f>
        <v>0.8</v>
      </c>
      <c r="FB297">
        <f>EW297*ER297</f>
        <v>0.8</v>
      </c>
      <c r="FC297">
        <f>EX297*ES297</f>
        <v>1.6</v>
      </c>
      <c r="FD297">
        <f>EY297*ET297</f>
        <v>2.4</v>
      </c>
      <c r="FE297">
        <f>EZ297*EU297</f>
        <v>2.4</v>
      </c>
      <c r="FF297">
        <v>17</v>
      </c>
      <c r="FG297">
        <v>0</v>
      </c>
      <c r="FH297">
        <v>8</v>
      </c>
      <c r="FI297">
        <f>FA297+FB297+FC297+FD297+FE297</f>
        <v>8</v>
      </c>
      <c r="FJ297">
        <f>MEDIAN(EQ297:EU297)</f>
        <v>8</v>
      </c>
      <c r="FL297">
        <v>38.79</v>
      </c>
      <c r="FM297">
        <v>9</v>
      </c>
      <c r="FN297" t="s">
        <v>2010</v>
      </c>
      <c r="FO297" t="s">
        <v>2011</v>
      </c>
      <c r="FP297" t="s">
        <v>2012</v>
      </c>
      <c r="FQ297" t="s">
        <v>2013</v>
      </c>
      <c r="FR297" t="s">
        <v>2014</v>
      </c>
      <c r="FS297">
        <v>5</v>
      </c>
      <c r="FT297">
        <v>4</v>
      </c>
      <c r="FU297">
        <v>3</v>
      </c>
      <c r="FV297">
        <v>6</v>
      </c>
      <c r="FW297">
        <v>7</v>
      </c>
      <c r="FX297">
        <v>0.1</v>
      </c>
      <c r="FY297">
        <v>0.1</v>
      </c>
      <c r="FZ297">
        <v>0.2</v>
      </c>
      <c r="GA297">
        <v>0.3</v>
      </c>
      <c r="GB297">
        <v>0.3</v>
      </c>
      <c r="GC297">
        <f>FS297*FX297</f>
        <v>0.5</v>
      </c>
      <c r="GD297">
        <f>FT297*FY297</f>
        <v>0.4</v>
      </c>
      <c r="GE297">
        <f>FU297*FZ297</f>
        <v>0.60000000000000009</v>
      </c>
      <c r="GF297">
        <f>FV297*GA297</f>
        <v>1.7999999999999998</v>
      </c>
      <c r="GG297">
        <f>FW297*GB297</f>
        <v>2.1</v>
      </c>
      <c r="GH297">
        <v>9</v>
      </c>
      <c r="GI297">
        <v>0</v>
      </c>
      <c r="GJ297">
        <v>9</v>
      </c>
      <c r="GK297">
        <f>GC297+GD297+GE297+GF297+GG297</f>
        <v>5.4</v>
      </c>
      <c r="GL297">
        <f>MEDIAN(FS297:FW297)</f>
        <v>5</v>
      </c>
    </row>
    <row r="298" spans="1:194" hidden="1" x14ac:dyDescent="0.25">
      <c r="A298">
        <v>297</v>
      </c>
      <c r="B298" t="s">
        <v>2</v>
      </c>
      <c r="C298" s="4">
        <v>95.2</v>
      </c>
      <c r="D298">
        <v>3.4</v>
      </c>
      <c r="E298" s="1">
        <f>C298/3/D298</f>
        <v>9.3333333333333339</v>
      </c>
      <c r="G298">
        <v>34.24</v>
      </c>
      <c r="H298">
        <v>8.1999999999999993</v>
      </c>
      <c r="I298">
        <f>H298*D298*3</f>
        <v>83.639999999999986</v>
      </c>
      <c r="J298">
        <v>18.68</v>
      </c>
      <c r="K298">
        <v>9</v>
      </c>
      <c r="L298" s="3">
        <f>K298*3*D298</f>
        <v>91.8</v>
      </c>
      <c r="M298">
        <v>4.76</v>
      </c>
      <c r="N298">
        <v>5</v>
      </c>
      <c r="O298">
        <f>N298*D298*3</f>
        <v>51</v>
      </c>
      <c r="P298" s="5">
        <v>7</v>
      </c>
      <c r="Q298" s="5">
        <f>P298*D298*3</f>
        <v>71.400000000000006</v>
      </c>
      <c r="S298" t="s">
        <v>6423</v>
      </c>
      <c r="T298">
        <v>5.6</v>
      </c>
      <c r="U298" s="8">
        <f>T298*D298*3</f>
        <v>57.12</v>
      </c>
      <c r="V298">
        <v>33.14</v>
      </c>
      <c r="W298">
        <v>8.4</v>
      </c>
      <c r="X298" s="5">
        <f>W298*D298*3</f>
        <v>85.679999999999993</v>
      </c>
      <c r="Y298">
        <v>12.44</v>
      </c>
      <c r="Z298">
        <v>7.6</v>
      </c>
      <c r="AA298">
        <f>Z298*D298*3</f>
        <v>77.52</v>
      </c>
      <c r="AC298">
        <v>133.44999999999999</v>
      </c>
      <c r="AD298">
        <v>8</v>
      </c>
      <c r="AE298" s="1">
        <f>AD298*3*D298</f>
        <v>81.599999999999994</v>
      </c>
      <c r="AF298">
        <v>13.25</v>
      </c>
      <c r="AH298" s="5">
        <f>AG298*D298*3</f>
        <v>0</v>
      </c>
      <c r="AI298" s="13"/>
      <c r="AJ298">
        <v>0.9</v>
      </c>
      <c r="AK298" s="8">
        <f>AJ298*D298*3</f>
        <v>9.18</v>
      </c>
      <c r="AL298" s="13"/>
      <c r="AM298">
        <v>30.86</v>
      </c>
      <c r="AN298">
        <v>7.3</v>
      </c>
      <c r="AO298" s="8">
        <f>AN298*D298*3</f>
        <v>74.460000000000008</v>
      </c>
      <c r="AP298">
        <v>15.2</v>
      </c>
      <c r="AQ298">
        <v>10</v>
      </c>
      <c r="AR298">
        <f>AQ298*D298*3</f>
        <v>102</v>
      </c>
      <c r="AT298">
        <v>9.3000000000000007</v>
      </c>
      <c r="AU298">
        <f>AT298*D298*3</f>
        <v>94.86</v>
      </c>
      <c r="AX298">
        <v>9.6</v>
      </c>
      <c r="AY298">
        <f>AX298*D298*3</f>
        <v>97.92</v>
      </c>
      <c r="BA298">
        <v>9.4</v>
      </c>
      <c r="BB298">
        <f>BA298*D298*3</f>
        <v>95.88</v>
      </c>
      <c r="BD298">
        <v>8.6999999999999993</v>
      </c>
      <c r="BE298">
        <f>BD298*D298*3</f>
        <v>88.74</v>
      </c>
      <c r="BG298" s="10"/>
      <c r="BH298" s="1">
        <f>CHOOSE(MATCH(MIN(ABS(BP298-C298),ABS(BQ298-C298),ABS(BR298-C298)),CHOOSE({1;2;3},ABS(BP298-C298),ABS(BQ298-C298),ABS(BR298-C298)),0),BP298,BQ298,BR298)</f>
        <v>91.8</v>
      </c>
      <c r="BJ298" s="1" cm="1">
        <f t="array" ref="BJ298">(INDEX(_xlfn._xlws.SORT(CHOOSE({1;2;3;4;5;6},BQ298,BR298,L298,AE298,BO298,BP298)),3) + INDEX(_xlfn._xlws.SORT(CHOOSE({1;2;3;4;5;6},BQ298,BR298,L298,AE298,BO298,BP298)),4))/2</f>
        <v>90.78</v>
      </c>
      <c r="BK298">
        <v>9.2429903582051391</v>
      </c>
      <c r="BL298" t="s">
        <v>6117</v>
      </c>
      <c r="BM298" s="1">
        <f>BK298*3*D298</f>
        <v>94.278501653692416</v>
      </c>
      <c r="BN298" s="1">
        <f>BM298-C298</f>
        <v>-0.92149834630758676</v>
      </c>
      <c r="BO298" s="1">
        <f>GK298*3*D298</f>
        <v>89.76</v>
      </c>
      <c r="BP298" s="1">
        <f>DO298*3*D298</f>
        <v>91.8</v>
      </c>
      <c r="BQ298" s="1">
        <f>FJ298*3*D298</f>
        <v>81.599999999999994</v>
      </c>
      <c r="BR298" s="1">
        <f>GL298*3*D298</f>
        <v>102</v>
      </c>
      <c r="BT298">
        <v>34.24</v>
      </c>
      <c r="BU298">
        <v>8.1999999999999993</v>
      </c>
      <c r="BV298" t="s">
        <v>5912</v>
      </c>
      <c r="BW298" t="s">
        <v>5603</v>
      </c>
      <c r="BX298" t="s">
        <v>5913</v>
      </c>
      <c r="BY298" t="s">
        <v>5605</v>
      </c>
      <c r="BZ298" t="s">
        <v>5914</v>
      </c>
      <c r="CA298" t="s">
        <v>2506</v>
      </c>
      <c r="CC298" t="s">
        <v>2758</v>
      </c>
      <c r="CD298" t="s">
        <v>2508</v>
      </c>
      <c r="CE298" t="s">
        <v>2440</v>
      </c>
      <c r="CG298" t="s">
        <v>2761</v>
      </c>
      <c r="CH298" t="s">
        <v>2510</v>
      </c>
      <c r="CI298" t="s">
        <v>2443</v>
      </c>
      <c r="CK298" t="s">
        <v>2795</v>
      </c>
      <c r="CL298" t="s">
        <v>2512</v>
      </c>
      <c r="CM298" t="s">
        <v>2446</v>
      </c>
      <c r="CO298" t="s">
        <v>2796</v>
      </c>
      <c r="CP298" t="s">
        <v>2514</v>
      </c>
      <c r="CQ298" t="s">
        <v>2449</v>
      </c>
      <c r="CS298" t="s">
        <v>2679</v>
      </c>
      <c r="CT298" t="s">
        <v>2524</v>
      </c>
      <c r="CV298">
        <v>9</v>
      </c>
      <c r="CW298">
        <v>9</v>
      </c>
      <c r="CX298">
        <v>9</v>
      </c>
      <c r="CY298">
        <v>9</v>
      </c>
      <c r="CZ298">
        <v>9</v>
      </c>
      <c r="DA298">
        <v>0.1</v>
      </c>
      <c r="DB298">
        <v>0.1</v>
      </c>
      <c r="DC298">
        <v>0.2</v>
      </c>
      <c r="DD298">
        <v>0.3</v>
      </c>
      <c r="DE298">
        <v>0.3</v>
      </c>
      <c r="DF298">
        <v>0.9</v>
      </c>
      <c r="DG298">
        <v>0.9</v>
      </c>
      <c r="DH298">
        <v>1.8</v>
      </c>
      <c r="DI298">
        <v>2.7</v>
      </c>
      <c r="DJ298">
        <v>2.7</v>
      </c>
      <c r="DK298">
        <v>8.1999999999999993</v>
      </c>
      <c r="DL298">
        <v>0</v>
      </c>
      <c r="DM298">
        <v>8.1999999999999993</v>
      </c>
      <c r="DN298">
        <v>9</v>
      </c>
      <c r="DO298">
        <f>AVERAGE(CV298:CZ298)</f>
        <v>9</v>
      </c>
      <c r="DQ298">
        <v>8</v>
      </c>
      <c r="DR298" t="s">
        <v>33</v>
      </c>
      <c r="DS298" t="s">
        <v>100</v>
      </c>
      <c r="DT298" t="s">
        <v>101</v>
      </c>
      <c r="DU298" t="s">
        <v>102</v>
      </c>
      <c r="DV298" t="s">
        <v>103</v>
      </c>
      <c r="DW298" t="s">
        <v>3788</v>
      </c>
      <c r="DX298" t="s">
        <v>3789</v>
      </c>
      <c r="DY298" t="s">
        <v>3790</v>
      </c>
      <c r="DZ298" t="s">
        <v>3992</v>
      </c>
      <c r="EA298" t="s">
        <v>3993</v>
      </c>
      <c r="EB298" t="s">
        <v>3793</v>
      </c>
      <c r="EC298" t="s">
        <v>3994</v>
      </c>
      <c r="ED298" t="s">
        <v>3995</v>
      </c>
      <c r="EE298" t="s">
        <v>3996</v>
      </c>
      <c r="EF298" t="s">
        <v>3797</v>
      </c>
      <c r="EG298" t="s">
        <v>3997</v>
      </c>
      <c r="EH298" t="s">
        <v>3998</v>
      </c>
      <c r="EI298" t="s">
        <v>3981</v>
      </c>
      <c r="EJ298" t="s">
        <v>3800</v>
      </c>
      <c r="EK298" t="s">
        <v>3999</v>
      </c>
      <c r="EL298" t="s">
        <v>4000</v>
      </c>
      <c r="EM298" t="s">
        <v>4001</v>
      </c>
      <c r="EN298" t="s">
        <v>3803</v>
      </c>
      <c r="EO298" t="s">
        <v>4002</v>
      </c>
      <c r="EP298" t="s">
        <v>4003</v>
      </c>
      <c r="EQ298">
        <v>8</v>
      </c>
      <c r="ER298">
        <v>8</v>
      </c>
      <c r="ES298">
        <v>8</v>
      </c>
      <c r="ET298">
        <v>8</v>
      </c>
      <c r="EU298">
        <v>8</v>
      </c>
      <c r="EV298">
        <v>0.1</v>
      </c>
      <c r="EW298">
        <v>0.1</v>
      </c>
      <c r="EX298">
        <v>0.2</v>
      </c>
      <c r="EY298">
        <v>0.3</v>
      </c>
      <c r="EZ298">
        <v>0.3</v>
      </c>
      <c r="FA298">
        <f>EV298*EQ298</f>
        <v>0.8</v>
      </c>
      <c r="FB298">
        <f>EW298*ER298</f>
        <v>0.8</v>
      </c>
      <c r="FC298">
        <f>EX298*ES298</f>
        <v>1.6</v>
      </c>
      <c r="FD298">
        <f>EY298*ET298</f>
        <v>2.4</v>
      </c>
      <c r="FE298">
        <f>EZ298*EU298</f>
        <v>2.4</v>
      </c>
      <c r="FF298">
        <v>16</v>
      </c>
      <c r="FG298">
        <v>0</v>
      </c>
      <c r="FH298">
        <v>8</v>
      </c>
      <c r="FI298">
        <f>FA298+FB298+FC298+FD298+FE298</f>
        <v>8</v>
      </c>
      <c r="FJ298">
        <f>MEDIAN(EQ298:EU298)</f>
        <v>8</v>
      </c>
      <c r="FL298">
        <v>42.31</v>
      </c>
      <c r="FM298">
        <v>10</v>
      </c>
      <c r="FN298" t="s">
        <v>2015</v>
      </c>
      <c r="FO298" t="s">
        <v>2016</v>
      </c>
      <c r="FP298" t="s">
        <v>2017</v>
      </c>
      <c r="FQ298" t="s">
        <v>2016</v>
      </c>
      <c r="FR298" t="s">
        <v>2018</v>
      </c>
      <c r="FS298">
        <v>10</v>
      </c>
      <c r="FT298">
        <v>10</v>
      </c>
      <c r="FU298">
        <v>10</v>
      </c>
      <c r="FV298">
        <v>8.5</v>
      </c>
      <c r="FW298">
        <v>7.5</v>
      </c>
      <c r="FX298">
        <v>0.1</v>
      </c>
      <c r="FY298">
        <v>0.1</v>
      </c>
      <c r="FZ298">
        <v>0.2</v>
      </c>
      <c r="GA298">
        <v>0.3</v>
      </c>
      <c r="GB298">
        <v>0.3</v>
      </c>
      <c r="GC298">
        <f>FS298*FX298</f>
        <v>1</v>
      </c>
      <c r="GD298">
        <f>FT298*FY298</f>
        <v>1</v>
      </c>
      <c r="GE298">
        <f>FU298*FZ298</f>
        <v>2</v>
      </c>
      <c r="GF298">
        <f>FV298*GA298</f>
        <v>2.5499999999999998</v>
      </c>
      <c r="GG298">
        <f>FW298*GB298</f>
        <v>2.25</v>
      </c>
      <c r="GH298">
        <v>9.85</v>
      </c>
      <c r="GI298">
        <v>0.2</v>
      </c>
      <c r="GJ298">
        <v>10</v>
      </c>
      <c r="GK298">
        <f>GC298+GD298+GE298+GF298+GG298</f>
        <v>8.8000000000000007</v>
      </c>
      <c r="GL298">
        <f>MEDIAN(FS298:FW298)</f>
        <v>10</v>
      </c>
    </row>
    <row r="299" spans="1:194" x14ac:dyDescent="0.25">
      <c r="A299">
        <v>174</v>
      </c>
      <c r="B299" t="s">
        <v>2</v>
      </c>
      <c r="C299" s="4">
        <v>79.2</v>
      </c>
      <c r="D299">
        <v>3.6</v>
      </c>
      <c r="E299" s="1">
        <f>C299/3/D299</f>
        <v>7.3333333333333339</v>
      </c>
      <c r="G299">
        <v>39.19</v>
      </c>
      <c r="H299">
        <v>8</v>
      </c>
      <c r="I299">
        <f>H299*D299*3</f>
        <v>86.4</v>
      </c>
      <c r="J299">
        <v>18.059999999999999</v>
      </c>
      <c r="K299">
        <v>8.4</v>
      </c>
      <c r="L299" s="3">
        <f>K299*3*D299</f>
        <v>90.720000000000013</v>
      </c>
      <c r="M299">
        <v>4.5199999999999996</v>
      </c>
      <c r="N299">
        <v>9</v>
      </c>
      <c r="O299">
        <f>N299*D299*3</f>
        <v>97.199999999999989</v>
      </c>
      <c r="P299" s="5">
        <v>7.6</v>
      </c>
      <c r="Q299" s="5">
        <f>P299*D299*3</f>
        <v>82.08</v>
      </c>
      <c r="S299" t="s">
        <v>6307</v>
      </c>
      <c r="T299">
        <v>7.4</v>
      </c>
      <c r="U299" s="8">
        <f>T299*D299*3</f>
        <v>79.92</v>
      </c>
      <c r="V299">
        <v>38.770000000000003</v>
      </c>
      <c r="W299">
        <v>7</v>
      </c>
      <c r="X299" s="5">
        <f>W299*D299*3</f>
        <v>75.599999999999994</v>
      </c>
      <c r="Y299">
        <v>11.31</v>
      </c>
      <c r="Z299">
        <v>6</v>
      </c>
      <c r="AA299">
        <f>Z299*D299*3</f>
        <v>64.800000000000011</v>
      </c>
      <c r="AC299">
        <v>46.8</v>
      </c>
      <c r="AD299">
        <v>7.9</v>
      </c>
      <c r="AE299" s="1">
        <f>AD299*3*D299</f>
        <v>85.320000000000007</v>
      </c>
      <c r="AF299">
        <v>13.79</v>
      </c>
      <c r="AH299" s="5">
        <f>AG299*D299*3</f>
        <v>0</v>
      </c>
      <c r="AI299" s="13"/>
      <c r="AJ299">
        <v>53</v>
      </c>
      <c r="AK299" s="8">
        <f>AJ299*D299*3</f>
        <v>572.40000000000009</v>
      </c>
      <c r="AL299" s="13"/>
      <c r="AM299">
        <v>30.93</v>
      </c>
      <c r="AN299">
        <v>7.9</v>
      </c>
      <c r="AO299" s="8">
        <f>AN299*D299*3</f>
        <v>85.320000000000007</v>
      </c>
      <c r="AP299">
        <v>13.31</v>
      </c>
      <c r="AQ299">
        <v>10</v>
      </c>
      <c r="AR299">
        <f>AQ299*D299*3</f>
        <v>108</v>
      </c>
      <c r="AT299">
        <v>9</v>
      </c>
      <c r="AU299">
        <f>AT299*D299*3</f>
        <v>97.199999999999989</v>
      </c>
      <c r="AW299">
        <v>24.45</v>
      </c>
      <c r="AX299">
        <v>9.3000000000000007</v>
      </c>
      <c r="AY299">
        <f>AX299*D299*3</f>
        <v>100.44000000000001</v>
      </c>
      <c r="AZ299">
        <v>24.45</v>
      </c>
      <c r="BA299">
        <v>9</v>
      </c>
      <c r="BB299">
        <f>BA299*D299*3</f>
        <v>97.199999999999989</v>
      </c>
      <c r="BD299">
        <v>8.3000000000000007</v>
      </c>
      <c r="BE299">
        <f>BD299*D299*3</f>
        <v>89.640000000000015</v>
      </c>
      <c r="BG299" s="10"/>
      <c r="BH299" s="1">
        <f>CHOOSE(MATCH(MIN(ABS(BP299-C299),ABS(BQ299-C299),ABS(BR299-C299)),CHOOSE({1;2;3},ABS(BP299-C299),ABS(BQ299-C299),ABS(BR299-C299)),0),BP299,BQ299,BR299)</f>
        <v>86.4</v>
      </c>
      <c r="BJ299" s="1" cm="1">
        <f t="array" ref="BJ299">(INDEX(_xlfn._xlws.SORT(CHOOSE({1;2;3;4;5;6},BQ299,BR299,L299,AE299,BO299,BP299)),3) + INDEX(_xlfn._xlws.SORT(CHOOSE({1;2;3;4;5;6},BQ299,BR299,L299,AE299,BO299,BP299)),4))/2</f>
        <v>85.860000000000014</v>
      </c>
      <c r="BK299">
        <v>8.3434889165578596</v>
      </c>
      <c r="BL299" s="11" t="s">
        <v>6116</v>
      </c>
      <c r="BM299" s="1">
        <f>BK299*3*D299</f>
        <v>90.109680298824884</v>
      </c>
      <c r="BN299" s="1">
        <f>BM299-C299</f>
        <v>10.909680298824881</v>
      </c>
      <c r="BO299" s="1">
        <f>GK299*3*D299</f>
        <v>50.759999999999991</v>
      </c>
      <c r="BP299" s="1">
        <f>DO299*3*D299</f>
        <v>97.2</v>
      </c>
      <c r="BQ299" s="1">
        <f>FJ299*3*D299</f>
        <v>86.4</v>
      </c>
      <c r="BR299" s="1">
        <f>GL299*3*D299</f>
        <v>54</v>
      </c>
      <c r="BT299">
        <v>39.19</v>
      </c>
      <c r="BU299">
        <v>8</v>
      </c>
      <c r="BV299" t="s">
        <v>5570</v>
      </c>
      <c r="BW299" t="s">
        <v>5519</v>
      </c>
      <c r="BX299" t="s">
        <v>5571</v>
      </c>
      <c r="BY299" t="s">
        <v>5572</v>
      </c>
      <c r="BZ299" t="s">
        <v>5573</v>
      </c>
      <c r="CA299" t="s">
        <v>2452</v>
      </c>
      <c r="CC299" t="s">
        <v>2438</v>
      </c>
      <c r="CD299" t="s">
        <v>2453</v>
      </c>
      <c r="CE299" t="s">
        <v>2586</v>
      </c>
      <c r="CG299" t="s">
        <v>2791</v>
      </c>
      <c r="CH299" t="s">
        <v>2587</v>
      </c>
      <c r="CI299" t="s">
        <v>2567</v>
      </c>
      <c r="CK299" t="s">
        <v>2792</v>
      </c>
      <c r="CL299" t="s">
        <v>2588</v>
      </c>
      <c r="CM299" t="s">
        <v>2589</v>
      </c>
      <c r="CO299" t="s">
        <v>2793</v>
      </c>
      <c r="CP299" t="s">
        <v>2590</v>
      </c>
      <c r="CQ299" t="s">
        <v>2591</v>
      </c>
      <c r="CS299" t="s">
        <v>2794</v>
      </c>
      <c r="CT299" t="s">
        <v>2592</v>
      </c>
      <c r="CV299">
        <v>9</v>
      </c>
      <c r="CW299">
        <v>9</v>
      </c>
      <c r="CX299">
        <v>9</v>
      </c>
      <c r="CY299">
        <v>9</v>
      </c>
      <c r="CZ299">
        <v>9</v>
      </c>
      <c r="DA299">
        <v>0.1</v>
      </c>
      <c r="DB299">
        <v>0.1</v>
      </c>
      <c r="DC299">
        <v>0.2</v>
      </c>
      <c r="DD299">
        <v>0.3</v>
      </c>
      <c r="DE299">
        <v>0.3</v>
      </c>
      <c r="DF299">
        <v>0.9</v>
      </c>
      <c r="DG299">
        <v>0.9</v>
      </c>
      <c r="DH299">
        <v>1.8</v>
      </c>
      <c r="DI299">
        <v>2.7</v>
      </c>
      <c r="DJ299">
        <v>2.7</v>
      </c>
      <c r="DK299">
        <v>8</v>
      </c>
      <c r="DL299">
        <v>0</v>
      </c>
      <c r="DM299">
        <v>8</v>
      </c>
      <c r="DN299">
        <v>8.4</v>
      </c>
      <c r="DO299">
        <f>AVERAGE(CV299:CZ299)</f>
        <v>9</v>
      </c>
      <c r="DQ299">
        <v>8</v>
      </c>
      <c r="DR299" t="s">
        <v>38</v>
      </c>
      <c r="DS299" t="s">
        <v>29</v>
      </c>
      <c r="DT299" t="s">
        <v>214</v>
      </c>
      <c r="DU299" t="s">
        <v>215</v>
      </c>
      <c r="DV299" t="s">
        <v>216</v>
      </c>
      <c r="DW299" t="s">
        <v>3836</v>
      </c>
      <c r="DX299" t="s">
        <v>3770</v>
      </c>
      <c r="DY299" t="s">
        <v>3771</v>
      </c>
      <c r="DZ299" t="s">
        <v>3772</v>
      </c>
      <c r="EA299" t="s">
        <v>3860</v>
      </c>
      <c r="EB299" t="s">
        <v>3807</v>
      </c>
      <c r="EC299" t="s">
        <v>3775</v>
      </c>
      <c r="ED299" t="s">
        <v>3776</v>
      </c>
      <c r="EE299" t="s">
        <v>3946</v>
      </c>
      <c r="EF299" t="s">
        <v>3809</v>
      </c>
      <c r="EG299" t="s">
        <v>3810</v>
      </c>
      <c r="EH299" t="s">
        <v>3811</v>
      </c>
      <c r="EI299" t="s">
        <v>3947</v>
      </c>
      <c r="EJ299" t="s">
        <v>3813</v>
      </c>
      <c r="EK299" t="s">
        <v>3948</v>
      </c>
      <c r="EL299" t="s">
        <v>3815</v>
      </c>
      <c r="EM299" t="s">
        <v>3949</v>
      </c>
      <c r="EN299" t="s">
        <v>3809</v>
      </c>
      <c r="EO299" t="s">
        <v>4252</v>
      </c>
      <c r="EP299" t="s">
        <v>3811</v>
      </c>
      <c r="EQ299">
        <v>7</v>
      </c>
      <c r="ER299">
        <v>8</v>
      </c>
      <c r="ES299">
        <v>8</v>
      </c>
      <c r="ET299">
        <v>8</v>
      </c>
      <c r="EU299">
        <v>8</v>
      </c>
      <c r="EV299">
        <v>0.1</v>
      </c>
      <c r="EW299">
        <v>0.1</v>
      </c>
      <c r="EX299">
        <v>0.2</v>
      </c>
      <c r="EY299">
        <v>0.3</v>
      </c>
      <c r="EZ299">
        <v>0.3</v>
      </c>
      <c r="FA299">
        <f>EV299*EQ299</f>
        <v>0.70000000000000007</v>
      </c>
      <c r="FB299">
        <f>EW299*ER299</f>
        <v>0.8</v>
      </c>
      <c r="FC299">
        <f>EX299*ES299</f>
        <v>1.6</v>
      </c>
      <c r="FD299">
        <f>EY299*ET299</f>
        <v>2.4</v>
      </c>
      <c r="FE299">
        <f>EZ299*EU299</f>
        <v>2.4</v>
      </c>
      <c r="FF299">
        <v>15</v>
      </c>
      <c r="FG299">
        <v>0</v>
      </c>
      <c r="FH299">
        <v>8</v>
      </c>
      <c r="FI299">
        <f>FA299+FB299+FC299+FD299+FE299</f>
        <v>7.9</v>
      </c>
      <c r="FJ299">
        <f>MEDIAN(EQ299:EU299)</f>
        <v>8</v>
      </c>
      <c r="FL299">
        <v>39.35</v>
      </c>
      <c r="FM299">
        <v>5</v>
      </c>
      <c r="FN299" t="s">
        <v>1424</v>
      </c>
      <c r="FO299" t="s">
        <v>1425</v>
      </c>
      <c r="FP299" t="s">
        <v>1426</v>
      </c>
      <c r="FQ299" t="s">
        <v>1427</v>
      </c>
      <c r="FR299" t="s">
        <v>1428</v>
      </c>
      <c r="FS299">
        <v>7</v>
      </c>
      <c r="FT299">
        <v>5</v>
      </c>
      <c r="FU299">
        <v>4</v>
      </c>
      <c r="FV299">
        <v>6</v>
      </c>
      <c r="FW299">
        <v>3</v>
      </c>
      <c r="FX299">
        <v>0.1</v>
      </c>
      <c r="FY299">
        <v>0.1</v>
      </c>
      <c r="FZ299">
        <v>0.2</v>
      </c>
      <c r="GA299">
        <v>0.3</v>
      </c>
      <c r="GB299">
        <v>0.3</v>
      </c>
      <c r="GC299">
        <f>FS299*FX299</f>
        <v>0.70000000000000007</v>
      </c>
      <c r="GD299">
        <f>FT299*FY299</f>
        <v>0.5</v>
      </c>
      <c r="GE299">
        <f>FU299*FZ299</f>
        <v>0.8</v>
      </c>
      <c r="GF299">
        <f>FV299*GA299</f>
        <v>1.7999999999999998</v>
      </c>
      <c r="GG299">
        <f>FW299*GB299</f>
        <v>0.89999999999999991</v>
      </c>
      <c r="GH299">
        <v>5</v>
      </c>
      <c r="GI299">
        <v>0</v>
      </c>
      <c r="GJ299">
        <v>5</v>
      </c>
      <c r="GK299">
        <f>GC299+GD299+GE299+GF299+GG299</f>
        <v>4.6999999999999993</v>
      </c>
      <c r="GL299">
        <f>MEDIAN(FS299:FW299)</f>
        <v>5</v>
      </c>
    </row>
    <row r="300" spans="1:194" hidden="1" x14ac:dyDescent="0.25">
      <c r="A300">
        <v>299</v>
      </c>
      <c r="B300" t="s">
        <v>2</v>
      </c>
      <c r="C300" s="4">
        <v>44.55</v>
      </c>
      <c r="D300">
        <v>3.3</v>
      </c>
      <c r="E300" s="1">
        <f>C300/3/D300</f>
        <v>4.5</v>
      </c>
      <c r="G300">
        <v>37.909999999999997</v>
      </c>
      <c r="H300">
        <v>8.65</v>
      </c>
      <c r="I300">
        <f>H300*D300*3</f>
        <v>85.634999999999991</v>
      </c>
      <c r="J300">
        <v>16.84</v>
      </c>
      <c r="K300">
        <v>9</v>
      </c>
      <c r="L300" s="3">
        <f>K300*3*D300</f>
        <v>89.1</v>
      </c>
      <c r="M300">
        <v>4.38</v>
      </c>
      <c r="N300">
        <v>6</v>
      </c>
      <c r="O300">
        <f>N300*D300*3</f>
        <v>59.399999999999991</v>
      </c>
      <c r="P300" s="5">
        <v>8.6</v>
      </c>
      <c r="Q300" s="5">
        <f>P300*D300*3</f>
        <v>85.14</v>
      </c>
      <c r="S300" t="s">
        <v>6425</v>
      </c>
      <c r="T300">
        <v>7</v>
      </c>
      <c r="U300" s="8">
        <f>T300*D300*3</f>
        <v>69.3</v>
      </c>
      <c r="V300">
        <v>30.69</v>
      </c>
      <c r="W300">
        <v>8.4</v>
      </c>
      <c r="X300" s="5">
        <f>W300*D300*3</f>
        <v>83.16</v>
      </c>
      <c r="Y300">
        <v>11.55</v>
      </c>
      <c r="Z300">
        <v>6</v>
      </c>
      <c r="AA300">
        <f>Z300*D300*3</f>
        <v>59.399999999999991</v>
      </c>
      <c r="AC300">
        <v>46.74</v>
      </c>
      <c r="AD300">
        <v>8</v>
      </c>
      <c r="AE300" s="1">
        <f>AD300*3*D300</f>
        <v>79.199999999999989</v>
      </c>
      <c r="AF300">
        <v>11.96</v>
      </c>
      <c r="AG300" s="5">
        <v>7</v>
      </c>
      <c r="AH300" s="5">
        <f>AG300*D300*3</f>
        <v>69.3</v>
      </c>
      <c r="AI300" s="13"/>
      <c r="AK300" s="8">
        <f>AJ300*D300*3</f>
        <v>0</v>
      </c>
      <c r="AL300" s="13"/>
      <c r="AM300">
        <v>30.82</v>
      </c>
      <c r="AN300">
        <v>7.3</v>
      </c>
      <c r="AO300" s="8">
        <f>AN300*D300*3</f>
        <v>72.27</v>
      </c>
      <c r="AP300">
        <v>14.48</v>
      </c>
      <c r="AQ300">
        <v>9.5</v>
      </c>
      <c r="AR300">
        <f>AQ300*D300*3</f>
        <v>94.05</v>
      </c>
      <c r="AT300">
        <v>8.8000000000000007</v>
      </c>
      <c r="AU300">
        <f>AT300*D300*3</f>
        <v>87.12</v>
      </c>
      <c r="AX300">
        <v>9.4</v>
      </c>
      <c r="AY300">
        <f>AX300*D300*3</f>
        <v>93.06</v>
      </c>
      <c r="BA300">
        <v>8.6999999999999993</v>
      </c>
      <c r="BB300">
        <f>BA300*D300*3</f>
        <v>86.13</v>
      </c>
      <c r="BD300">
        <v>8.9</v>
      </c>
      <c r="BE300">
        <f>BD300*D300*3</f>
        <v>88.11</v>
      </c>
      <c r="BG300" s="10"/>
      <c r="BH300" s="1">
        <f>CHOOSE(MATCH(MIN(ABS(BP300-C300),ABS(BQ300-C300),ABS(BR300-C300)),CHOOSE({1;2;3},ABS(BP300-C300),ABS(BQ300-C300),ABS(BR300-C300)),0),BP300,BQ300,BR300)</f>
        <v>64.349999999999994</v>
      </c>
      <c r="BJ300" s="1" cm="1">
        <f t="array" ref="BJ300">(INDEX(_xlfn._xlws.SORT(CHOOSE({1;2;3;4;5;6},BQ300,BR300,L300,AE300,BO300,BP300)),3) + INDEX(_xlfn._xlws.SORT(CHOOSE({1;2;3;4;5;6},BQ300,BR300,L300,AE300,BO300,BP300)),4))/2</f>
        <v>79.199999999999989</v>
      </c>
      <c r="BK300">
        <v>4.57512733577214</v>
      </c>
      <c r="BL300" t="s">
        <v>6117</v>
      </c>
      <c r="BM300" s="1">
        <f>BK300*3*D300</f>
        <v>45.293760624144184</v>
      </c>
      <c r="BN300" s="1">
        <f>BM300-C300</f>
        <v>0.74376062414418698</v>
      </c>
      <c r="BO300" s="1">
        <f>GK300*3*D300</f>
        <v>67.320000000000007</v>
      </c>
      <c r="BP300" s="1">
        <f>DO300*3*D300</f>
        <v>87.12</v>
      </c>
      <c r="BQ300" s="1">
        <f>FJ300*3*D300</f>
        <v>79.199999999999989</v>
      </c>
      <c r="BR300" s="1">
        <f>GL300*3*D300</f>
        <v>64.349999999999994</v>
      </c>
      <c r="BT300">
        <v>37.909999999999997</v>
      </c>
      <c r="BU300">
        <v>8.65</v>
      </c>
      <c r="BV300" t="s">
        <v>5633</v>
      </c>
      <c r="BW300" t="s">
        <v>5919</v>
      </c>
      <c r="BX300" t="s">
        <v>5920</v>
      </c>
      <c r="BY300" t="s">
        <v>5921</v>
      </c>
      <c r="BZ300" t="s">
        <v>5922</v>
      </c>
      <c r="CA300" t="s">
        <v>2420</v>
      </c>
      <c r="CC300" t="s">
        <v>2525</v>
      </c>
      <c r="CD300" t="s">
        <v>2627</v>
      </c>
      <c r="CE300" t="s">
        <v>2423</v>
      </c>
      <c r="CG300" t="s">
        <v>2527</v>
      </c>
      <c r="CH300" t="s">
        <v>3250</v>
      </c>
      <c r="CI300" t="s">
        <v>2426</v>
      </c>
      <c r="CJ300" t="s">
        <v>2427</v>
      </c>
      <c r="CK300" t="s">
        <v>2529</v>
      </c>
      <c r="CL300" t="s">
        <v>3251</v>
      </c>
      <c r="CM300" t="s">
        <v>2430</v>
      </c>
      <c r="CO300" t="s">
        <v>3252</v>
      </c>
      <c r="CP300" t="s">
        <v>3253</v>
      </c>
      <c r="CQ300" t="s">
        <v>2433</v>
      </c>
      <c r="CR300" t="s">
        <v>2434</v>
      </c>
      <c r="CS300" t="s">
        <v>2532</v>
      </c>
      <c r="CT300" t="s">
        <v>3255</v>
      </c>
      <c r="CV300">
        <v>9</v>
      </c>
      <c r="CW300">
        <v>9</v>
      </c>
      <c r="CX300">
        <v>8.5</v>
      </c>
      <c r="CY300">
        <v>9.5</v>
      </c>
      <c r="CZ300">
        <v>8</v>
      </c>
      <c r="DA300">
        <v>0.1</v>
      </c>
      <c r="DB300">
        <v>0.1</v>
      </c>
      <c r="DC300">
        <v>0.2</v>
      </c>
      <c r="DD300">
        <v>0.3</v>
      </c>
      <c r="DE300">
        <v>0.3</v>
      </c>
      <c r="DF300">
        <v>0.9</v>
      </c>
      <c r="DG300">
        <v>0.9</v>
      </c>
      <c r="DH300">
        <v>1.7</v>
      </c>
      <c r="DI300">
        <v>2.85</v>
      </c>
      <c r="DJ300">
        <v>2.4</v>
      </c>
      <c r="DK300">
        <v>8.65</v>
      </c>
      <c r="DL300">
        <v>0</v>
      </c>
      <c r="DM300">
        <v>8.65</v>
      </c>
      <c r="DN300">
        <v>9</v>
      </c>
      <c r="DO300">
        <f>AVERAGE(CV300:CZ300)</f>
        <v>8.8000000000000007</v>
      </c>
      <c r="DQ300" t="s">
        <v>27</v>
      </c>
      <c r="DR300" t="s">
        <v>496</v>
      </c>
      <c r="DS300" t="s">
        <v>497</v>
      </c>
      <c r="DT300" t="s">
        <v>498</v>
      </c>
      <c r="DU300" t="s">
        <v>499</v>
      </c>
      <c r="DV300" t="s">
        <v>500</v>
      </c>
      <c r="DW300" t="s">
        <v>3836</v>
      </c>
      <c r="DX300" t="s">
        <v>3789</v>
      </c>
      <c r="DY300" t="s">
        <v>3896</v>
      </c>
      <c r="DZ300" t="s">
        <v>4828</v>
      </c>
      <c r="EA300" t="s">
        <v>3860</v>
      </c>
      <c r="EB300" t="s">
        <v>3793</v>
      </c>
      <c r="EC300" t="s">
        <v>3898</v>
      </c>
      <c r="ED300" t="s">
        <v>4829</v>
      </c>
      <c r="EE300" t="s">
        <v>3966</v>
      </c>
      <c r="EF300" t="s">
        <v>3797</v>
      </c>
      <c r="EG300" t="s">
        <v>3901</v>
      </c>
      <c r="EH300" t="s">
        <v>4830</v>
      </c>
      <c r="EI300" t="s">
        <v>3246</v>
      </c>
      <c r="EJ300" t="s">
        <v>4831</v>
      </c>
      <c r="EK300" t="s">
        <v>3905</v>
      </c>
      <c r="EL300" t="s">
        <v>4832</v>
      </c>
      <c r="EM300" t="s">
        <v>4039</v>
      </c>
      <c r="EN300" t="s">
        <v>3803</v>
      </c>
      <c r="EO300" t="s">
        <v>3909</v>
      </c>
      <c r="EP300" t="s">
        <v>4833</v>
      </c>
      <c r="EQ300">
        <v>8</v>
      </c>
      <c r="ER300">
        <v>8</v>
      </c>
      <c r="ES300">
        <v>8</v>
      </c>
      <c r="ET300">
        <v>8</v>
      </c>
      <c r="EU300">
        <v>8</v>
      </c>
      <c r="EV300">
        <v>0.1</v>
      </c>
      <c r="EW300">
        <v>0.1</v>
      </c>
      <c r="EX300">
        <v>0.2</v>
      </c>
      <c r="EY300">
        <v>0.3</v>
      </c>
      <c r="EZ300">
        <v>0.3</v>
      </c>
      <c r="FA300">
        <f>EV300*EQ300</f>
        <v>0.8</v>
      </c>
      <c r="FB300">
        <f>EW300*ER300</f>
        <v>0.8</v>
      </c>
      <c r="FC300">
        <f>EX300*ES300</f>
        <v>1.6</v>
      </c>
      <c r="FD300">
        <f>EY300*ET300</f>
        <v>2.4</v>
      </c>
      <c r="FE300">
        <f>EZ300*EU300</f>
        <v>2.4</v>
      </c>
      <c r="FF300">
        <v>16</v>
      </c>
      <c r="FG300">
        <v>0</v>
      </c>
      <c r="FH300">
        <v>9</v>
      </c>
      <c r="FI300">
        <f>FA300+FB300+FC300+FD300+FE300</f>
        <v>8</v>
      </c>
      <c r="FJ300">
        <f>MEDIAN(EQ300:EU300)</f>
        <v>8</v>
      </c>
      <c r="FL300">
        <v>37.130000000000003</v>
      </c>
      <c r="FM300">
        <v>7.5</v>
      </c>
      <c r="FN300" t="s">
        <v>2024</v>
      </c>
      <c r="FO300" t="s">
        <v>2025</v>
      </c>
      <c r="FP300" t="s">
        <v>2026</v>
      </c>
      <c r="FQ300" t="s">
        <v>2027</v>
      </c>
      <c r="FR300" t="s">
        <v>2028</v>
      </c>
      <c r="FS300">
        <v>5</v>
      </c>
      <c r="FT300">
        <v>7.5</v>
      </c>
      <c r="FU300">
        <v>6</v>
      </c>
      <c r="FV300">
        <v>6.5</v>
      </c>
      <c r="FW300">
        <v>8</v>
      </c>
      <c r="FX300">
        <v>0.1</v>
      </c>
      <c r="FY300">
        <v>0.1</v>
      </c>
      <c r="FZ300">
        <v>0.2</v>
      </c>
      <c r="GA300">
        <v>0.3</v>
      </c>
      <c r="GB300">
        <v>0.3</v>
      </c>
      <c r="GC300">
        <f>FS300*FX300</f>
        <v>0.5</v>
      </c>
      <c r="GD300">
        <f>FT300*FY300</f>
        <v>0.75</v>
      </c>
      <c r="GE300">
        <f>FU300*FZ300</f>
        <v>1.2000000000000002</v>
      </c>
      <c r="GF300">
        <f>FV300*GA300</f>
        <v>1.95</v>
      </c>
      <c r="GG300">
        <f>FW300*GB300</f>
        <v>2.4</v>
      </c>
      <c r="GH300">
        <v>7.5</v>
      </c>
      <c r="GI300">
        <v>0</v>
      </c>
      <c r="GJ300">
        <v>7.5</v>
      </c>
      <c r="GK300">
        <f>GC300+GD300+GE300+GF300+GG300</f>
        <v>6.8000000000000007</v>
      </c>
      <c r="GL300">
        <f>MEDIAN(FS300:FW300)</f>
        <v>6.5</v>
      </c>
    </row>
    <row r="301" spans="1:194" hidden="1" x14ac:dyDescent="0.25">
      <c r="A301">
        <v>300</v>
      </c>
      <c r="B301" t="s">
        <v>2</v>
      </c>
      <c r="C301" s="4">
        <v>86.4</v>
      </c>
      <c r="D301">
        <v>3.6</v>
      </c>
      <c r="E301" s="1">
        <f>C301/3/D301</f>
        <v>8</v>
      </c>
      <c r="G301">
        <v>34.299999999999997</v>
      </c>
      <c r="H301">
        <v>8.1999999999999993</v>
      </c>
      <c r="I301">
        <f>H301*D301*3</f>
        <v>88.56</v>
      </c>
      <c r="J301">
        <v>16.41</v>
      </c>
      <c r="K301">
        <v>8.4</v>
      </c>
      <c r="L301" s="3">
        <f>K301*3*D301</f>
        <v>90.720000000000013</v>
      </c>
      <c r="M301">
        <v>5.0599999999999996</v>
      </c>
      <c r="N301">
        <v>5</v>
      </c>
      <c r="O301">
        <f>N301*D301*3</f>
        <v>54</v>
      </c>
      <c r="P301" s="5">
        <v>6.8</v>
      </c>
      <c r="Q301" s="5">
        <f>P301*D301*3</f>
        <v>73.44</v>
      </c>
      <c r="S301" t="s">
        <v>6426</v>
      </c>
      <c r="T301">
        <v>2</v>
      </c>
      <c r="U301" s="8">
        <f>T301*D301*3</f>
        <v>21.6</v>
      </c>
      <c r="V301">
        <v>29.82</v>
      </c>
      <c r="W301">
        <v>8</v>
      </c>
      <c r="X301" s="5">
        <f>W301*D301*3</f>
        <v>86.4</v>
      </c>
      <c r="Y301">
        <v>11.54</v>
      </c>
      <c r="Z301">
        <v>7.6</v>
      </c>
      <c r="AA301">
        <f>Z301*D301*3</f>
        <v>82.08</v>
      </c>
      <c r="AC301">
        <v>137.41</v>
      </c>
      <c r="AD301">
        <v>8</v>
      </c>
      <c r="AE301" s="1">
        <f>AD301*3*D301</f>
        <v>86.4</v>
      </c>
      <c r="AF301">
        <v>11.86</v>
      </c>
      <c r="AG301" s="5">
        <v>7</v>
      </c>
      <c r="AH301" s="5">
        <f>AG301*D301*3</f>
        <v>75.599999999999994</v>
      </c>
      <c r="AI301" s="13"/>
      <c r="AJ301">
        <v>7.5</v>
      </c>
      <c r="AK301" s="8">
        <f>AJ301*D301*3</f>
        <v>81</v>
      </c>
      <c r="AL301" s="13"/>
      <c r="AM301">
        <v>32.06</v>
      </c>
      <c r="AN301">
        <v>7.9</v>
      </c>
      <c r="AO301" s="8">
        <f>AN301*D301*3</f>
        <v>85.320000000000007</v>
      </c>
      <c r="AP301">
        <v>15.17</v>
      </c>
      <c r="AQ301">
        <v>10</v>
      </c>
      <c r="AR301">
        <f>AQ301*D301*3</f>
        <v>108</v>
      </c>
      <c r="AT301">
        <v>9.4</v>
      </c>
      <c r="AU301">
        <f>AT301*D301*3</f>
        <v>101.52000000000001</v>
      </c>
      <c r="AX301">
        <v>9.3000000000000007</v>
      </c>
      <c r="AY301">
        <f>AX301*D301*3</f>
        <v>100.44000000000001</v>
      </c>
      <c r="BA301">
        <v>9.4</v>
      </c>
      <c r="BB301">
        <f>BA301*D301*3</f>
        <v>101.52000000000001</v>
      </c>
      <c r="BD301">
        <v>8.9</v>
      </c>
      <c r="BE301">
        <f>BD301*D301*3</f>
        <v>96.12</v>
      </c>
      <c r="BG301" s="10"/>
      <c r="BH301" s="1">
        <f>CHOOSE(MATCH(MIN(ABS(BP301-C301),ABS(BQ301-C301),ABS(BR301-C301)),CHOOSE({1;2;3},ABS(BP301-C301),ABS(BQ301-C301),ABS(BR301-C301)),0),BP301,BQ301,BR301)</f>
        <v>86.4</v>
      </c>
      <c r="BJ301" s="1" cm="1">
        <f t="array" ref="BJ301">(INDEX(_xlfn._xlws.SORT(CHOOSE({1;2;3;4;5;6},BQ301,BR301,L301,AE301,BO301,BP301)),3) + INDEX(_xlfn._xlws.SORT(CHOOSE({1;2;3;4;5;6},BQ301,BR301,L301,AE301,BO301,BP301)),4))/2</f>
        <v>86.4</v>
      </c>
      <c r="BK301">
        <v>8.0098544890860008</v>
      </c>
      <c r="BL301" t="s">
        <v>6117</v>
      </c>
      <c r="BM301" s="1">
        <f>BK301*3*D301</f>
        <v>86.506428482128811</v>
      </c>
      <c r="BN301" s="1">
        <f>BM301-C301</f>
        <v>0.10642848212880551</v>
      </c>
      <c r="BO301" s="1">
        <f>GK301*3*D301</f>
        <v>65.88000000000001</v>
      </c>
      <c r="BP301" s="1">
        <f>DO301*3*D301</f>
        <v>97.2</v>
      </c>
      <c r="BQ301" s="1">
        <f>FJ301*3*D301</f>
        <v>86.4</v>
      </c>
      <c r="BR301" s="1">
        <f>GL301*3*D301</f>
        <v>75.600000000000009</v>
      </c>
      <c r="BT301">
        <v>34.299999999999997</v>
      </c>
      <c r="BU301">
        <v>8.1999999999999993</v>
      </c>
      <c r="BV301" t="s">
        <v>5293</v>
      </c>
      <c r="BW301" t="s">
        <v>5923</v>
      </c>
      <c r="BX301" t="s">
        <v>5924</v>
      </c>
      <c r="BY301" t="s">
        <v>5925</v>
      </c>
      <c r="BZ301" t="s">
        <v>5091</v>
      </c>
      <c r="CA301" t="s">
        <v>2550</v>
      </c>
      <c r="CC301" t="s">
        <v>2634</v>
      </c>
      <c r="CD301" t="s">
        <v>3031</v>
      </c>
      <c r="CE301" t="s">
        <v>2553</v>
      </c>
      <c r="CG301" t="s">
        <v>2634</v>
      </c>
      <c r="CH301" t="s">
        <v>2773</v>
      </c>
      <c r="CI301" t="s">
        <v>2867</v>
      </c>
      <c r="CK301" t="s">
        <v>2634</v>
      </c>
      <c r="CL301" t="s">
        <v>2669</v>
      </c>
      <c r="CM301" t="s">
        <v>2868</v>
      </c>
      <c r="CO301" t="s">
        <v>2634</v>
      </c>
      <c r="CP301" t="s">
        <v>2869</v>
      </c>
      <c r="CQ301" t="s">
        <v>2560</v>
      </c>
      <c r="CR301" t="s">
        <v>2561</v>
      </c>
      <c r="CS301" t="s">
        <v>2634</v>
      </c>
      <c r="CT301" t="s">
        <v>2996</v>
      </c>
      <c r="CV301">
        <v>9</v>
      </c>
      <c r="CW301">
        <v>9</v>
      </c>
      <c r="CX301">
        <v>9</v>
      </c>
      <c r="CY301">
        <v>9</v>
      </c>
      <c r="CZ301">
        <v>9</v>
      </c>
      <c r="DA301">
        <v>0.1</v>
      </c>
      <c r="DB301">
        <v>0.1</v>
      </c>
      <c r="DC301">
        <v>0.2</v>
      </c>
      <c r="DD301">
        <v>0.3</v>
      </c>
      <c r="DE301">
        <v>0.3</v>
      </c>
      <c r="DF301">
        <v>0.9</v>
      </c>
      <c r="DG301">
        <v>0.9</v>
      </c>
      <c r="DH301">
        <v>1.8</v>
      </c>
      <c r="DI301">
        <v>2.7</v>
      </c>
      <c r="DJ301">
        <v>2.7</v>
      </c>
      <c r="DK301">
        <v>8.1999999999999993</v>
      </c>
      <c r="DL301">
        <v>0</v>
      </c>
      <c r="DM301">
        <v>8.1999999999999993</v>
      </c>
      <c r="DN301">
        <v>8.4</v>
      </c>
      <c r="DO301">
        <f>AVERAGE(CV301:CZ301)</f>
        <v>9</v>
      </c>
      <c r="DQ301">
        <v>8</v>
      </c>
      <c r="DR301" t="s">
        <v>33</v>
      </c>
      <c r="DS301" t="s">
        <v>170</v>
      </c>
      <c r="DT301" t="s">
        <v>98</v>
      </c>
      <c r="DU301" t="s">
        <v>171</v>
      </c>
      <c r="DV301" t="s">
        <v>172</v>
      </c>
      <c r="DW301" t="s">
        <v>3788</v>
      </c>
      <c r="DX301" t="s">
        <v>3789</v>
      </c>
      <c r="DY301" t="s">
        <v>3974</v>
      </c>
      <c r="DZ301" t="s">
        <v>3975</v>
      </c>
      <c r="EA301" t="s">
        <v>3934</v>
      </c>
      <c r="EB301" t="s">
        <v>3793</v>
      </c>
      <c r="EC301" t="s">
        <v>3976</v>
      </c>
      <c r="ED301" t="s">
        <v>4154</v>
      </c>
      <c r="EE301" t="s">
        <v>3978</v>
      </c>
      <c r="EF301" t="s">
        <v>3797</v>
      </c>
      <c r="EG301" t="s">
        <v>4155</v>
      </c>
      <c r="EH301" t="s">
        <v>4156</v>
      </c>
      <c r="EI301" t="s">
        <v>3981</v>
      </c>
      <c r="EJ301" t="s">
        <v>3800</v>
      </c>
      <c r="EK301" t="s">
        <v>3982</v>
      </c>
      <c r="EL301" t="s">
        <v>4157</v>
      </c>
      <c r="EM301" t="s">
        <v>4158</v>
      </c>
      <c r="EN301" t="s">
        <v>3803</v>
      </c>
      <c r="EO301" t="s">
        <v>3985</v>
      </c>
      <c r="EP301" t="s">
        <v>4159</v>
      </c>
      <c r="EQ301">
        <v>8</v>
      </c>
      <c r="ER301">
        <v>8</v>
      </c>
      <c r="ES301">
        <v>8</v>
      </c>
      <c r="ET301">
        <v>8</v>
      </c>
      <c r="EU301">
        <v>8</v>
      </c>
      <c r="EV301">
        <v>0.1</v>
      </c>
      <c r="EW301">
        <v>0.1</v>
      </c>
      <c r="EX301">
        <v>0.2</v>
      </c>
      <c r="EY301">
        <v>0.3</v>
      </c>
      <c r="EZ301">
        <v>0.3</v>
      </c>
      <c r="FA301">
        <f>EV301*EQ301</f>
        <v>0.8</v>
      </c>
      <c r="FB301">
        <f>EW301*ER301</f>
        <v>0.8</v>
      </c>
      <c r="FC301">
        <f>EX301*ES301</f>
        <v>1.6</v>
      </c>
      <c r="FD301">
        <f>EY301*ET301</f>
        <v>2.4</v>
      </c>
      <c r="FE301">
        <f>EZ301*EU301</f>
        <v>2.4</v>
      </c>
      <c r="FF301">
        <v>16</v>
      </c>
      <c r="FG301">
        <v>0</v>
      </c>
      <c r="FH301">
        <v>8</v>
      </c>
      <c r="FI301">
        <f>FA301+FB301+FC301+FD301+FE301</f>
        <v>8</v>
      </c>
      <c r="FJ301">
        <f>MEDIAN(EQ301:EU301)</f>
        <v>8</v>
      </c>
      <c r="FL301">
        <v>43.71</v>
      </c>
      <c r="FM301">
        <v>6.2</v>
      </c>
      <c r="FN301" t="s">
        <v>2029</v>
      </c>
      <c r="FO301" t="s">
        <v>2030</v>
      </c>
      <c r="FP301" t="s">
        <v>2031</v>
      </c>
      <c r="FQ301" t="s">
        <v>2032</v>
      </c>
      <c r="FR301" t="s">
        <v>2033</v>
      </c>
      <c r="FS301">
        <v>9</v>
      </c>
      <c r="FT301">
        <v>8</v>
      </c>
      <c r="FU301">
        <v>7</v>
      </c>
      <c r="FV301">
        <v>6</v>
      </c>
      <c r="FW301">
        <v>4</v>
      </c>
      <c r="FX301">
        <v>0.1</v>
      </c>
      <c r="FY301">
        <v>0.1</v>
      </c>
      <c r="FZ301">
        <v>0.2</v>
      </c>
      <c r="GA301">
        <v>0.3</v>
      </c>
      <c r="GB301">
        <v>0.3</v>
      </c>
      <c r="GC301">
        <f>FS301*FX301</f>
        <v>0.9</v>
      </c>
      <c r="GD301">
        <f>FT301*FY301</f>
        <v>0.8</v>
      </c>
      <c r="GE301">
        <f>FU301*FZ301</f>
        <v>1.4000000000000001</v>
      </c>
      <c r="GF301">
        <f>FV301*GA301</f>
        <v>1.7999999999999998</v>
      </c>
      <c r="GG301">
        <f>FW301*GB301</f>
        <v>1.2</v>
      </c>
      <c r="GH301">
        <v>6.3</v>
      </c>
      <c r="GI301">
        <v>-0.1</v>
      </c>
      <c r="GJ301">
        <v>6.2</v>
      </c>
      <c r="GK301">
        <f>GC301+GD301+GE301+GF301+GG301</f>
        <v>6.1000000000000005</v>
      </c>
      <c r="GL301">
        <f>MEDIAN(FS301:FW301)</f>
        <v>7</v>
      </c>
    </row>
    <row r="302" spans="1:194" hidden="1" x14ac:dyDescent="0.25">
      <c r="A302">
        <v>301</v>
      </c>
      <c r="B302" t="s">
        <v>2</v>
      </c>
      <c r="C302" s="4">
        <v>91.8</v>
      </c>
      <c r="D302">
        <v>3.6</v>
      </c>
      <c r="E302" s="1">
        <f>C302/3/D302</f>
        <v>8.5</v>
      </c>
      <c r="G302">
        <v>94.56</v>
      </c>
      <c r="H302">
        <v>8.6999999999999993</v>
      </c>
      <c r="I302">
        <f>H302*D302*3</f>
        <v>93.96</v>
      </c>
      <c r="J302">
        <v>16.66</v>
      </c>
      <c r="K302">
        <v>8.4</v>
      </c>
      <c r="L302" s="3">
        <f>K302*3*D302</f>
        <v>90.720000000000013</v>
      </c>
      <c r="M302">
        <v>4.7300000000000004</v>
      </c>
      <c r="N302">
        <v>5</v>
      </c>
      <c r="O302">
        <f>N302*D302*3</f>
        <v>54</v>
      </c>
      <c r="P302" s="5">
        <v>7</v>
      </c>
      <c r="Q302" s="5">
        <f>P302*D302*3</f>
        <v>75.599999999999994</v>
      </c>
      <c r="S302" t="s">
        <v>6427</v>
      </c>
      <c r="T302">
        <v>7.4</v>
      </c>
      <c r="U302" s="8">
        <f>T302*D302*3</f>
        <v>79.92</v>
      </c>
      <c r="V302">
        <v>32.93</v>
      </c>
      <c r="W302">
        <v>7.8</v>
      </c>
      <c r="X302" s="5">
        <f>W302*D302*3</f>
        <v>84.24</v>
      </c>
      <c r="Y302">
        <v>10.5</v>
      </c>
      <c r="Z302">
        <v>7.5</v>
      </c>
      <c r="AA302">
        <f>Z302*D302*3</f>
        <v>81</v>
      </c>
      <c r="AC302">
        <v>144.55000000000001</v>
      </c>
      <c r="AD302">
        <v>7.9</v>
      </c>
      <c r="AE302" s="1">
        <f>AD302*3*D302</f>
        <v>85.320000000000007</v>
      </c>
      <c r="AF302">
        <v>12.03</v>
      </c>
      <c r="AG302" s="5">
        <v>7</v>
      </c>
      <c r="AH302" s="5">
        <f>AG302*D302*3</f>
        <v>75.599999999999994</v>
      </c>
      <c r="AI302" s="13"/>
      <c r="AJ302">
        <v>0.9</v>
      </c>
      <c r="AK302" s="8">
        <f>AJ302*D302*3</f>
        <v>9.7200000000000006</v>
      </c>
      <c r="AL302" s="13"/>
      <c r="AM302">
        <v>30.99</v>
      </c>
      <c r="AN302">
        <v>7</v>
      </c>
      <c r="AO302" s="8">
        <f>AN302*D302*3</f>
        <v>75.599999999999994</v>
      </c>
      <c r="AP302">
        <v>14.44</v>
      </c>
      <c r="AQ302">
        <v>9.5</v>
      </c>
      <c r="AR302">
        <f>AQ302*D302*3</f>
        <v>102.60000000000001</v>
      </c>
      <c r="AT302">
        <v>9</v>
      </c>
      <c r="AU302">
        <f>AT302*D302*3</f>
        <v>97.199999999999989</v>
      </c>
      <c r="AX302">
        <v>9.4</v>
      </c>
      <c r="AY302">
        <f>AX302*D302*3</f>
        <v>101.52000000000001</v>
      </c>
      <c r="BA302">
        <v>7.9</v>
      </c>
      <c r="BB302">
        <f>BA302*D302*3</f>
        <v>85.320000000000007</v>
      </c>
      <c r="BD302">
        <v>7.8</v>
      </c>
      <c r="BE302">
        <f>BD302*D302*3</f>
        <v>84.24</v>
      </c>
      <c r="BG302" s="10"/>
      <c r="BH302" s="1">
        <f>CHOOSE(MATCH(MIN(ABS(BP302-C302),ABS(BQ302-C302),ABS(BR302-C302)),CHOOSE({1;2;3},ABS(BP302-C302),ABS(BQ302-C302),ABS(BR302-C302)),0),BP302,BQ302,BR302)</f>
        <v>95.04</v>
      </c>
      <c r="BJ302" s="1" cm="1">
        <f t="array" ref="BJ302">(INDEX(_xlfn._xlws.SORT(CHOOSE({1;2;3;4;5;6},BQ302,BR302,L302,AE302,BO302,BP302)),3) + INDEX(_xlfn._xlws.SORT(CHOOSE({1;2;3;4;5;6},BQ302,BR302,L302,AE302,BO302,BP302)),4))/2</f>
        <v>85.860000000000014</v>
      </c>
      <c r="BK302">
        <v>8.4637465142679904</v>
      </c>
      <c r="BL302" t="s">
        <v>6117</v>
      </c>
      <c r="BM302" s="1">
        <f>BK302*3*D302</f>
        <v>91.408462354094311</v>
      </c>
      <c r="BN302" s="1">
        <f>BM302-C302</f>
        <v>-0.39153764590568585</v>
      </c>
      <c r="BO302" s="1">
        <f>GK302*3*D302</f>
        <v>57.239999999999995</v>
      </c>
      <c r="BP302" s="1">
        <f>DO302*3*D302</f>
        <v>95.04</v>
      </c>
      <c r="BQ302" s="1">
        <f>FJ302*3*D302</f>
        <v>86.4</v>
      </c>
      <c r="BR302" s="1">
        <f>GL302*3*D302</f>
        <v>64.8</v>
      </c>
      <c r="BT302">
        <v>94.56</v>
      </c>
      <c r="BU302">
        <v>8.6999999999999993</v>
      </c>
      <c r="BV302" t="s">
        <v>5881</v>
      </c>
      <c r="BW302" t="s">
        <v>5056</v>
      </c>
      <c r="BX302" t="s">
        <v>5882</v>
      </c>
      <c r="BY302" t="s">
        <v>5926</v>
      </c>
      <c r="BZ302" t="s">
        <v>5059</v>
      </c>
      <c r="CA302" t="s">
        <v>2550</v>
      </c>
      <c r="CC302" t="s">
        <v>2634</v>
      </c>
      <c r="CD302" t="s">
        <v>2635</v>
      </c>
      <c r="CE302" t="s">
        <v>2553</v>
      </c>
      <c r="CG302" t="s">
        <v>2634</v>
      </c>
      <c r="CH302" t="s">
        <v>2832</v>
      </c>
      <c r="CI302" t="s">
        <v>2774</v>
      </c>
      <c r="CK302" t="s">
        <v>2634</v>
      </c>
      <c r="CL302" t="s">
        <v>3546</v>
      </c>
      <c r="CM302" t="s">
        <v>2595</v>
      </c>
      <c r="CO302" t="s">
        <v>2634</v>
      </c>
      <c r="CP302" t="s">
        <v>2835</v>
      </c>
      <c r="CQ302" t="s">
        <v>3547</v>
      </c>
      <c r="CR302" t="s">
        <v>2837</v>
      </c>
      <c r="CS302" t="s">
        <v>3548</v>
      </c>
      <c r="CT302" t="s">
        <v>3549</v>
      </c>
      <c r="CV302">
        <v>9</v>
      </c>
      <c r="CW302">
        <v>9</v>
      </c>
      <c r="CX302">
        <v>9</v>
      </c>
      <c r="CY302">
        <v>9</v>
      </c>
      <c r="CZ302">
        <v>8</v>
      </c>
      <c r="DA302">
        <v>0.1</v>
      </c>
      <c r="DB302">
        <v>0.1</v>
      </c>
      <c r="DC302">
        <v>0.2</v>
      </c>
      <c r="DD302">
        <v>0.3</v>
      </c>
      <c r="DE302">
        <v>0.3</v>
      </c>
      <c r="DF302">
        <v>0.9</v>
      </c>
      <c r="DG302">
        <v>0.9</v>
      </c>
      <c r="DH302">
        <v>1.8</v>
      </c>
      <c r="DI302">
        <v>2.7</v>
      </c>
      <c r="DJ302">
        <v>2.4</v>
      </c>
      <c r="DK302">
        <v>8.6999999999999993</v>
      </c>
      <c r="DL302">
        <v>0</v>
      </c>
      <c r="DM302">
        <v>8.6999999999999993</v>
      </c>
      <c r="DN302">
        <v>8.4</v>
      </c>
      <c r="DO302">
        <f>AVERAGE(CV302:CZ302)</f>
        <v>8.8000000000000007</v>
      </c>
      <c r="DQ302">
        <v>15</v>
      </c>
      <c r="DR302" t="s">
        <v>28</v>
      </c>
      <c r="DS302" t="s">
        <v>29</v>
      </c>
      <c r="DT302" t="s">
        <v>335</v>
      </c>
      <c r="DU302" t="s">
        <v>58</v>
      </c>
      <c r="DV302" t="s">
        <v>59</v>
      </c>
      <c r="DW302" t="s">
        <v>3769</v>
      </c>
      <c r="DX302" t="s">
        <v>3770</v>
      </c>
      <c r="DY302" t="s">
        <v>3771</v>
      </c>
      <c r="DZ302" t="s">
        <v>3772</v>
      </c>
      <c r="EA302" t="s">
        <v>3860</v>
      </c>
      <c r="EB302" t="s">
        <v>3807</v>
      </c>
      <c r="EC302" t="s">
        <v>3775</v>
      </c>
      <c r="ED302" t="s">
        <v>3776</v>
      </c>
      <c r="EE302" t="s">
        <v>3819</v>
      </c>
      <c r="EF302" t="s">
        <v>3809</v>
      </c>
      <c r="EG302" t="s">
        <v>3810</v>
      </c>
      <c r="EH302" t="s">
        <v>3811</v>
      </c>
      <c r="EI302" t="s">
        <v>3820</v>
      </c>
      <c r="EJ302" t="s">
        <v>3813</v>
      </c>
      <c r="EK302" t="s">
        <v>3821</v>
      </c>
      <c r="EL302" t="s">
        <v>3822</v>
      </c>
      <c r="EM302" t="s">
        <v>3816</v>
      </c>
      <c r="EN302" t="s">
        <v>3823</v>
      </c>
      <c r="EO302" t="s">
        <v>3824</v>
      </c>
      <c r="EP302" t="s">
        <v>3825</v>
      </c>
      <c r="EQ302">
        <v>7</v>
      </c>
      <c r="ER302">
        <v>8</v>
      </c>
      <c r="ES302">
        <v>8</v>
      </c>
      <c r="ET302">
        <v>8</v>
      </c>
      <c r="EU302">
        <v>8</v>
      </c>
      <c r="EV302">
        <v>0.1</v>
      </c>
      <c r="EW302">
        <v>0.1</v>
      </c>
      <c r="EX302">
        <v>0.2</v>
      </c>
      <c r="EY302">
        <v>0.3</v>
      </c>
      <c r="EZ302">
        <v>0.3</v>
      </c>
      <c r="FA302">
        <f>EV302*EQ302</f>
        <v>0.70000000000000007</v>
      </c>
      <c r="FB302">
        <f>EW302*ER302</f>
        <v>0.8</v>
      </c>
      <c r="FC302">
        <f>EX302*ES302</f>
        <v>1.6</v>
      </c>
      <c r="FD302">
        <f>EY302*ET302</f>
        <v>2.4</v>
      </c>
      <c r="FE302">
        <f>EZ302*EU302</f>
        <v>2.4</v>
      </c>
      <c r="FF302">
        <v>15</v>
      </c>
      <c r="FG302">
        <v>0</v>
      </c>
      <c r="FH302">
        <v>15</v>
      </c>
      <c r="FI302">
        <f>FA302+FB302+FC302+FD302+FE302</f>
        <v>7.9</v>
      </c>
      <c r="FJ302">
        <f>MEDIAN(EQ302:EU302)</f>
        <v>8</v>
      </c>
      <c r="FL302">
        <v>80.05</v>
      </c>
      <c r="FM302">
        <v>7</v>
      </c>
      <c r="FN302" t="s">
        <v>2034</v>
      </c>
      <c r="FO302" t="s">
        <v>2035</v>
      </c>
      <c r="FP302" t="s">
        <v>2036</v>
      </c>
      <c r="FQ302" t="s">
        <v>2037</v>
      </c>
      <c r="FR302" t="s">
        <v>2038</v>
      </c>
      <c r="FS302">
        <v>6</v>
      </c>
      <c r="FT302">
        <v>7</v>
      </c>
      <c r="FU302">
        <v>5</v>
      </c>
      <c r="FV302">
        <v>4</v>
      </c>
      <c r="FW302">
        <v>6</v>
      </c>
      <c r="FX302">
        <v>0.1</v>
      </c>
      <c r="FY302">
        <v>0.1</v>
      </c>
      <c r="FZ302">
        <v>0.2</v>
      </c>
      <c r="GA302">
        <v>0.3</v>
      </c>
      <c r="GB302">
        <v>0.3</v>
      </c>
      <c r="GC302">
        <f>FS302*FX302</f>
        <v>0.60000000000000009</v>
      </c>
      <c r="GD302">
        <f>FT302*FY302</f>
        <v>0.70000000000000007</v>
      </c>
      <c r="GE302">
        <f>FU302*FZ302</f>
        <v>1</v>
      </c>
      <c r="GF302">
        <f>FV302*GA302</f>
        <v>1.2</v>
      </c>
      <c r="GG302">
        <f>FW302*GB302</f>
        <v>1.7999999999999998</v>
      </c>
      <c r="GH302">
        <v>6.9</v>
      </c>
      <c r="GI302">
        <v>0.1</v>
      </c>
      <c r="GJ302">
        <v>7</v>
      </c>
      <c r="GK302">
        <f>GC302+GD302+GE302+GF302+GG302</f>
        <v>5.3</v>
      </c>
      <c r="GL302">
        <f>MEDIAN(FS302:FW302)</f>
        <v>6</v>
      </c>
    </row>
    <row r="303" spans="1:194" hidden="1" x14ac:dyDescent="0.25">
      <c r="A303">
        <v>302</v>
      </c>
      <c r="B303" t="s">
        <v>2</v>
      </c>
      <c r="C303" s="4">
        <v>72</v>
      </c>
      <c r="D303">
        <v>3.2</v>
      </c>
      <c r="E303" s="1">
        <f>C303/3/D303</f>
        <v>7.5</v>
      </c>
      <c r="G303">
        <v>41.97</v>
      </c>
      <c r="H303">
        <v>8.1999999999999993</v>
      </c>
      <c r="I303">
        <f>H303*D303*3</f>
        <v>78.72</v>
      </c>
      <c r="J303">
        <v>17.41</v>
      </c>
      <c r="K303">
        <v>9</v>
      </c>
      <c r="L303" s="3">
        <f>K303*3*D303</f>
        <v>86.4</v>
      </c>
      <c r="M303">
        <v>4.5999999999999996</v>
      </c>
      <c r="N303">
        <v>5</v>
      </c>
      <c r="O303">
        <f>N303*D303*3</f>
        <v>48</v>
      </c>
      <c r="P303" s="5">
        <v>8.9</v>
      </c>
      <c r="Q303" s="5">
        <f>P303*D303*3</f>
        <v>85.440000000000012</v>
      </c>
      <c r="S303" t="s">
        <v>6428</v>
      </c>
      <c r="T303">
        <v>7.2</v>
      </c>
      <c r="U303" s="8">
        <f>T303*D303*3</f>
        <v>69.12</v>
      </c>
      <c r="V303">
        <v>31.53</v>
      </c>
      <c r="W303">
        <v>8.4</v>
      </c>
      <c r="X303" s="5">
        <f>W303*D303*3</f>
        <v>80.640000000000015</v>
      </c>
      <c r="Y303">
        <v>11.79</v>
      </c>
      <c r="Z303">
        <v>8</v>
      </c>
      <c r="AA303">
        <f>Z303*D303*3</f>
        <v>76.800000000000011</v>
      </c>
      <c r="AC303">
        <v>136.76</v>
      </c>
      <c r="AD303">
        <v>7.1</v>
      </c>
      <c r="AE303" s="1">
        <f>AD303*3*D303</f>
        <v>68.16</v>
      </c>
      <c r="AF303">
        <v>11.86</v>
      </c>
      <c r="AG303" s="5">
        <v>7</v>
      </c>
      <c r="AH303" s="5">
        <f>AG303*D303*3</f>
        <v>67.2</v>
      </c>
      <c r="AI303" s="13"/>
      <c r="AK303" s="8">
        <f>AJ303*D303*3</f>
        <v>0</v>
      </c>
      <c r="AL303" s="13"/>
      <c r="AM303">
        <v>30.32</v>
      </c>
      <c r="AN303">
        <v>7.3</v>
      </c>
      <c r="AO303" s="8">
        <f>AN303*D303*3</f>
        <v>70.08</v>
      </c>
      <c r="AP303">
        <v>11.71</v>
      </c>
      <c r="AQ303">
        <v>9.3000000000000007</v>
      </c>
      <c r="AR303">
        <f>AQ303*D303*3</f>
        <v>89.280000000000015</v>
      </c>
      <c r="AT303">
        <v>8.8000000000000007</v>
      </c>
      <c r="AU303">
        <f>AT303*D303*3</f>
        <v>84.480000000000018</v>
      </c>
      <c r="AX303">
        <v>9.1999999999999993</v>
      </c>
      <c r="AY303">
        <f>AX303*D303*3</f>
        <v>88.32</v>
      </c>
      <c r="BA303">
        <v>9</v>
      </c>
      <c r="BB303">
        <f>BA303*D303*3</f>
        <v>86.4</v>
      </c>
      <c r="BD303">
        <v>8.6</v>
      </c>
      <c r="BE303">
        <f>BD303*D303*3</f>
        <v>82.56</v>
      </c>
      <c r="BG303" s="10"/>
      <c r="BH303" s="1">
        <f>CHOOSE(MATCH(MIN(ABS(BP303-C303),ABS(BQ303-C303),ABS(BR303-C303)),CHOOSE({1;2;3},ABS(BP303-C303),ABS(BQ303-C303),ABS(BR303-C303)),0),BP303,BQ303,BR303)</f>
        <v>67.2</v>
      </c>
      <c r="BJ303" s="1" cm="1">
        <f t="array" ref="BJ303">(INDEX(_xlfn._xlws.SORT(CHOOSE({1;2;3;4;5;6},BQ303,BR303,L303,AE303,BO303,BP303)),3) + INDEX(_xlfn._xlws.SORT(CHOOSE({1;2;3;4;5;6},BQ303,BR303,L303,AE303,BO303,BP303)),4))/2</f>
        <v>67.680000000000007</v>
      </c>
      <c r="BK303">
        <v>7.6015726802321302</v>
      </c>
      <c r="BL303" t="s">
        <v>6117</v>
      </c>
      <c r="BM303" s="1">
        <f>BK303*3*D303</f>
        <v>72.975097730228455</v>
      </c>
      <c r="BN303" s="1">
        <f>BM303-C303</f>
        <v>0.97509773022845536</v>
      </c>
      <c r="BO303" s="1">
        <f>GK303*3*D303</f>
        <v>50.400000000000006</v>
      </c>
      <c r="BP303" s="1">
        <f>DO303*3*D303</f>
        <v>86.4</v>
      </c>
      <c r="BQ303" s="1">
        <f>FJ303*3*D303</f>
        <v>67.2</v>
      </c>
      <c r="BR303" s="1">
        <f>GL303*3*D303</f>
        <v>38.400000000000006</v>
      </c>
      <c r="BT303">
        <v>41.97</v>
      </c>
      <c r="BU303">
        <v>8.1999999999999993</v>
      </c>
      <c r="BV303" t="s">
        <v>5046</v>
      </c>
      <c r="BW303" t="s">
        <v>5524</v>
      </c>
      <c r="BX303" t="s">
        <v>5927</v>
      </c>
      <c r="BY303" t="s">
        <v>5165</v>
      </c>
      <c r="BZ303" t="s">
        <v>5928</v>
      </c>
      <c r="CA303" t="s">
        <v>2420</v>
      </c>
      <c r="CC303" t="s">
        <v>3550</v>
      </c>
      <c r="CD303" t="s">
        <v>2812</v>
      </c>
      <c r="CE303" t="s">
        <v>2423</v>
      </c>
      <c r="CG303" t="s">
        <v>3551</v>
      </c>
      <c r="CH303" t="s">
        <v>3552</v>
      </c>
      <c r="CI303" t="s">
        <v>3553</v>
      </c>
      <c r="CK303" t="s">
        <v>3554</v>
      </c>
      <c r="CL303" t="s">
        <v>3555</v>
      </c>
      <c r="CM303" t="s">
        <v>2430</v>
      </c>
      <c r="CO303" t="s">
        <v>3556</v>
      </c>
      <c r="CP303" t="s">
        <v>3557</v>
      </c>
      <c r="CQ303" t="s">
        <v>3558</v>
      </c>
      <c r="CS303" t="s">
        <v>3559</v>
      </c>
      <c r="CT303" t="s">
        <v>3560</v>
      </c>
      <c r="CV303">
        <v>9</v>
      </c>
      <c r="CW303">
        <v>9</v>
      </c>
      <c r="CX303">
        <v>9</v>
      </c>
      <c r="CY303">
        <v>9</v>
      </c>
      <c r="CZ303">
        <v>9</v>
      </c>
      <c r="DA303">
        <v>0.1</v>
      </c>
      <c r="DB303">
        <v>0.1</v>
      </c>
      <c r="DC303">
        <v>0.2</v>
      </c>
      <c r="DD303">
        <v>0.3</v>
      </c>
      <c r="DE303">
        <v>0.3</v>
      </c>
      <c r="DF303">
        <v>0.9</v>
      </c>
      <c r="DG303">
        <v>0.9</v>
      </c>
      <c r="DH303">
        <v>1.8</v>
      </c>
      <c r="DI303">
        <v>2.7</v>
      </c>
      <c r="DJ303">
        <v>2.7</v>
      </c>
      <c r="DK303">
        <v>8.1999999999999993</v>
      </c>
      <c r="DL303">
        <v>0</v>
      </c>
      <c r="DM303">
        <v>8.1999999999999993</v>
      </c>
      <c r="DN303">
        <v>9</v>
      </c>
      <c r="DO303">
        <f>AVERAGE(CV303:CZ303)</f>
        <v>9</v>
      </c>
      <c r="DQ303">
        <v>14</v>
      </c>
      <c r="DR303" t="s">
        <v>28</v>
      </c>
      <c r="DS303" t="s">
        <v>43</v>
      </c>
      <c r="DT303" t="s">
        <v>178</v>
      </c>
      <c r="DU303" t="s">
        <v>157</v>
      </c>
      <c r="DV303" t="s">
        <v>236</v>
      </c>
      <c r="DW303" t="s">
        <v>3769</v>
      </c>
      <c r="DX303" t="s">
        <v>3770</v>
      </c>
      <c r="DY303" t="s">
        <v>3771</v>
      </c>
      <c r="DZ303" t="s">
        <v>3772</v>
      </c>
      <c r="EA303" t="s">
        <v>3860</v>
      </c>
      <c r="EB303" t="s">
        <v>3807</v>
      </c>
      <c r="EC303" t="s">
        <v>3775</v>
      </c>
      <c r="ED303" t="s">
        <v>3776</v>
      </c>
      <c r="EE303" t="s">
        <v>3819</v>
      </c>
      <c r="EF303" t="s">
        <v>4104</v>
      </c>
      <c r="EG303" t="s">
        <v>4658</v>
      </c>
      <c r="EH303" t="s">
        <v>4015</v>
      </c>
      <c r="EI303" t="s">
        <v>4105</v>
      </c>
      <c r="EJ303" t="s">
        <v>3813</v>
      </c>
      <c r="EK303" t="s">
        <v>4014</v>
      </c>
      <c r="EL303" t="s">
        <v>3815</v>
      </c>
      <c r="EM303" t="s">
        <v>3816</v>
      </c>
      <c r="EN303" t="s">
        <v>3931</v>
      </c>
      <c r="EO303" t="s">
        <v>4659</v>
      </c>
      <c r="EP303" t="s">
        <v>3818</v>
      </c>
      <c r="EQ303">
        <v>7</v>
      </c>
      <c r="ER303">
        <v>8</v>
      </c>
      <c r="ES303">
        <v>7</v>
      </c>
      <c r="ET303">
        <v>7</v>
      </c>
      <c r="EU303">
        <v>7</v>
      </c>
      <c r="EV303">
        <v>0.1</v>
      </c>
      <c r="EW303">
        <v>0.1</v>
      </c>
      <c r="EX303">
        <v>0.2</v>
      </c>
      <c r="EY303">
        <v>0.3</v>
      </c>
      <c r="EZ303">
        <v>0.3</v>
      </c>
      <c r="FA303">
        <f>EV303*EQ303</f>
        <v>0.70000000000000007</v>
      </c>
      <c r="FB303">
        <f>EW303*ER303</f>
        <v>0.8</v>
      </c>
      <c r="FC303">
        <f>EX303*ES303</f>
        <v>1.4000000000000001</v>
      </c>
      <c r="FD303">
        <f>EY303*ET303</f>
        <v>2.1</v>
      </c>
      <c r="FE303">
        <f>EZ303*EU303</f>
        <v>2.1</v>
      </c>
      <c r="FF303">
        <v>14</v>
      </c>
      <c r="FG303">
        <v>0</v>
      </c>
      <c r="FH303">
        <v>14</v>
      </c>
      <c r="FI303">
        <f>FA303+FB303+FC303+FD303+FE303</f>
        <v>7.1</v>
      </c>
      <c r="FJ303">
        <f>MEDIAN(EQ303:EU303)</f>
        <v>7</v>
      </c>
      <c r="FL303">
        <v>42.91</v>
      </c>
      <c r="FN303" t="s">
        <v>2039</v>
      </c>
      <c r="FO303" t="s">
        <v>2040</v>
      </c>
      <c r="FP303" t="s">
        <v>2041</v>
      </c>
      <c r="FQ303" t="s">
        <v>2042</v>
      </c>
      <c r="FR303" t="s">
        <v>2043</v>
      </c>
      <c r="FS303">
        <v>3</v>
      </c>
      <c r="FT303">
        <v>2.5</v>
      </c>
      <c r="FU303">
        <v>4</v>
      </c>
      <c r="FV303">
        <v>6</v>
      </c>
      <c r="FW303">
        <v>7</v>
      </c>
      <c r="FX303">
        <v>0.1</v>
      </c>
      <c r="FY303">
        <v>0.1</v>
      </c>
      <c r="FZ303">
        <v>0.2</v>
      </c>
      <c r="GA303">
        <v>0.3</v>
      </c>
      <c r="GB303">
        <v>0.3</v>
      </c>
      <c r="GC303">
        <f>FS303*FX303</f>
        <v>0.30000000000000004</v>
      </c>
      <c r="GD303">
        <f>FT303*FY303</f>
        <v>0.25</v>
      </c>
      <c r="GE303">
        <f>FU303*FZ303</f>
        <v>0.8</v>
      </c>
      <c r="GF303">
        <f>FV303*GA303</f>
        <v>1.7999999999999998</v>
      </c>
      <c r="GG303">
        <f>FW303*GB303</f>
        <v>2.1</v>
      </c>
      <c r="GH303">
        <v>6.5</v>
      </c>
      <c r="GJ303">
        <v>7</v>
      </c>
      <c r="GK303">
        <f>GC303+GD303+GE303+GF303+GG303</f>
        <v>5.25</v>
      </c>
      <c r="GL303">
        <f>MEDIAN(FS303:FW303)</f>
        <v>4</v>
      </c>
    </row>
    <row r="304" spans="1:194" hidden="1" x14ac:dyDescent="0.25">
      <c r="A304">
        <v>303</v>
      </c>
      <c r="B304" t="s">
        <v>2</v>
      </c>
      <c r="C304" s="4">
        <v>83.25</v>
      </c>
      <c r="D304">
        <v>3.7</v>
      </c>
      <c r="E304" s="1">
        <f>C304/3/D304</f>
        <v>7.5</v>
      </c>
      <c r="G304">
        <v>34.46</v>
      </c>
      <c r="H304">
        <v>8.1999999999999993</v>
      </c>
      <c r="I304">
        <f>H304*D304*3</f>
        <v>91.02</v>
      </c>
      <c r="J304">
        <v>16.77</v>
      </c>
      <c r="K304">
        <v>9</v>
      </c>
      <c r="L304" s="3">
        <f>K304*3*D304</f>
        <v>99.9</v>
      </c>
      <c r="M304">
        <v>5.97</v>
      </c>
      <c r="N304">
        <v>5</v>
      </c>
      <c r="O304">
        <f>N304*D304*3</f>
        <v>55.5</v>
      </c>
      <c r="P304" s="5">
        <v>8.6999999999999993</v>
      </c>
      <c r="Q304" s="5">
        <f>P304*D304*3</f>
        <v>96.57</v>
      </c>
      <c r="S304" t="s">
        <v>6429</v>
      </c>
      <c r="T304">
        <v>6.5</v>
      </c>
      <c r="U304" s="8">
        <f>T304*D304*3</f>
        <v>72.150000000000006</v>
      </c>
      <c r="V304">
        <v>32</v>
      </c>
      <c r="W304">
        <v>8.4</v>
      </c>
      <c r="X304" s="5">
        <f>W304*D304*3</f>
        <v>93.240000000000009</v>
      </c>
      <c r="Y304">
        <v>9.27</v>
      </c>
      <c r="Z304">
        <v>7.5</v>
      </c>
      <c r="AA304">
        <f>Z304*D304*3</f>
        <v>83.25</v>
      </c>
      <c r="AC304">
        <v>140.75</v>
      </c>
      <c r="AD304">
        <v>7.3000000000000007</v>
      </c>
      <c r="AE304" s="1">
        <f>AD304*3*D304</f>
        <v>81.030000000000015</v>
      </c>
      <c r="AF304">
        <v>12.13</v>
      </c>
      <c r="AG304" s="5">
        <v>7</v>
      </c>
      <c r="AH304" s="5">
        <f>AG304*D304*3</f>
        <v>77.7</v>
      </c>
      <c r="AI304" s="13"/>
      <c r="AJ304">
        <v>2.8</v>
      </c>
      <c r="AK304" s="8">
        <f>AJ304*D304*3</f>
        <v>31.08</v>
      </c>
      <c r="AL304" s="13"/>
      <c r="AM304">
        <v>31.49</v>
      </c>
      <c r="AN304">
        <v>7.2</v>
      </c>
      <c r="AO304" s="8">
        <f>AN304*D304*3</f>
        <v>79.92</v>
      </c>
      <c r="AP304">
        <v>14.12</v>
      </c>
      <c r="AQ304">
        <v>9.5</v>
      </c>
      <c r="AR304">
        <f>AQ304*D304*3</f>
        <v>105.44999999999999</v>
      </c>
      <c r="AT304">
        <v>9</v>
      </c>
      <c r="AU304">
        <f>AT304*D304*3</f>
        <v>99.9</v>
      </c>
      <c r="AX304">
        <v>9.9</v>
      </c>
      <c r="AY304">
        <f>AX304*D304*3</f>
        <v>109.89000000000001</v>
      </c>
      <c r="BA304">
        <v>7.9</v>
      </c>
      <c r="BB304">
        <f>BA304*D304*3</f>
        <v>87.690000000000012</v>
      </c>
      <c r="BD304">
        <v>8.9</v>
      </c>
      <c r="BE304">
        <f>BD304*D304*3</f>
        <v>98.789999999999992</v>
      </c>
      <c r="BG304" s="10"/>
      <c r="BH304" s="1">
        <f>CHOOSE(MATCH(MIN(ABS(BP304-C304),ABS(BQ304-C304),ABS(BR304-C304)),CHOOSE({1;2;3},ABS(BP304-C304),ABS(BQ304-C304),ABS(BR304-C304)),0),BP304,BQ304,BR304)</f>
        <v>77.7</v>
      </c>
      <c r="BJ304" s="1" cm="1">
        <f t="array" ref="BJ304">(INDEX(_xlfn._xlws.SORT(CHOOSE({1;2;3;4;5;6},BQ304,BR304,L304,AE304,BO304,BP304)),3) + INDEX(_xlfn._xlws.SORT(CHOOSE({1;2;3;4;5;6},BQ304,BR304,L304,AE304,BO304,BP304)),4))/2</f>
        <v>90.742500000000007</v>
      </c>
      <c r="BK304">
        <v>7.5263963234232198</v>
      </c>
      <c r="BL304" t="s">
        <v>6117</v>
      </c>
      <c r="BM304" s="1">
        <f>BK304*3*D304</f>
        <v>83.542999189997744</v>
      </c>
      <c r="BN304" s="1">
        <f>BM304-C304</f>
        <v>0.29299918999774377</v>
      </c>
      <c r="BO304" s="1">
        <f>GK304*3*D304</f>
        <v>87.135000000000005</v>
      </c>
      <c r="BP304" s="1">
        <f>DO304*3*D304</f>
        <v>99.9</v>
      </c>
      <c r="BQ304" s="1">
        <f>FJ304*3*D304</f>
        <v>77.7</v>
      </c>
      <c r="BR304" s="1">
        <f>GL304*3*D304</f>
        <v>94.350000000000009</v>
      </c>
      <c r="BT304">
        <v>34.46</v>
      </c>
      <c r="BU304">
        <v>8.1999999999999993</v>
      </c>
      <c r="BV304" t="s">
        <v>5929</v>
      </c>
      <c r="BW304" t="s">
        <v>5930</v>
      </c>
      <c r="BX304" t="s">
        <v>5931</v>
      </c>
      <c r="BY304" t="s">
        <v>5932</v>
      </c>
      <c r="BZ304" t="s">
        <v>5933</v>
      </c>
      <c r="CA304" t="s">
        <v>2550</v>
      </c>
      <c r="CC304" t="s">
        <v>2634</v>
      </c>
      <c r="CD304" t="s">
        <v>2635</v>
      </c>
      <c r="CE304" t="s">
        <v>2667</v>
      </c>
      <c r="CG304" t="s">
        <v>2634</v>
      </c>
      <c r="CH304" t="s">
        <v>2637</v>
      </c>
      <c r="CI304" t="s">
        <v>3043</v>
      </c>
      <c r="CK304" t="s">
        <v>2634</v>
      </c>
      <c r="CL304" t="s">
        <v>2669</v>
      </c>
      <c r="CM304" t="s">
        <v>2670</v>
      </c>
      <c r="CO304" t="s">
        <v>2634</v>
      </c>
      <c r="CP304" t="s">
        <v>2671</v>
      </c>
      <c r="CQ304" t="s">
        <v>2672</v>
      </c>
      <c r="CS304" t="s">
        <v>2634</v>
      </c>
      <c r="CT304" t="s">
        <v>2645</v>
      </c>
      <c r="CV304">
        <v>9</v>
      </c>
      <c r="CW304">
        <v>9</v>
      </c>
      <c r="CX304">
        <v>9</v>
      </c>
      <c r="CY304">
        <v>9</v>
      </c>
      <c r="CZ304">
        <v>9</v>
      </c>
      <c r="DA304">
        <v>0.1</v>
      </c>
      <c r="DB304">
        <v>0.1</v>
      </c>
      <c r="DC304">
        <v>0.2</v>
      </c>
      <c r="DD304">
        <v>0.3</v>
      </c>
      <c r="DE304">
        <v>0.3</v>
      </c>
      <c r="DF304">
        <v>0.9</v>
      </c>
      <c r="DG304">
        <v>0.9</v>
      </c>
      <c r="DH304">
        <v>1.8</v>
      </c>
      <c r="DI304">
        <v>2.7</v>
      </c>
      <c r="DJ304">
        <v>2.7</v>
      </c>
      <c r="DK304">
        <v>8.1999999999999993</v>
      </c>
      <c r="DL304">
        <v>0</v>
      </c>
      <c r="DM304">
        <v>8.1999999999999993</v>
      </c>
      <c r="DN304">
        <v>9</v>
      </c>
      <c r="DO304">
        <f>AVERAGE(CV304:CZ304)</f>
        <v>9</v>
      </c>
      <c r="DQ304">
        <v>7</v>
      </c>
      <c r="DR304" t="s">
        <v>195</v>
      </c>
      <c r="DS304" t="s">
        <v>196</v>
      </c>
      <c r="DT304" t="s">
        <v>197</v>
      </c>
      <c r="DU304" t="s">
        <v>198</v>
      </c>
      <c r="DV304" t="s">
        <v>199</v>
      </c>
      <c r="DW304" t="s">
        <v>4208</v>
      </c>
      <c r="DX304" t="s">
        <v>4209</v>
      </c>
      <c r="DY304" t="s">
        <v>4210</v>
      </c>
      <c r="DZ304" t="s">
        <v>4211</v>
      </c>
      <c r="EA304" t="s">
        <v>4212</v>
      </c>
      <c r="EB304" t="s">
        <v>4213</v>
      </c>
      <c r="EC304" t="s">
        <v>4214</v>
      </c>
      <c r="ED304" t="s">
        <v>4215</v>
      </c>
      <c r="EE304" t="s">
        <v>3966</v>
      </c>
      <c r="EF304" t="s">
        <v>4216</v>
      </c>
      <c r="EG304" t="s">
        <v>4217</v>
      </c>
      <c r="EH304" t="s">
        <v>4218</v>
      </c>
      <c r="EI304" t="s">
        <v>4219</v>
      </c>
      <c r="EJ304" t="s">
        <v>4220</v>
      </c>
      <c r="EK304" t="s">
        <v>4221</v>
      </c>
      <c r="EL304" t="s">
        <v>4222</v>
      </c>
      <c r="EM304" t="s">
        <v>4223</v>
      </c>
      <c r="EN304" t="s">
        <v>4224</v>
      </c>
      <c r="EO304" t="s">
        <v>4225</v>
      </c>
      <c r="EP304" t="s">
        <v>4226</v>
      </c>
      <c r="EQ304">
        <v>8</v>
      </c>
      <c r="ER304">
        <v>7</v>
      </c>
      <c r="ES304">
        <v>8</v>
      </c>
      <c r="ET304">
        <v>7</v>
      </c>
      <c r="EU304">
        <v>7</v>
      </c>
      <c r="EV304">
        <v>0.1</v>
      </c>
      <c r="EW304">
        <v>0.1</v>
      </c>
      <c r="EX304">
        <v>0.2</v>
      </c>
      <c r="EY304">
        <v>0.3</v>
      </c>
      <c r="EZ304">
        <v>0.3</v>
      </c>
      <c r="FA304">
        <f>EV304*EQ304</f>
        <v>0.8</v>
      </c>
      <c r="FB304">
        <f>EW304*ER304</f>
        <v>0.70000000000000007</v>
      </c>
      <c r="FC304">
        <f>EX304*ES304</f>
        <v>1.6</v>
      </c>
      <c r="FD304">
        <f>EY304*ET304</f>
        <v>2.1</v>
      </c>
      <c r="FE304">
        <f>EZ304*EU304</f>
        <v>2.1</v>
      </c>
      <c r="FF304">
        <v>15.8</v>
      </c>
      <c r="FG304">
        <v>0</v>
      </c>
      <c r="FH304">
        <v>15.8</v>
      </c>
      <c r="FI304">
        <f>FA304+FB304+FC304+FD304+FE304</f>
        <v>7.3000000000000007</v>
      </c>
      <c r="FJ304">
        <f>MEDIAN(EQ304:EU304)</f>
        <v>7</v>
      </c>
      <c r="FL304">
        <v>48.64</v>
      </c>
      <c r="FM304">
        <v>7.4</v>
      </c>
      <c r="FN304" t="s">
        <v>819</v>
      </c>
      <c r="FO304" t="s">
        <v>2044</v>
      </c>
      <c r="FP304" t="s">
        <v>2045</v>
      </c>
      <c r="FQ304" t="s">
        <v>2046</v>
      </c>
      <c r="FR304" t="s">
        <v>2047</v>
      </c>
      <c r="FS304">
        <v>10</v>
      </c>
      <c r="FT304">
        <v>9.5</v>
      </c>
      <c r="FU304">
        <v>8.5</v>
      </c>
      <c r="FV304">
        <v>7.5</v>
      </c>
      <c r="FW304">
        <v>6.5</v>
      </c>
      <c r="FX304">
        <v>0.1</v>
      </c>
      <c r="FY304">
        <v>0.1</v>
      </c>
      <c r="FZ304">
        <v>0.2</v>
      </c>
      <c r="GA304">
        <v>0.3</v>
      </c>
      <c r="GB304">
        <v>0.3</v>
      </c>
      <c r="GC304">
        <f>FS304*FX304</f>
        <v>1</v>
      </c>
      <c r="GD304">
        <f>FT304*FY304</f>
        <v>0.95000000000000007</v>
      </c>
      <c r="GE304">
        <f>FU304*FZ304</f>
        <v>1.7000000000000002</v>
      </c>
      <c r="GF304">
        <f>FV304*GA304</f>
        <v>2.25</v>
      </c>
      <c r="GG304">
        <f>FW304*GB304</f>
        <v>1.95</v>
      </c>
      <c r="GH304">
        <v>7.4</v>
      </c>
      <c r="GJ304">
        <v>7.4</v>
      </c>
      <c r="GK304">
        <f>GC304+GD304+GE304+GF304+GG304</f>
        <v>7.8500000000000005</v>
      </c>
      <c r="GL304">
        <f>MEDIAN(FS304:FW304)</f>
        <v>8.5</v>
      </c>
    </row>
    <row r="305" spans="1:194" hidden="1" x14ac:dyDescent="0.25">
      <c r="A305">
        <v>304</v>
      </c>
      <c r="B305" t="s">
        <v>2</v>
      </c>
      <c r="C305" s="4">
        <v>54.45</v>
      </c>
      <c r="D305">
        <v>3.3</v>
      </c>
      <c r="E305" s="1">
        <f>C305/3/D305</f>
        <v>5.5000000000000009</v>
      </c>
      <c r="G305">
        <v>82.04</v>
      </c>
      <c r="H305">
        <v>8.1999999999999993</v>
      </c>
      <c r="I305">
        <f>H305*D305*3</f>
        <v>81.179999999999978</v>
      </c>
      <c r="J305">
        <v>18.18</v>
      </c>
      <c r="K305">
        <v>9</v>
      </c>
      <c r="L305" s="3">
        <f>K305*3*D305</f>
        <v>89.1</v>
      </c>
      <c r="M305">
        <v>4.08</v>
      </c>
      <c r="N305">
        <v>8.9</v>
      </c>
      <c r="O305">
        <f>N305*D305*3</f>
        <v>88.11</v>
      </c>
      <c r="P305" s="5">
        <v>7.5</v>
      </c>
      <c r="Q305" s="5">
        <f>P305*D305*3</f>
        <v>74.25</v>
      </c>
      <c r="S305" t="s">
        <v>6430</v>
      </c>
      <c r="T305">
        <v>5.5</v>
      </c>
      <c r="U305" s="8">
        <f>T305*D305*3</f>
        <v>54.449999999999996</v>
      </c>
      <c r="V305">
        <v>32.69</v>
      </c>
      <c r="W305">
        <v>7.4</v>
      </c>
      <c r="X305" s="5">
        <f>W305*D305*3</f>
        <v>73.259999999999991</v>
      </c>
      <c r="Y305">
        <v>9.01</v>
      </c>
      <c r="Z305">
        <v>7.8</v>
      </c>
      <c r="AA305">
        <f>Z305*D305*3</f>
        <v>77.22</v>
      </c>
      <c r="AC305">
        <v>143.53</v>
      </c>
      <c r="AD305">
        <v>7.1</v>
      </c>
      <c r="AE305" s="1">
        <f>AD305*3*D305</f>
        <v>70.289999999999992</v>
      </c>
      <c r="AF305">
        <v>12.39</v>
      </c>
      <c r="AG305" s="5">
        <v>7</v>
      </c>
      <c r="AH305" s="5">
        <f>AG305*D305*3</f>
        <v>69.3</v>
      </c>
      <c r="AI305" s="13"/>
      <c r="AJ305">
        <v>43</v>
      </c>
      <c r="AK305" s="8">
        <f>AJ305*D305*3</f>
        <v>425.70000000000005</v>
      </c>
      <c r="AL305" s="13"/>
      <c r="AM305">
        <v>30.92</v>
      </c>
      <c r="AN305">
        <v>7.2</v>
      </c>
      <c r="AO305" s="8">
        <f>AN305*D305*3</f>
        <v>71.28</v>
      </c>
      <c r="AP305">
        <v>12.64</v>
      </c>
      <c r="AQ305">
        <v>10</v>
      </c>
      <c r="AR305">
        <f>AQ305*D305*3</f>
        <v>99</v>
      </c>
      <c r="AT305">
        <v>9</v>
      </c>
      <c r="AU305">
        <f>AT305*D305*3</f>
        <v>89.1</v>
      </c>
      <c r="AX305">
        <v>9.3000000000000007</v>
      </c>
      <c r="AY305">
        <f>AX305*D305*3</f>
        <v>92.070000000000007</v>
      </c>
      <c r="BA305">
        <v>9.1</v>
      </c>
      <c r="BB305">
        <f>BA305*D305*3</f>
        <v>90.089999999999989</v>
      </c>
      <c r="BD305">
        <v>8.6</v>
      </c>
      <c r="BE305">
        <f>BD305*D305*3</f>
        <v>85.14</v>
      </c>
      <c r="BG305" s="10"/>
      <c r="BH305" s="1">
        <f>CHOOSE(MATCH(MIN(ABS(BP305-C305),ABS(BQ305-C305),ABS(BR305-C305)),CHOOSE({1;2;3},ABS(BP305-C305),ABS(BQ305-C305),ABS(BR305-C305)),0),BP305,BQ305,BR305)</f>
        <v>59.4</v>
      </c>
      <c r="BJ305" s="1" cm="1">
        <f t="array" ref="BJ305">(INDEX(_xlfn._xlws.SORT(CHOOSE({1;2;3;4;5;6},BQ305,BR305,L305,AE305,BO305,BP305)),3) + INDEX(_xlfn._xlws.SORT(CHOOSE({1;2;3;4;5;6},BQ305,BR305,L305,AE305,BO305,BP305)),4))/2</f>
        <v>69.794999999999987</v>
      </c>
      <c r="BK305">
        <v>5.5704908443701999</v>
      </c>
      <c r="BL305" t="s">
        <v>6117</v>
      </c>
      <c r="BM305" s="1">
        <f>BK305*3*D305</f>
        <v>55.147859359264984</v>
      </c>
      <c r="BN305" s="1">
        <f>BM305-C305</f>
        <v>0.69785935926498155</v>
      </c>
      <c r="BO305" s="1">
        <f>GK305*3*D305</f>
        <v>56.43</v>
      </c>
      <c r="BP305" s="1">
        <f>DO305*3*D305</f>
        <v>89.1</v>
      </c>
      <c r="BQ305" s="1">
        <f>FJ305*3*D305</f>
        <v>69.3</v>
      </c>
      <c r="BR305" s="1">
        <f>GL305*3*D305</f>
        <v>59.4</v>
      </c>
      <c r="BT305">
        <v>82.04</v>
      </c>
      <c r="BU305">
        <v>8.1999999999999993</v>
      </c>
      <c r="BV305" t="s">
        <v>5934</v>
      </c>
      <c r="BW305" t="s">
        <v>5603</v>
      </c>
      <c r="BX305" t="s">
        <v>5935</v>
      </c>
      <c r="BY305" t="s">
        <v>5936</v>
      </c>
      <c r="BZ305" t="s">
        <v>5937</v>
      </c>
      <c r="CA305" t="s">
        <v>2506</v>
      </c>
      <c r="CC305" t="s">
        <v>2758</v>
      </c>
      <c r="CD305" t="s">
        <v>2508</v>
      </c>
      <c r="CE305" t="s">
        <v>2440</v>
      </c>
      <c r="CG305" t="s">
        <v>2761</v>
      </c>
      <c r="CH305" t="s">
        <v>2510</v>
      </c>
      <c r="CI305" t="s">
        <v>2443</v>
      </c>
      <c r="CK305" t="s">
        <v>2795</v>
      </c>
      <c r="CL305" t="s">
        <v>2512</v>
      </c>
      <c r="CM305" t="s">
        <v>2446</v>
      </c>
      <c r="CO305" t="s">
        <v>2796</v>
      </c>
      <c r="CP305" t="s">
        <v>2514</v>
      </c>
      <c r="CQ305" t="s">
        <v>2449</v>
      </c>
      <c r="CS305" t="s">
        <v>2679</v>
      </c>
      <c r="CT305" t="s">
        <v>2524</v>
      </c>
      <c r="CV305">
        <v>9</v>
      </c>
      <c r="CW305">
        <v>9</v>
      </c>
      <c r="CX305">
        <v>9</v>
      </c>
      <c r="CY305">
        <v>9</v>
      </c>
      <c r="CZ305">
        <v>9</v>
      </c>
      <c r="DA305">
        <v>0.1</v>
      </c>
      <c r="DB305">
        <v>0.1</v>
      </c>
      <c r="DC305">
        <v>0.2</v>
      </c>
      <c r="DD305">
        <v>0.3</v>
      </c>
      <c r="DE305">
        <v>0.3</v>
      </c>
      <c r="DF305">
        <v>0.9</v>
      </c>
      <c r="DG305">
        <v>0.9</v>
      </c>
      <c r="DH305">
        <v>1.8</v>
      </c>
      <c r="DI305">
        <v>2.7</v>
      </c>
      <c r="DJ305">
        <v>2.7</v>
      </c>
      <c r="DK305">
        <v>8.1999999999999993</v>
      </c>
      <c r="DL305">
        <v>0</v>
      </c>
      <c r="DM305">
        <v>8.1999999999999993</v>
      </c>
      <c r="DN305">
        <v>9</v>
      </c>
      <c r="DO305">
        <f>AVERAGE(CV305:CZ305)</f>
        <v>9</v>
      </c>
      <c r="DQ305" t="s">
        <v>27</v>
      </c>
      <c r="DR305" t="s">
        <v>28</v>
      </c>
      <c r="DS305" t="s">
        <v>29</v>
      </c>
      <c r="DT305" t="s">
        <v>335</v>
      </c>
      <c r="DU305" t="s">
        <v>415</v>
      </c>
      <c r="DV305" t="s">
        <v>501</v>
      </c>
      <c r="DW305" t="s">
        <v>3769</v>
      </c>
      <c r="DX305" t="s">
        <v>3770</v>
      </c>
      <c r="DY305" t="s">
        <v>3771</v>
      </c>
      <c r="DZ305" t="s">
        <v>3772</v>
      </c>
      <c r="EA305" t="s">
        <v>3860</v>
      </c>
      <c r="EB305" t="s">
        <v>3807</v>
      </c>
      <c r="EC305" t="s">
        <v>3775</v>
      </c>
      <c r="ED305" t="s">
        <v>3776</v>
      </c>
      <c r="EE305" t="s">
        <v>3819</v>
      </c>
      <c r="EF305" t="s">
        <v>3809</v>
      </c>
      <c r="EG305" t="s">
        <v>4048</v>
      </c>
      <c r="EH305" t="s">
        <v>4015</v>
      </c>
      <c r="EI305" t="s">
        <v>3820</v>
      </c>
      <c r="EJ305" t="s">
        <v>3813</v>
      </c>
      <c r="EK305" t="s">
        <v>4049</v>
      </c>
      <c r="EL305" t="s">
        <v>3815</v>
      </c>
      <c r="EM305" t="s">
        <v>3816</v>
      </c>
      <c r="EN305" t="s">
        <v>4050</v>
      </c>
      <c r="EO305" t="s">
        <v>4018</v>
      </c>
      <c r="EP305" t="s">
        <v>4051</v>
      </c>
      <c r="EQ305">
        <v>7</v>
      </c>
      <c r="ER305">
        <v>8</v>
      </c>
      <c r="ES305">
        <v>7</v>
      </c>
      <c r="ET305">
        <v>7</v>
      </c>
      <c r="EU305">
        <v>7</v>
      </c>
      <c r="EV305">
        <v>0.1</v>
      </c>
      <c r="EW305">
        <v>0.1</v>
      </c>
      <c r="EX305">
        <v>0.2</v>
      </c>
      <c r="EY305">
        <v>0.3</v>
      </c>
      <c r="EZ305">
        <v>0.3</v>
      </c>
      <c r="FA305">
        <f>EV305*EQ305</f>
        <v>0.70000000000000007</v>
      </c>
      <c r="FB305">
        <f>EW305*ER305</f>
        <v>0.8</v>
      </c>
      <c r="FC305">
        <f>EX305*ES305</f>
        <v>1.4000000000000001</v>
      </c>
      <c r="FD305">
        <f>EY305*ET305</f>
        <v>2.1</v>
      </c>
      <c r="FE305">
        <f>EZ305*EU305</f>
        <v>2.1</v>
      </c>
      <c r="FF305">
        <v>19</v>
      </c>
      <c r="FG305">
        <v>0</v>
      </c>
      <c r="FH305">
        <v>9</v>
      </c>
      <c r="FI305">
        <f>FA305+FB305+FC305+FD305+FE305</f>
        <v>7.1</v>
      </c>
      <c r="FJ305">
        <f>MEDIAN(EQ305:EU305)</f>
        <v>7</v>
      </c>
      <c r="FL305">
        <v>76.05</v>
      </c>
      <c r="FM305">
        <v>5.8</v>
      </c>
      <c r="FN305" t="s">
        <v>2048</v>
      </c>
      <c r="FO305" t="s">
        <v>2049</v>
      </c>
      <c r="FP305" t="s">
        <v>2050</v>
      </c>
      <c r="FQ305" t="s">
        <v>2051</v>
      </c>
      <c r="FR305" t="s">
        <v>2052</v>
      </c>
      <c r="FS305">
        <v>5</v>
      </c>
      <c r="FT305">
        <v>8</v>
      </c>
      <c r="FU305">
        <v>7</v>
      </c>
      <c r="FV305">
        <v>6</v>
      </c>
      <c r="FW305">
        <v>4</v>
      </c>
      <c r="FX305">
        <v>0.1</v>
      </c>
      <c r="FY305">
        <v>0.1</v>
      </c>
      <c r="FZ305">
        <v>0.2</v>
      </c>
      <c r="GA305">
        <v>0.3</v>
      </c>
      <c r="GB305">
        <v>0.3</v>
      </c>
      <c r="GC305">
        <f>FS305*FX305</f>
        <v>0.5</v>
      </c>
      <c r="GD305">
        <f>FT305*FY305</f>
        <v>0.8</v>
      </c>
      <c r="GE305">
        <f>FU305*FZ305</f>
        <v>1.4000000000000001</v>
      </c>
      <c r="GF305">
        <f>FV305*GA305</f>
        <v>1.7999999999999998</v>
      </c>
      <c r="GG305">
        <f>FW305*GB305</f>
        <v>1.2</v>
      </c>
      <c r="GH305">
        <v>6</v>
      </c>
      <c r="GI305">
        <v>-0.2</v>
      </c>
      <c r="GJ305">
        <v>5.8</v>
      </c>
      <c r="GK305">
        <f>GC305+GD305+GE305+GF305+GG305</f>
        <v>5.7</v>
      </c>
      <c r="GL305">
        <f>MEDIAN(FS305:FW305)</f>
        <v>6</v>
      </c>
    </row>
    <row r="306" spans="1:194" hidden="1" x14ac:dyDescent="0.25">
      <c r="A306">
        <v>305</v>
      </c>
      <c r="B306" t="s">
        <v>2</v>
      </c>
      <c r="C306" s="4">
        <v>75.599999999999994</v>
      </c>
      <c r="D306">
        <v>3.6</v>
      </c>
      <c r="E306" s="1">
        <f>C306/3/D306</f>
        <v>7</v>
      </c>
      <c r="G306">
        <v>34.380000000000003</v>
      </c>
      <c r="H306">
        <v>8.1</v>
      </c>
      <c r="I306">
        <f>H306*D306*3</f>
        <v>87.48</v>
      </c>
      <c r="J306">
        <v>18.29</v>
      </c>
      <c r="K306">
        <v>8.4</v>
      </c>
      <c r="L306" s="3">
        <f>K306*3*D306</f>
        <v>90.720000000000013</v>
      </c>
      <c r="M306">
        <v>16.62</v>
      </c>
      <c r="O306">
        <f>N306*D306*3</f>
        <v>0</v>
      </c>
      <c r="P306" s="5">
        <v>9</v>
      </c>
      <c r="Q306" s="5">
        <f>P306*D306*3</f>
        <v>97.199999999999989</v>
      </c>
      <c r="S306" t="s">
        <v>6431</v>
      </c>
      <c r="T306">
        <v>6</v>
      </c>
      <c r="U306" s="8">
        <f>T306*D306*3</f>
        <v>64.800000000000011</v>
      </c>
      <c r="V306">
        <v>30.65</v>
      </c>
      <c r="W306">
        <v>8.6999999999999993</v>
      </c>
      <c r="X306" s="5">
        <f>W306*D306*3</f>
        <v>93.96</v>
      </c>
      <c r="Y306">
        <v>9.11</v>
      </c>
      <c r="Z306">
        <v>7.5</v>
      </c>
      <c r="AA306">
        <f>Z306*D306*3</f>
        <v>81</v>
      </c>
      <c r="AC306">
        <v>136.41</v>
      </c>
      <c r="AD306">
        <v>8</v>
      </c>
      <c r="AE306" s="1">
        <f>AD306*3*D306</f>
        <v>86.4</v>
      </c>
      <c r="AF306">
        <v>12.03</v>
      </c>
      <c r="AG306" s="5">
        <v>7</v>
      </c>
      <c r="AH306" s="5">
        <f>AG306*D306*3</f>
        <v>75.599999999999994</v>
      </c>
      <c r="AI306" s="13"/>
      <c r="AJ306">
        <v>2.7</v>
      </c>
      <c r="AK306" s="8">
        <f>AJ306*D306*3</f>
        <v>29.160000000000004</v>
      </c>
      <c r="AL306" s="13"/>
      <c r="AM306">
        <v>30.41</v>
      </c>
      <c r="AN306">
        <v>7.3</v>
      </c>
      <c r="AO306" s="8">
        <f>AN306*D306*3</f>
        <v>78.84</v>
      </c>
      <c r="AP306">
        <v>12.03</v>
      </c>
      <c r="AQ306">
        <v>9</v>
      </c>
      <c r="AR306">
        <f>AQ306*D306*3</f>
        <v>97.199999999999989</v>
      </c>
      <c r="AT306">
        <v>7.4</v>
      </c>
      <c r="AU306">
        <f>AT306*D306*3</f>
        <v>79.92</v>
      </c>
      <c r="AX306">
        <v>9.4</v>
      </c>
      <c r="AY306">
        <f>AX306*D306*3</f>
        <v>101.52000000000001</v>
      </c>
      <c r="BA306">
        <v>9.1</v>
      </c>
      <c r="BB306">
        <f>BA306*D306*3</f>
        <v>98.28</v>
      </c>
      <c r="BD306">
        <v>8.3000000000000007</v>
      </c>
      <c r="BE306">
        <f>BD306*D306*3</f>
        <v>89.640000000000015</v>
      </c>
      <c r="BG306" s="10"/>
      <c r="BH306" s="1">
        <f>CHOOSE(MATCH(MIN(ABS(BP306-C306),ABS(BQ306-C306),ABS(BR306-C306)),CHOOSE({1;2;3},ABS(BP306-C306),ABS(BQ306-C306),ABS(BR306-C306)),0),BP306,BQ306,BR306)</f>
        <v>75.600000000000009</v>
      </c>
      <c r="BJ306" s="1" cm="1">
        <f t="array" ref="BJ306">(INDEX(_xlfn._xlws.SORT(CHOOSE({1;2;3;4;5;6},BQ306,BR306,L306,AE306,BO306,BP306)),3) + INDEX(_xlfn._xlws.SORT(CHOOSE({1;2;3;4;5;6},BQ306,BR306,L306,AE306,BO306,BP306)),4))/2</f>
        <v>86.4</v>
      </c>
      <c r="BK306">
        <v>7.0568168411635002</v>
      </c>
      <c r="BL306" t="s">
        <v>6117</v>
      </c>
      <c r="BM306" s="1">
        <f>BK306*3*D306</f>
        <v>76.213621884565811</v>
      </c>
      <c r="BN306" s="1">
        <f>BM306-C306</f>
        <v>0.61362188456581634</v>
      </c>
      <c r="BO306" s="1">
        <f>GK306*3*D306</f>
        <v>72.900000000000006</v>
      </c>
      <c r="BP306" s="1">
        <f>DO306*3*D306</f>
        <v>97.2</v>
      </c>
      <c r="BQ306" s="1">
        <f>FJ306*3*D306</f>
        <v>86.4</v>
      </c>
      <c r="BR306" s="1">
        <f>GL306*3*D306</f>
        <v>75.600000000000009</v>
      </c>
      <c r="BT306">
        <v>34.380000000000003</v>
      </c>
      <c r="BU306">
        <v>8.1</v>
      </c>
      <c r="BV306" t="s">
        <v>5018</v>
      </c>
      <c r="BW306" t="s">
        <v>5019</v>
      </c>
      <c r="BX306" t="s">
        <v>5020</v>
      </c>
      <c r="BY306" t="s">
        <v>5670</v>
      </c>
      <c r="BZ306" t="s">
        <v>5022</v>
      </c>
      <c r="CA306" t="s">
        <v>2437</v>
      </c>
      <c r="CC306" t="s">
        <v>2758</v>
      </c>
      <c r="CD306" t="s">
        <v>2508</v>
      </c>
      <c r="CE306" t="s">
        <v>2440</v>
      </c>
      <c r="CG306" t="s">
        <v>2761</v>
      </c>
      <c r="CH306" t="s">
        <v>2510</v>
      </c>
      <c r="CI306" t="s">
        <v>2443</v>
      </c>
      <c r="CK306" t="s">
        <v>2795</v>
      </c>
      <c r="CL306" t="s">
        <v>2512</v>
      </c>
      <c r="CM306" t="s">
        <v>2446</v>
      </c>
      <c r="CO306" t="s">
        <v>2796</v>
      </c>
      <c r="CP306" t="s">
        <v>2514</v>
      </c>
      <c r="CQ306" t="s">
        <v>2449</v>
      </c>
      <c r="CS306" t="s">
        <v>2679</v>
      </c>
      <c r="CT306" t="s">
        <v>2524</v>
      </c>
      <c r="CV306">
        <v>9</v>
      </c>
      <c r="CW306">
        <v>9</v>
      </c>
      <c r="CX306">
        <v>9</v>
      </c>
      <c r="CY306">
        <v>9</v>
      </c>
      <c r="CZ306">
        <v>9</v>
      </c>
      <c r="DA306">
        <v>0.1</v>
      </c>
      <c r="DB306">
        <v>0.1</v>
      </c>
      <c r="DC306">
        <v>0.2</v>
      </c>
      <c r="DD306">
        <v>0.3</v>
      </c>
      <c r="DE306">
        <v>0.3</v>
      </c>
      <c r="DF306">
        <v>0.9</v>
      </c>
      <c r="DG306">
        <v>0.9</v>
      </c>
      <c r="DH306">
        <v>1.8</v>
      </c>
      <c r="DI306">
        <v>2.7</v>
      </c>
      <c r="DJ306">
        <v>2.7</v>
      </c>
      <c r="DK306">
        <v>8.1</v>
      </c>
      <c r="DL306">
        <v>0</v>
      </c>
      <c r="DM306">
        <v>8.1</v>
      </c>
      <c r="DN306">
        <v>8.4</v>
      </c>
      <c r="DO306">
        <f>AVERAGE(CV306:CZ306)</f>
        <v>9</v>
      </c>
      <c r="DQ306">
        <v>8</v>
      </c>
      <c r="DR306" t="s">
        <v>33</v>
      </c>
      <c r="DS306" t="s">
        <v>187</v>
      </c>
      <c r="DT306" t="s">
        <v>241</v>
      </c>
      <c r="DU306" t="s">
        <v>502</v>
      </c>
      <c r="DV306" t="s">
        <v>503</v>
      </c>
      <c r="DW306" t="s">
        <v>3788</v>
      </c>
      <c r="DX306" t="s">
        <v>3789</v>
      </c>
      <c r="DY306" t="s">
        <v>3790</v>
      </c>
      <c r="DZ306" t="s">
        <v>3933</v>
      </c>
      <c r="EA306" t="s">
        <v>3792</v>
      </c>
      <c r="EB306" t="s">
        <v>3793</v>
      </c>
      <c r="EC306" t="s">
        <v>4189</v>
      </c>
      <c r="ED306" t="s">
        <v>4190</v>
      </c>
      <c r="EE306" t="s">
        <v>4305</v>
      </c>
      <c r="EF306" t="s">
        <v>3797</v>
      </c>
      <c r="EG306" t="s">
        <v>4306</v>
      </c>
      <c r="EH306" t="s">
        <v>4307</v>
      </c>
      <c r="EI306" t="s">
        <v>4834</v>
      </c>
      <c r="EJ306" t="s">
        <v>3800</v>
      </c>
      <c r="EK306" t="s">
        <v>4835</v>
      </c>
      <c r="EL306" t="s">
        <v>4196</v>
      </c>
      <c r="EM306" t="s">
        <v>4836</v>
      </c>
      <c r="EN306" t="s">
        <v>3803</v>
      </c>
      <c r="EO306" t="s">
        <v>4837</v>
      </c>
      <c r="EP306" t="s">
        <v>4838</v>
      </c>
      <c r="EQ306">
        <v>8</v>
      </c>
      <c r="ER306">
        <v>8</v>
      </c>
      <c r="ES306">
        <v>8</v>
      </c>
      <c r="ET306">
        <v>8</v>
      </c>
      <c r="EU306">
        <v>8</v>
      </c>
      <c r="EV306">
        <v>0.1</v>
      </c>
      <c r="EW306">
        <v>0.1</v>
      </c>
      <c r="EX306">
        <v>0.2</v>
      </c>
      <c r="EY306">
        <v>0.3</v>
      </c>
      <c r="EZ306">
        <v>0.3</v>
      </c>
      <c r="FA306">
        <f>EV306*EQ306</f>
        <v>0.8</v>
      </c>
      <c r="FB306">
        <f>EW306*ER306</f>
        <v>0.8</v>
      </c>
      <c r="FC306">
        <f>EX306*ES306</f>
        <v>1.6</v>
      </c>
      <c r="FD306">
        <f>EY306*ET306</f>
        <v>2.4</v>
      </c>
      <c r="FE306">
        <f>EZ306*EU306</f>
        <v>2.4</v>
      </c>
      <c r="FF306">
        <v>16</v>
      </c>
      <c r="FG306">
        <v>0</v>
      </c>
      <c r="FH306">
        <v>8</v>
      </c>
      <c r="FI306">
        <f>FA306+FB306+FC306+FD306+FE306</f>
        <v>8</v>
      </c>
      <c r="FJ306">
        <f>MEDIAN(EQ306:EU306)</f>
        <v>8</v>
      </c>
      <c r="FL306">
        <v>39.409999999999997</v>
      </c>
      <c r="FM306">
        <v>9</v>
      </c>
      <c r="FN306" t="s">
        <v>2053</v>
      </c>
      <c r="FO306" t="s">
        <v>2054</v>
      </c>
      <c r="FP306" t="s">
        <v>2055</v>
      </c>
      <c r="FQ306" t="s">
        <v>2056</v>
      </c>
      <c r="FR306" t="s">
        <v>2057</v>
      </c>
      <c r="FS306">
        <v>6.5</v>
      </c>
      <c r="FT306">
        <v>8</v>
      </c>
      <c r="FU306">
        <v>7</v>
      </c>
      <c r="FV306">
        <v>6</v>
      </c>
      <c r="FW306">
        <v>7</v>
      </c>
      <c r="FX306">
        <v>0.1</v>
      </c>
      <c r="FY306">
        <v>0.1</v>
      </c>
      <c r="FZ306">
        <v>0.2</v>
      </c>
      <c r="GA306">
        <v>0.3</v>
      </c>
      <c r="GB306">
        <v>0.3</v>
      </c>
      <c r="GC306">
        <f>FS306*FX306</f>
        <v>0.65</v>
      </c>
      <c r="GD306">
        <f>FT306*FY306</f>
        <v>0.8</v>
      </c>
      <c r="GE306">
        <f>FU306*FZ306</f>
        <v>1.4000000000000001</v>
      </c>
      <c r="GF306">
        <f>FV306*GA306</f>
        <v>1.7999999999999998</v>
      </c>
      <c r="GG306">
        <f>FW306*GB306</f>
        <v>2.1</v>
      </c>
      <c r="GH306">
        <v>9</v>
      </c>
      <c r="GI306">
        <v>0</v>
      </c>
      <c r="GJ306">
        <v>9</v>
      </c>
      <c r="GK306">
        <f>GC306+GD306+GE306+GF306+GG306</f>
        <v>6.75</v>
      </c>
      <c r="GL306">
        <f>MEDIAN(FS306:FW306)</f>
        <v>7</v>
      </c>
    </row>
    <row r="307" spans="1:194" hidden="1" x14ac:dyDescent="0.25">
      <c r="A307">
        <v>306</v>
      </c>
      <c r="B307" t="s">
        <v>2</v>
      </c>
      <c r="C307" s="4">
        <v>77.55</v>
      </c>
      <c r="D307">
        <v>3.3</v>
      </c>
      <c r="E307" s="1">
        <f>C307/3/D307</f>
        <v>7.833333333333333</v>
      </c>
      <c r="G307">
        <v>42.11</v>
      </c>
      <c r="H307">
        <v>5.5</v>
      </c>
      <c r="I307">
        <f>H307*D307*3</f>
        <v>54.449999999999996</v>
      </c>
      <c r="J307">
        <v>15.99</v>
      </c>
      <c r="K307">
        <v>8</v>
      </c>
      <c r="L307" s="3">
        <f>K307*3*D307</f>
        <v>79.199999999999989</v>
      </c>
      <c r="M307">
        <v>5.64</v>
      </c>
      <c r="N307">
        <v>8</v>
      </c>
      <c r="O307">
        <f>N307*D307*3</f>
        <v>79.199999999999989</v>
      </c>
      <c r="P307" s="5">
        <v>7.2</v>
      </c>
      <c r="Q307" s="5">
        <f>P307*D307*3</f>
        <v>71.28</v>
      </c>
      <c r="S307" t="s">
        <v>6432</v>
      </c>
      <c r="T307">
        <v>7.3</v>
      </c>
      <c r="U307" s="8">
        <f>T307*D307*3</f>
        <v>72.27</v>
      </c>
      <c r="V307">
        <v>32.159999999999997</v>
      </c>
      <c r="W307">
        <v>8.4</v>
      </c>
      <c r="X307" s="5">
        <f>W307*D307*3</f>
        <v>83.16</v>
      </c>
      <c r="Y307">
        <v>11.38</v>
      </c>
      <c r="Z307">
        <v>6</v>
      </c>
      <c r="AA307">
        <f>Z307*D307*3</f>
        <v>59.399999999999991</v>
      </c>
      <c r="AC307">
        <v>137.41</v>
      </c>
      <c r="AD307">
        <v>8</v>
      </c>
      <c r="AE307" s="1">
        <f>AD307*3*D307</f>
        <v>79.199999999999989</v>
      </c>
      <c r="AF307">
        <v>12.03</v>
      </c>
      <c r="AG307" s="5">
        <v>7</v>
      </c>
      <c r="AH307" s="5">
        <f>AG307*D307*3</f>
        <v>69.3</v>
      </c>
      <c r="AI307" s="13"/>
      <c r="AK307" s="8">
        <f>AJ307*D307*3</f>
        <v>0</v>
      </c>
      <c r="AL307" s="13"/>
      <c r="AM307">
        <v>31.12</v>
      </c>
      <c r="AN307">
        <v>7.1</v>
      </c>
      <c r="AO307" s="8">
        <f>AN307*D307*3</f>
        <v>70.289999999999992</v>
      </c>
      <c r="AP307">
        <v>15.44</v>
      </c>
      <c r="AQ307">
        <v>10</v>
      </c>
      <c r="AR307">
        <f>AQ307*D307*3</f>
        <v>99</v>
      </c>
      <c r="AT307">
        <v>8.1999999999999993</v>
      </c>
      <c r="AU307">
        <f>AT307*D307*3</f>
        <v>81.179999999999978</v>
      </c>
      <c r="AX307">
        <v>8.8000000000000007</v>
      </c>
      <c r="AY307">
        <f>AX307*D307*3</f>
        <v>87.12</v>
      </c>
      <c r="BA307">
        <v>8.9</v>
      </c>
      <c r="BB307">
        <f>BA307*D307*3</f>
        <v>88.11</v>
      </c>
      <c r="BD307">
        <v>8.9</v>
      </c>
      <c r="BE307">
        <f>BD307*D307*3</f>
        <v>88.11</v>
      </c>
      <c r="BG307" s="10"/>
      <c r="BH307" s="1">
        <f>CHOOSE(MATCH(MIN(ABS(BP307-C307),ABS(BQ307-C307),ABS(BR307-C307)),CHOOSE({1;2;3},ABS(BP307-C307),ABS(BQ307-C307),ABS(BR307-C307)),0),BP307,BQ307,BR307)</f>
        <v>79.199999999999989</v>
      </c>
      <c r="BJ307" s="1" cm="1">
        <f t="array" ref="BJ307">(INDEX(_xlfn._xlws.SORT(CHOOSE({1;2;3;4;5;6},BQ307,BR307,L307,AE307,BO307,BP307)),3) + INDEX(_xlfn._xlws.SORT(CHOOSE({1;2;3;4;5;6},BQ307,BR307,L307,AE307,BO307,BP307)),4))/2</f>
        <v>74.25</v>
      </c>
      <c r="BK307">
        <v>7.79591469308372</v>
      </c>
      <c r="BL307" t="s">
        <v>6117</v>
      </c>
      <c r="BM307" s="1">
        <f>BK307*3*D307</f>
        <v>77.179555461528821</v>
      </c>
      <c r="BN307" s="1">
        <f>BM307-C307</f>
        <v>-0.37044453847117609</v>
      </c>
      <c r="BO307" s="1">
        <f>GK307*3*D307</f>
        <v>49.5</v>
      </c>
      <c r="BP307" s="1">
        <f>DO307*3*D307</f>
        <v>69.3</v>
      </c>
      <c r="BQ307" s="1">
        <f>FJ307*3*D307</f>
        <v>79.199999999999989</v>
      </c>
      <c r="BR307" s="1">
        <f>GL307*3*D307</f>
        <v>39.599999999999994</v>
      </c>
      <c r="BT307">
        <v>42.11</v>
      </c>
      <c r="BU307">
        <v>5.5</v>
      </c>
      <c r="BV307" t="s">
        <v>5938</v>
      </c>
      <c r="BW307" t="s">
        <v>5939</v>
      </c>
      <c r="BX307" t="s">
        <v>5940</v>
      </c>
      <c r="BY307" t="s">
        <v>5941</v>
      </c>
      <c r="BZ307" t="s">
        <v>5942</v>
      </c>
      <c r="CA307" t="s">
        <v>2931</v>
      </c>
      <c r="CB307" t="s">
        <v>2932</v>
      </c>
      <c r="CC307" t="s">
        <v>3561</v>
      </c>
      <c r="CD307" t="s">
        <v>3562</v>
      </c>
      <c r="CE307" t="s">
        <v>2440</v>
      </c>
      <c r="CG307" t="s">
        <v>3416</v>
      </c>
      <c r="CH307" t="s">
        <v>3563</v>
      </c>
      <c r="CI307" t="s">
        <v>2535</v>
      </c>
      <c r="CJ307" t="s">
        <v>2427</v>
      </c>
      <c r="CK307" t="s">
        <v>3564</v>
      </c>
      <c r="CL307" t="s">
        <v>3565</v>
      </c>
      <c r="CM307" t="s">
        <v>2940</v>
      </c>
      <c r="CN307" t="s">
        <v>2941</v>
      </c>
      <c r="CO307" t="s">
        <v>3561</v>
      </c>
      <c r="CP307" t="s">
        <v>3566</v>
      </c>
      <c r="CQ307" t="s">
        <v>2944</v>
      </c>
      <c r="CR307" t="s">
        <v>3567</v>
      </c>
      <c r="CS307" t="s">
        <v>3568</v>
      </c>
      <c r="CT307" t="s">
        <v>3569</v>
      </c>
      <c r="CV307">
        <v>7.5</v>
      </c>
      <c r="CW307">
        <v>9</v>
      </c>
      <c r="CX307">
        <v>7</v>
      </c>
      <c r="CY307">
        <v>6.5</v>
      </c>
      <c r="CZ307">
        <v>5</v>
      </c>
      <c r="DA307">
        <v>0.1</v>
      </c>
      <c r="DB307">
        <v>0.1</v>
      </c>
      <c r="DC307">
        <v>0.2</v>
      </c>
      <c r="DD307">
        <v>0.3</v>
      </c>
      <c r="DE307">
        <v>0.3</v>
      </c>
      <c r="DF307">
        <v>0.75</v>
      </c>
      <c r="DG307">
        <v>0.9</v>
      </c>
      <c r="DH307">
        <v>1.4</v>
      </c>
      <c r="DI307">
        <v>1.95</v>
      </c>
      <c r="DJ307">
        <v>1.5</v>
      </c>
      <c r="DK307">
        <v>5.5</v>
      </c>
      <c r="DL307">
        <v>0</v>
      </c>
      <c r="DM307">
        <v>5.5</v>
      </c>
      <c r="DN307">
        <v>8</v>
      </c>
      <c r="DO307">
        <f>AVERAGE(CV307:CZ307)</f>
        <v>7</v>
      </c>
      <c r="DQ307">
        <v>8</v>
      </c>
      <c r="DR307" t="s">
        <v>33</v>
      </c>
      <c r="DS307" t="s">
        <v>504</v>
      </c>
      <c r="DT307" t="s">
        <v>505</v>
      </c>
      <c r="DU307" t="s">
        <v>506</v>
      </c>
      <c r="DV307" t="s">
        <v>507</v>
      </c>
      <c r="DW307" t="s">
        <v>3788</v>
      </c>
      <c r="DX307" t="s">
        <v>3789</v>
      </c>
      <c r="DY307" t="s">
        <v>3790</v>
      </c>
      <c r="DZ307" t="s">
        <v>3791</v>
      </c>
      <c r="EA307" t="s">
        <v>3993</v>
      </c>
      <c r="EB307" t="s">
        <v>3793</v>
      </c>
      <c r="EC307" t="s">
        <v>4839</v>
      </c>
      <c r="ED307" t="s">
        <v>4840</v>
      </c>
      <c r="EE307" t="s">
        <v>3978</v>
      </c>
      <c r="EF307" t="s">
        <v>3797</v>
      </c>
      <c r="EG307" t="s">
        <v>4841</v>
      </c>
      <c r="EH307" t="s">
        <v>4842</v>
      </c>
      <c r="EI307" t="s">
        <v>4427</v>
      </c>
      <c r="EJ307" t="s">
        <v>3800</v>
      </c>
      <c r="EK307" t="s">
        <v>4843</v>
      </c>
      <c r="EL307" t="s">
        <v>4844</v>
      </c>
      <c r="EM307" t="s">
        <v>4845</v>
      </c>
      <c r="EN307" t="s">
        <v>3803</v>
      </c>
      <c r="EO307" t="s">
        <v>4846</v>
      </c>
      <c r="EP307" t="s">
        <v>4847</v>
      </c>
      <c r="EQ307">
        <v>8</v>
      </c>
      <c r="ER307">
        <v>8</v>
      </c>
      <c r="ES307">
        <v>8</v>
      </c>
      <c r="ET307">
        <v>8</v>
      </c>
      <c r="EU307">
        <v>8</v>
      </c>
      <c r="EV307">
        <v>0.1</v>
      </c>
      <c r="EW307">
        <v>0.1</v>
      </c>
      <c r="EX307">
        <v>0.2</v>
      </c>
      <c r="EY307">
        <v>0.3</v>
      </c>
      <c r="EZ307">
        <v>0.3</v>
      </c>
      <c r="FA307">
        <f>EV307*EQ307</f>
        <v>0.8</v>
      </c>
      <c r="FB307">
        <f>EW307*ER307</f>
        <v>0.8</v>
      </c>
      <c r="FC307">
        <f>EX307*ES307</f>
        <v>1.6</v>
      </c>
      <c r="FD307">
        <f>EY307*ET307</f>
        <v>2.4</v>
      </c>
      <c r="FE307">
        <f>EZ307*EU307</f>
        <v>2.4</v>
      </c>
      <c r="FF307">
        <v>16</v>
      </c>
      <c r="FG307">
        <v>0</v>
      </c>
      <c r="FH307">
        <v>8</v>
      </c>
      <c r="FI307">
        <f>FA307+FB307+FC307+FD307+FE307</f>
        <v>8</v>
      </c>
      <c r="FJ307">
        <f>MEDIAN(EQ307:EU307)</f>
        <v>8</v>
      </c>
      <c r="FL307">
        <v>38.42</v>
      </c>
      <c r="FM307">
        <v>9.6</v>
      </c>
      <c r="FN307" t="s">
        <v>2058</v>
      </c>
      <c r="FO307" t="s">
        <v>1018</v>
      </c>
      <c r="FP307" t="s">
        <v>2059</v>
      </c>
      <c r="FQ307" t="s">
        <v>606</v>
      </c>
      <c r="FR307" t="s">
        <v>2060</v>
      </c>
      <c r="FS307">
        <v>4</v>
      </c>
      <c r="FT307">
        <v>3</v>
      </c>
      <c r="FU307">
        <v>2</v>
      </c>
      <c r="FV307">
        <v>6</v>
      </c>
      <c r="FW307">
        <v>7</v>
      </c>
      <c r="FX307">
        <v>0.1</v>
      </c>
      <c r="FY307">
        <v>0.1</v>
      </c>
      <c r="FZ307">
        <v>0.2</v>
      </c>
      <c r="GA307">
        <v>0.3</v>
      </c>
      <c r="GB307">
        <v>0.3</v>
      </c>
      <c r="GC307">
        <f>FS307*FX307</f>
        <v>0.4</v>
      </c>
      <c r="GD307">
        <f>FT307*FY307</f>
        <v>0.30000000000000004</v>
      </c>
      <c r="GE307">
        <f>FU307*FZ307</f>
        <v>0.4</v>
      </c>
      <c r="GF307">
        <f>FV307*GA307</f>
        <v>1.7999999999999998</v>
      </c>
      <c r="GG307">
        <f>FW307*GB307</f>
        <v>2.1</v>
      </c>
      <c r="GH307">
        <v>9.6</v>
      </c>
      <c r="GI307">
        <v>0</v>
      </c>
      <c r="GJ307">
        <v>9.6</v>
      </c>
      <c r="GK307">
        <f>GC307+GD307+GE307+GF307+GG307</f>
        <v>5</v>
      </c>
      <c r="GL307">
        <f>MEDIAN(FS307:FW307)</f>
        <v>4</v>
      </c>
    </row>
    <row r="308" spans="1:194" hidden="1" x14ac:dyDescent="0.25">
      <c r="A308">
        <v>307</v>
      </c>
      <c r="B308" t="s">
        <v>2</v>
      </c>
      <c r="C308" s="4">
        <v>34.65</v>
      </c>
      <c r="D308">
        <v>3.3</v>
      </c>
      <c r="E308" s="1">
        <f>C308/3/D308</f>
        <v>3.5</v>
      </c>
      <c r="G308">
        <v>38.35</v>
      </c>
      <c r="H308">
        <v>7.7</v>
      </c>
      <c r="I308">
        <f>H308*D308*3</f>
        <v>76.23</v>
      </c>
      <c r="J308">
        <v>16.45</v>
      </c>
      <c r="K308">
        <v>8.6999999999999993</v>
      </c>
      <c r="L308" s="3">
        <f>K308*3*D308</f>
        <v>86.129999999999981</v>
      </c>
      <c r="M308">
        <v>4.97</v>
      </c>
      <c r="N308">
        <v>5</v>
      </c>
      <c r="O308">
        <f>N308*D308*3</f>
        <v>49.5</v>
      </c>
      <c r="P308" s="5">
        <v>7.9</v>
      </c>
      <c r="Q308" s="5">
        <f>P308*D308*3</f>
        <v>78.210000000000008</v>
      </c>
      <c r="S308" t="s">
        <v>6433</v>
      </c>
      <c r="T308">
        <v>6</v>
      </c>
      <c r="U308" s="8">
        <f>T308*D308*3</f>
        <v>59.399999999999991</v>
      </c>
      <c r="V308">
        <v>29.91</v>
      </c>
      <c r="W308">
        <v>8.4</v>
      </c>
      <c r="X308" s="5">
        <f>W308*D308*3</f>
        <v>83.16</v>
      </c>
      <c r="Y308">
        <v>11.43</v>
      </c>
      <c r="Z308">
        <v>7.5</v>
      </c>
      <c r="AA308">
        <f>Z308*D308*3</f>
        <v>74.25</v>
      </c>
      <c r="AC308">
        <v>129.99</v>
      </c>
      <c r="AD308">
        <v>8</v>
      </c>
      <c r="AE308" s="1">
        <f>AD308*3*D308</f>
        <v>79.199999999999989</v>
      </c>
      <c r="AF308">
        <v>11.96</v>
      </c>
      <c r="AG308" s="5">
        <v>7</v>
      </c>
      <c r="AH308" s="5">
        <f>AG308*D308*3</f>
        <v>69.3</v>
      </c>
      <c r="AI308" s="13"/>
      <c r="AK308" s="8">
        <f>AJ308*D308*3</f>
        <v>0</v>
      </c>
      <c r="AL308" s="13"/>
      <c r="AM308">
        <v>31.7</v>
      </c>
      <c r="AN308">
        <v>7.7</v>
      </c>
      <c r="AO308" s="8">
        <f>AN308*D308*3</f>
        <v>76.23</v>
      </c>
      <c r="AP308">
        <v>11.96</v>
      </c>
      <c r="AQ308">
        <v>8.6</v>
      </c>
      <c r="AR308">
        <f>AQ308*D308*3</f>
        <v>85.14</v>
      </c>
      <c r="AT308">
        <v>8.5</v>
      </c>
      <c r="AU308">
        <f>AT308*D308*3</f>
        <v>84.149999999999991</v>
      </c>
      <c r="AX308">
        <v>9.9</v>
      </c>
      <c r="AY308">
        <f>AX308*D308*3</f>
        <v>98.01</v>
      </c>
      <c r="BA308">
        <v>9</v>
      </c>
      <c r="BB308">
        <f>BA308*D308*3</f>
        <v>89.1</v>
      </c>
      <c r="BD308">
        <v>8.9</v>
      </c>
      <c r="BE308">
        <f>BD308*D308*3</f>
        <v>88.11</v>
      </c>
      <c r="BG308" s="10"/>
      <c r="BH308" s="1">
        <f>CHOOSE(MATCH(MIN(ABS(BP308-C308),ABS(BQ308-C308),ABS(BR308-C308)),CHOOSE({1;2;3},ABS(BP308-C308),ABS(BQ308-C308),ABS(BR308-C308)),0),BP308,BQ308,BR308)</f>
        <v>39.599999999999994</v>
      </c>
      <c r="BJ308" s="1" cm="1">
        <f t="array" ref="BJ308">(INDEX(_xlfn._xlws.SORT(CHOOSE({1;2;3;4;5;6},BQ308,BR308,L308,AE308,BO308,BP308)),3) + INDEX(_xlfn._xlws.SORT(CHOOSE({1;2;3;4;5;6},BQ308,BR308,L308,AE308,BO308,BP308)),4))/2</f>
        <v>79.199999999999989</v>
      </c>
      <c r="BK308">
        <v>3.5214282985287202</v>
      </c>
      <c r="BL308" t="s">
        <v>6117</v>
      </c>
      <c r="BM308" s="1">
        <f>BK308*3*D308</f>
        <v>34.862140155434325</v>
      </c>
      <c r="BN308" s="1">
        <f>BM308-C308</f>
        <v>0.21214015543432652</v>
      </c>
      <c r="BO308" s="1">
        <f>GK308*3*D308</f>
        <v>41.580000000000005</v>
      </c>
      <c r="BP308" s="1">
        <f>DO308*3*D308</f>
        <v>87.12</v>
      </c>
      <c r="BQ308" s="1">
        <f>FJ308*3*D308</f>
        <v>79.199999999999989</v>
      </c>
      <c r="BR308" s="1">
        <f>GL308*3*D308</f>
        <v>39.599999999999994</v>
      </c>
      <c r="BT308">
        <v>38.35</v>
      </c>
      <c r="BU308">
        <v>7.7</v>
      </c>
      <c r="BV308" t="s">
        <v>5881</v>
      </c>
      <c r="BW308" t="s">
        <v>5056</v>
      </c>
      <c r="BX308" t="s">
        <v>5943</v>
      </c>
      <c r="BY308" t="s">
        <v>5944</v>
      </c>
      <c r="BZ308" t="s">
        <v>5945</v>
      </c>
      <c r="CA308" t="s">
        <v>3570</v>
      </c>
      <c r="CC308" t="s">
        <v>2525</v>
      </c>
      <c r="CD308" t="s">
        <v>2627</v>
      </c>
      <c r="CE308" t="s">
        <v>2440</v>
      </c>
      <c r="CG308" t="s">
        <v>2593</v>
      </c>
      <c r="CH308" t="s">
        <v>2593</v>
      </c>
      <c r="CI308" t="s">
        <v>2443</v>
      </c>
      <c r="CK308" t="s">
        <v>3571</v>
      </c>
      <c r="CL308" t="s">
        <v>3571</v>
      </c>
      <c r="CM308" t="s">
        <v>2446</v>
      </c>
      <c r="CO308" t="s">
        <v>3572</v>
      </c>
      <c r="CP308" t="s">
        <v>3572</v>
      </c>
      <c r="CQ308" t="s">
        <v>2666</v>
      </c>
      <c r="CR308" t="s">
        <v>2515</v>
      </c>
      <c r="CS308" t="s">
        <v>3573</v>
      </c>
      <c r="CT308" t="s">
        <v>3573</v>
      </c>
      <c r="CV308">
        <v>9</v>
      </c>
      <c r="CW308">
        <v>9</v>
      </c>
      <c r="CX308">
        <v>9</v>
      </c>
      <c r="CY308">
        <v>9</v>
      </c>
      <c r="CZ308">
        <v>8</v>
      </c>
      <c r="DA308">
        <v>0.1</v>
      </c>
      <c r="DB308">
        <v>0.1</v>
      </c>
      <c r="DC308">
        <v>0.2</v>
      </c>
      <c r="DD308">
        <v>0.3</v>
      </c>
      <c r="DE308">
        <v>0.3</v>
      </c>
      <c r="DF308">
        <v>0.9</v>
      </c>
      <c r="DG308">
        <v>0.9</v>
      </c>
      <c r="DH308">
        <v>1.8</v>
      </c>
      <c r="DI308">
        <v>2.7</v>
      </c>
      <c r="DJ308">
        <v>2.4</v>
      </c>
      <c r="DK308">
        <v>7.7</v>
      </c>
      <c r="DL308">
        <v>0</v>
      </c>
      <c r="DM308">
        <v>7.7</v>
      </c>
      <c r="DN308">
        <v>8.6999999999999993</v>
      </c>
      <c r="DO308">
        <f>AVERAGE(CV308:CZ308)</f>
        <v>8.8000000000000007</v>
      </c>
      <c r="DQ308" t="s">
        <v>27</v>
      </c>
      <c r="DR308" t="s">
        <v>33</v>
      </c>
      <c r="DS308" t="s">
        <v>93</v>
      </c>
      <c r="DT308" t="s">
        <v>94</v>
      </c>
      <c r="DU308" t="s">
        <v>95</v>
      </c>
      <c r="DV308" t="s">
        <v>96</v>
      </c>
      <c r="DW308" t="s">
        <v>3788</v>
      </c>
      <c r="DX308" t="s">
        <v>3789</v>
      </c>
      <c r="DY308" t="s">
        <v>3974</v>
      </c>
      <c r="DZ308" t="s">
        <v>3975</v>
      </c>
      <c r="EA308" t="s">
        <v>3934</v>
      </c>
      <c r="EB308" t="s">
        <v>3793</v>
      </c>
      <c r="EC308" t="s">
        <v>3976</v>
      </c>
      <c r="ED308" t="s">
        <v>3977</v>
      </c>
      <c r="EE308" t="s">
        <v>3978</v>
      </c>
      <c r="EF308" t="s">
        <v>3797</v>
      </c>
      <c r="EG308" t="s">
        <v>3979</v>
      </c>
      <c r="EH308" t="s">
        <v>3980</v>
      </c>
      <c r="EI308" t="s">
        <v>3981</v>
      </c>
      <c r="EJ308" t="s">
        <v>3800</v>
      </c>
      <c r="EK308" t="s">
        <v>3982</v>
      </c>
      <c r="EL308" t="s">
        <v>3983</v>
      </c>
      <c r="EM308" t="s">
        <v>3984</v>
      </c>
      <c r="EN308" t="s">
        <v>3803</v>
      </c>
      <c r="EO308" t="s">
        <v>3985</v>
      </c>
      <c r="EP308" t="s">
        <v>3986</v>
      </c>
      <c r="EQ308">
        <v>8</v>
      </c>
      <c r="ER308">
        <v>8</v>
      </c>
      <c r="ES308">
        <v>8</v>
      </c>
      <c r="ET308">
        <v>8</v>
      </c>
      <c r="EU308">
        <v>8</v>
      </c>
      <c r="EV308">
        <v>0.1</v>
      </c>
      <c r="EW308">
        <v>0.1</v>
      </c>
      <c r="EX308">
        <v>0.2</v>
      </c>
      <c r="EY308">
        <v>0.3</v>
      </c>
      <c r="EZ308">
        <v>0.3</v>
      </c>
      <c r="FA308">
        <f>EV308*EQ308</f>
        <v>0.8</v>
      </c>
      <c r="FB308">
        <f>EW308*ER308</f>
        <v>0.8</v>
      </c>
      <c r="FC308">
        <f>EX308*ES308</f>
        <v>1.6</v>
      </c>
      <c r="FD308">
        <f>EY308*ET308</f>
        <v>2.4</v>
      </c>
      <c r="FE308">
        <f>EZ308*EU308</f>
        <v>2.4</v>
      </c>
      <c r="FF308">
        <v>16</v>
      </c>
      <c r="FG308">
        <v>0</v>
      </c>
      <c r="FH308">
        <v>8</v>
      </c>
      <c r="FI308">
        <f>FA308+FB308+FC308+FD308+FE308</f>
        <v>8</v>
      </c>
      <c r="FJ308">
        <f>MEDIAN(EQ308:EU308)</f>
        <v>8</v>
      </c>
      <c r="FL308">
        <v>45.69</v>
      </c>
      <c r="FN308" t="s">
        <v>2061</v>
      </c>
      <c r="FO308" t="s">
        <v>2062</v>
      </c>
      <c r="FP308" t="s">
        <v>2063</v>
      </c>
      <c r="FQ308" t="s">
        <v>2064</v>
      </c>
      <c r="FR308" t="s">
        <v>2065</v>
      </c>
      <c r="FS308">
        <v>5</v>
      </c>
      <c r="FT308">
        <v>3</v>
      </c>
      <c r="FU308">
        <v>2</v>
      </c>
      <c r="FV308">
        <v>4</v>
      </c>
      <c r="FW308">
        <v>6</v>
      </c>
      <c r="FX308">
        <v>0.1</v>
      </c>
      <c r="FY308">
        <v>0.1</v>
      </c>
      <c r="FZ308">
        <v>0.2</v>
      </c>
      <c r="GA308">
        <v>0.3</v>
      </c>
      <c r="GB308">
        <v>0.3</v>
      </c>
      <c r="GC308">
        <f>FS308*FX308</f>
        <v>0.5</v>
      </c>
      <c r="GD308">
        <f>FT308*FY308</f>
        <v>0.30000000000000004</v>
      </c>
      <c r="GE308">
        <f>FU308*FZ308</f>
        <v>0.4</v>
      </c>
      <c r="GF308">
        <f>FV308*GA308</f>
        <v>1.2</v>
      </c>
      <c r="GG308">
        <f>FW308*GB308</f>
        <v>1.7999999999999998</v>
      </c>
      <c r="GH308">
        <v>5.9</v>
      </c>
      <c r="GJ308">
        <v>7</v>
      </c>
      <c r="GK308">
        <f>GC308+GD308+GE308+GF308+GG308</f>
        <v>4.2</v>
      </c>
      <c r="GL308">
        <f>MEDIAN(FS308:FW308)</f>
        <v>4</v>
      </c>
    </row>
    <row r="309" spans="1:194" hidden="1" x14ac:dyDescent="0.25">
      <c r="A309">
        <v>308</v>
      </c>
      <c r="B309" t="s">
        <v>2</v>
      </c>
      <c r="C309" s="4">
        <v>91.8</v>
      </c>
      <c r="D309">
        <v>3.6</v>
      </c>
      <c r="E309" s="1">
        <f>C309/3/D309</f>
        <v>8.5</v>
      </c>
      <c r="G309">
        <v>34.61</v>
      </c>
      <c r="H309">
        <v>8.1999999999999993</v>
      </c>
      <c r="I309">
        <f>H309*D309*3</f>
        <v>88.56</v>
      </c>
      <c r="J309">
        <v>17.59</v>
      </c>
      <c r="K309">
        <v>8.4</v>
      </c>
      <c r="L309" s="3">
        <f>K309*3*D309</f>
        <v>90.720000000000013</v>
      </c>
      <c r="M309">
        <v>4.97</v>
      </c>
      <c r="N309">
        <v>3</v>
      </c>
      <c r="O309">
        <f>N309*D309*3</f>
        <v>32.400000000000006</v>
      </c>
      <c r="P309" s="5">
        <v>7.2</v>
      </c>
      <c r="Q309" s="5">
        <f>P309*D309*3</f>
        <v>77.760000000000005</v>
      </c>
      <c r="S309" t="s">
        <v>6434</v>
      </c>
      <c r="T309">
        <v>5.4</v>
      </c>
      <c r="U309" s="8">
        <f>T309*D309*3</f>
        <v>58.320000000000007</v>
      </c>
      <c r="V309">
        <v>31.92</v>
      </c>
      <c r="W309">
        <v>8.4</v>
      </c>
      <c r="X309" s="5">
        <f>W309*D309*3</f>
        <v>90.72</v>
      </c>
      <c r="Y309">
        <v>11.18</v>
      </c>
      <c r="Z309">
        <v>8</v>
      </c>
      <c r="AA309">
        <f>Z309*D309*3</f>
        <v>86.4</v>
      </c>
      <c r="AC309">
        <v>138.9</v>
      </c>
      <c r="AD309">
        <v>8</v>
      </c>
      <c r="AE309" s="1">
        <f>AD309*3*D309</f>
        <v>86.4</v>
      </c>
      <c r="AF309">
        <v>13.43</v>
      </c>
      <c r="AH309" s="5">
        <f>AG309*D309*3</f>
        <v>0</v>
      </c>
      <c r="AI309" s="13"/>
      <c r="AJ309">
        <v>6.5</v>
      </c>
      <c r="AK309" s="8">
        <f>AJ309*D309*3</f>
        <v>70.2</v>
      </c>
      <c r="AL309" s="13"/>
      <c r="AM309">
        <v>31.84</v>
      </c>
      <c r="AN309">
        <v>7.7</v>
      </c>
      <c r="AO309" s="8">
        <f>AN309*D309*3</f>
        <v>83.160000000000011</v>
      </c>
      <c r="AP309">
        <v>12.63</v>
      </c>
      <c r="AQ309">
        <v>9.3000000000000007</v>
      </c>
      <c r="AR309">
        <f>AQ309*D309*3</f>
        <v>100.44000000000001</v>
      </c>
      <c r="AT309">
        <v>9</v>
      </c>
      <c r="AU309">
        <f>AT309*D309*3</f>
        <v>97.199999999999989</v>
      </c>
      <c r="AX309">
        <v>8.8000000000000007</v>
      </c>
      <c r="AY309">
        <f>AX309*D309*3</f>
        <v>95.04</v>
      </c>
      <c r="BA309">
        <v>9.1</v>
      </c>
      <c r="BB309">
        <f>BA309*D309*3</f>
        <v>98.28</v>
      </c>
      <c r="BD309">
        <v>8.3000000000000007</v>
      </c>
      <c r="BE309">
        <f>BD309*D309*3</f>
        <v>89.640000000000015</v>
      </c>
      <c r="BG309" s="10"/>
      <c r="BH309" s="1">
        <f>CHOOSE(MATCH(MIN(ABS(BP309-C309),ABS(BQ309-C309),ABS(BR309-C309)),CHOOSE({1;2;3},ABS(BP309-C309),ABS(BQ309-C309),ABS(BR309-C309)),0),BP309,BQ309,BR309)</f>
        <v>86.4</v>
      </c>
      <c r="BJ309" s="1" cm="1">
        <f t="array" ref="BJ309">(INDEX(_xlfn._xlws.SORT(CHOOSE({1;2;3;4;5;6},BQ309,BR309,L309,AE309,BO309,BP309)),3) + INDEX(_xlfn._xlws.SORT(CHOOSE({1;2;3;4;5;6},BQ309,BR309,L309,AE309,BO309,BP309)),4))/2</f>
        <v>86.4</v>
      </c>
      <c r="BK309">
        <v>8.47498403594272</v>
      </c>
      <c r="BL309" t="s">
        <v>6117</v>
      </c>
      <c r="BM309" s="1">
        <f>BK309*3*D309</f>
        <v>91.529827588181391</v>
      </c>
      <c r="BN309" s="1">
        <f>BM309-C309</f>
        <v>-0.27017241181860641</v>
      </c>
      <c r="BO309" s="1">
        <f>GK309*3*D309</f>
        <v>60.480000000000004</v>
      </c>
      <c r="BP309" s="1">
        <f>DO309*3*D309</f>
        <v>97.2</v>
      </c>
      <c r="BQ309" s="1">
        <f>FJ309*3*D309</f>
        <v>86.4</v>
      </c>
      <c r="BR309" s="1">
        <f>GL309*3*D309</f>
        <v>64.8</v>
      </c>
      <c r="BT309">
        <v>34.61</v>
      </c>
      <c r="BU309">
        <v>8.1999999999999993</v>
      </c>
      <c r="BV309" t="s">
        <v>5003</v>
      </c>
      <c r="BW309" t="s">
        <v>5004</v>
      </c>
      <c r="BX309" t="s">
        <v>5005</v>
      </c>
      <c r="BY309" t="s">
        <v>5092</v>
      </c>
      <c r="BZ309" t="s">
        <v>5292</v>
      </c>
      <c r="CA309" t="s">
        <v>2437</v>
      </c>
      <c r="CC309" t="s">
        <v>2758</v>
      </c>
      <c r="CD309" t="s">
        <v>2508</v>
      </c>
      <c r="CE309" t="s">
        <v>2440</v>
      </c>
      <c r="CG309" t="s">
        <v>2761</v>
      </c>
      <c r="CH309" t="s">
        <v>2510</v>
      </c>
      <c r="CI309" t="s">
        <v>2443</v>
      </c>
      <c r="CK309" t="s">
        <v>2795</v>
      </c>
      <c r="CL309" t="s">
        <v>2512</v>
      </c>
      <c r="CM309" t="s">
        <v>2446</v>
      </c>
      <c r="CO309" t="s">
        <v>2796</v>
      </c>
      <c r="CP309" t="s">
        <v>2514</v>
      </c>
      <c r="CQ309" t="s">
        <v>2449</v>
      </c>
      <c r="CS309" t="s">
        <v>2679</v>
      </c>
      <c r="CT309" t="s">
        <v>2524</v>
      </c>
      <c r="CV309">
        <v>9</v>
      </c>
      <c r="CW309">
        <v>9</v>
      </c>
      <c r="CX309">
        <v>9</v>
      </c>
      <c r="CY309">
        <v>9</v>
      </c>
      <c r="CZ309">
        <v>9</v>
      </c>
      <c r="DA309">
        <v>0.1</v>
      </c>
      <c r="DB309">
        <v>0.1</v>
      </c>
      <c r="DC309">
        <v>0.2</v>
      </c>
      <c r="DD309">
        <v>0.3</v>
      </c>
      <c r="DE309">
        <v>0.3</v>
      </c>
      <c r="DF309">
        <v>0.9</v>
      </c>
      <c r="DG309">
        <v>0.9</v>
      </c>
      <c r="DH309">
        <v>1.8</v>
      </c>
      <c r="DI309">
        <v>2.7</v>
      </c>
      <c r="DJ309">
        <v>2.7</v>
      </c>
      <c r="DK309">
        <v>8.1999999999999993</v>
      </c>
      <c r="DL309">
        <v>0</v>
      </c>
      <c r="DM309">
        <v>8.1999999999999993</v>
      </c>
      <c r="DN309">
        <v>8.4</v>
      </c>
      <c r="DO309">
        <f>AVERAGE(CV309:CZ309)</f>
        <v>9</v>
      </c>
      <c r="DQ309">
        <v>8</v>
      </c>
      <c r="DR309" t="s">
        <v>408</v>
      </c>
      <c r="DS309" t="s">
        <v>409</v>
      </c>
      <c r="DT309" t="s">
        <v>35</v>
      </c>
      <c r="DU309" t="s">
        <v>36</v>
      </c>
      <c r="DV309" t="s">
        <v>421</v>
      </c>
      <c r="DW309" t="s">
        <v>3788</v>
      </c>
      <c r="DX309" t="s">
        <v>3789</v>
      </c>
      <c r="DY309" t="s">
        <v>3790</v>
      </c>
      <c r="DZ309" t="s">
        <v>3791</v>
      </c>
      <c r="EA309" t="s">
        <v>3792</v>
      </c>
      <c r="EB309" t="s">
        <v>3793</v>
      </c>
      <c r="EC309" t="s">
        <v>3794</v>
      </c>
      <c r="ED309" t="s">
        <v>3795</v>
      </c>
      <c r="EE309" t="s">
        <v>3796</v>
      </c>
      <c r="EF309" t="s">
        <v>3797</v>
      </c>
      <c r="EG309" t="s">
        <v>3798</v>
      </c>
      <c r="EH309" t="s">
        <v>3798</v>
      </c>
      <c r="EI309" t="s">
        <v>3799</v>
      </c>
      <c r="EJ309" t="s">
        <v>3800</v>
      </c>
      <c r="EK309" t="s">
        <v>3801</v>
      </c>
      <c r="EL309" t="s">
        <v>3801</v>
      </c>
      <c r="EM309" t="s">
        <v>4678</v>
      </c>
      <c r="EN309" t="s">
        <v>3803</v>
      </c>
      <c r="EO309" t="s">
        <v>4682</v>
      </c>
      <c r="EP309" t="s">
        <v>4680</v>
      </c>
      <c r="EQ309">
        <v>8</v>
      </c>
      <c r="ER309">
        <v>8</v>
      </c>
      <c r="ES309">
        <v>8</v>
      </c>
      <c r="ET309">
        <v>8</v>
      </c>
      <c r="EU309">
        <v>8</v>
      </c>
      <c r="EV309">
        <v>0.1</v>
      </c>
      <c r="EW309">
        <v>0.1</v>
      </c>
      <c r="EX309">
        <v>0.2</v>
      </c>
      <c r="EY309">
        <v>0.3</v>
      </c>
      <c r="EZ309">
        <v>0.3</v>
      </c>
      <c r="FA309">
        <f>EV309*EQ309</f>
        <v>0.8</v>
      </c>
      <c r="FB309">
        <f>EW309*ER309</f>
        <v>0.8</v>
      </c>
      <c r="FC309">
        <f>EX309*ES309</f>
        <v>1.6</v>
      </c>
      <c r="FD309">
        <f>EY309*ET309</f>
        <v>2.4</v>
      </c>
      <c r="FE309">
        <f>EZ309*EU309</f>
        <v>2.4</v>
      </c>
      <c r="FF309">
        <v>17</v>
      </c>
      <c r="FG309">
        <v>0</v>
      </c>
      <c r="FH309">
        <v>8</v>
      </c>
      <c r="FI309">
        <f>FA309+FB309+FC309+FD309+FE309</f>
        <v>8</v>
      </c>
      <c r="FJ309">
        <f>MEDIAN(EQ309:EU309)</f>
        <v>8</v>
      </c>
      <c r="FL309">
        <v>38.770000000000003</v>
      </c>
      <c r="FM309">
        <v>5.85</v>
      </c>
      <c r="FN309" t="s">
        <v>1846</v>
      </c>
      <c r="FO309" t="s">
        <v>2066</v>
      </c>
      <c r="FP309" t="s">
        <v>2067</v>
      </c>
      <c r="FQ309" t="s">
        <v>2068</v>
      </c>
      <c r="FR309" t="s">
        <v>2069</v>
      </c>
      <c r="FS309">
        <v>5</v>
      </c>
      <c r="FT309">
        <v>7.5</v>
      </c>
      <c r="FU309">
        <v>6</v>
      </c>
      <c r="FV309">
        <v>6.5</v>
      </c>
      <c r="FW309">
        <v>4</v>
      </c>
      <c r="FX309">
        <v>0.1</v>
      </c>
      <c r="FY309">
        <v>0.1</v>
      </c>
      <c r="FZ309">
        <v>0.2</v>
      </c>
      <c r="GA309">
        <v>0.3</v>
      </c>
      <c r="GB309">
        <v>0.3</v>
      </c>
      <c r="GC309">
        <f>FS309*FX309</f>
        <v>0.5</v>
      </c>
      <c r="GD309">
        <f>FT309*FY309</f>
        <v>0.75</v>
      </c>
      <c r="GE309">
        <f>FU309*FZ309</f>
        <v>1.2000000000000002</v>
      </c>
      <c r="GF309">
        <f>FV309*GA309</f>
        <v>1.95</v>
      </c>
      <c r="GG309">
        <f>FW309*GB309</f>
        <v>1.2</v>
      </c>
      <c r="GH309">
        <v>5.85</v>
      </c>
      <c r="GI309">
        <v>0</v>
      </c>
      <c r="GJ309">
        <v>5.85</v>
      </c>
      <c r="GK309">
        <f>GC309+GD309+GE309+GF309+GG309</f>
        <v>5.6000000000000005</v>
      </c>
      <c r="GL309">
        <f>MEDIAN(FS309:FW309)</f>
        <v>6</v>
      </c>
    </row>
    <row r="310" spans="1:194" hidden="1" x14ac:dyDescent="0.25">
      <c r="A310">
        <v>309</v>
      </c>
      <c r="B310" t="s">
        <v>2</v>
      </c>
      <c r="C310" s="4">
        <v>84.15</v>
      </c>
      <c r="D310">
        <v>3.3</v>
      </c>
      <c r="E310" s="1">
        <f>C310/3/D310</f>
        <v>8.5</v>
      </c>
      <c r="G310">
        <v>37.47</v>
      </c>
      <c r="H310">
        <v>8</v>
      </c>
      <c r="I310">
        <f>H310*D310*3</f>
        <v>79.199999999999989</v>
      </c>
      <c r="J310">
        <v>17.54</v>
      </c>
      <c r="K310">
        <v>9</v>
      </c>
      <c r="L310" s="3">
        <f>K310*3*D310</f>
        <v>89.1</v>
      </c>
      <c r="M310">
        <v>4.8</v>
      </c>
      <c r="N310">
        <v>5</v>
      </c>
      <c r="O310">
        <f>N310*D310*3</f>
        <v>49.5</v>
      </c>
      <c r="P310" s="5">
        <v>6.5</v>
      </c>
      <c r="Q310" s="5">
        <f>P310*D310*3</f>
        <v>64.349999999999994</v>
      </c>
      <c r="S310" t="s">
        <v>6435</v>
      </c>
      <c r="T310">
        <v>6.6</v>
      </c>
      <c r="U310" s="8">
        <f>T310*D310*3</f>
        <v>65.339999999999989</v>
      </c>
      <c r="V310">
        <v>30.37</v>
      </c>
      <c r="W310">
        <v>8</v>
      </c>
      <c r="X310" s="5">
        <f>W310*D310*3</f>
        <v>79.199999999999989</v>
      </c>
      <c r="Y310">
        <v>10.029999999999999</v>
      </c>
      <c r="Z310">
        <v>7.5</v>
      </c>
      <c r="AA310">
        <f>Z310*D310*3</f>
        <v>74.25</v>
      </c>
      <c r="AC310">
        <v>138.69999999999999</v>
      </c>
      <c r="AD310">
        <v>8</v>
      </c>
      <c r="AE310" s="1">
        <f>AD310*3*D310</f>
        <v>79.199999999999989</v>
      </c>
      <c r="AF310">
        <v>11.98</v>
      </c>
      <c r="AG310" s="5">
        <v>7</v>
      </c>
      <c r="AH310" s="5">
        <f>AG310*D310*3</f>
        <v>69.3</v>
      </c>
      <c r="AI310" s="13"/>
      <c r="AJ310">
        <v>2.7</v>
      </c>
      <c r="AK310" s="8">
        <f>AJ310*D310*3</f>
        <v>26.73</v>
      </c>
      <c r="AL310" s="13"/>
      <c r="AM310">
        <v>30.54</v>
      </c>
      <c r="AN310">
        <v>7.2</v>
      </c>
      <c r="AO310" s="8">
        <f>AN310*D310*3</f>
        <v>71.28</v>
      </c>
      <c r="AP310">
        <v>11.25</v>
      </c>
      <c r="AQ310">
        <v>10</v>
      </c>
      <c r="AR310">
        <f>AQ310*D310*3</f>
        <v>99</v>
      </c>
      <c r="AT310">
        <v>8.8000000000000007</v>
      </c>
      <c r="AU310">
        <f>AT310*D310*3</f>
        <v>87.12</v>
      </c>
      <c r="AX310">
        <v>8.8000000000000007</v>
      </c>
      <c r="AY310">
        <f>AX310*D310*3</f>
        <v>87.12</v>
      </c>
      <c r="BA310">
        <v>9.1</v>
      </c>
      <c r="BB310">
        <f>BA310*D310*3</f>
        <v>90.089999999999989</v>
      </c>
      <c r="BD310">
        <v>8.9</v>
      </c>
      <c r="BE310">
        <f>BD310*D310*3</f>
        <v>88.11</v>
      </c>
      <c r="BG310" s="10"/>
      <c r="BH310" s="1">
        <f>CHOOSE(MATCH(MIN(ABS(BP310-C310),ABS(BQ310-C310),ABS(BR310-C310)),CHOOSE({1;2;3},ABS(BP310-C310),ABS(BQ310-C310),ABS(BR310-C310)),0),BP310,BQ310,BR310)</f>
        <v>89.1</v>
      </c>
      <c r="BJ310" s="1" cm="1">
        <f t="array" ref="BJ310">(INDEX(_xlfn._xlws.SORT(CHOOSE({1;2;3;4;5;6},BQ310,BR310,L310,AE310,BO310,BP310)),3) + INDEX(_xlfn._xlws.SORT(CHOOSE({1;2;3;4;5;6},BQ310,BR310,L310,AE310,BO310,BP310)),4))/2</f>
        <v>79.199999999999989</v>
      </c>
      <c r="BK310">
        <v>8.4879993356411099</v>
      </c>
      <c r="BL310" t="s">
        <v>6117</v>
      </c>
      <c r="BM310" s="1">
        <f>BK310*3*D310</f>
        <v>84.031193422846982</v>
      </c>
      <c r="BN310" s="1">
        <f>BM310-C310</f>
        <v>-0.11880657715302334</v>
      </c>
      <c r="BO310" s="1">
        <f>GK310*3*D310</f>
        <v>51.47999999999999</v>
      </c>
      <c r="BP310" s="1">
        <f>DO310*3*D310</f>
        <v>89.1</v>
      </c>
      <c r="BQ310" s="1">
        <f>FJ310*3*D310</f>
        <v>79.199999999999989</v>
      </c>
      <c r="BR310" s="1">
        <f>GL310*3*D310</f>
        <v>39.599999999999994</v>
      </c>
      <c r="BT310">
        <v>37.47</v>
      </c>
      <c r="BU310">
        <v>8</v>
      </c>
      <c r="BV310" t="s">
        <v>5114</v>
      </c>
      <c r="BW310" t="s">
        <v>5171</v>
      </c>
      <c r="BX310" t="s">
        <v>5372</v>
      </c>
      <c r="BY310" t="s">
        <v>5173</v>
      </c>
      <c r="BZ310" t="s">
        <v>5174</v>
      </c>
      <c r="CA310" t="s">
        <v>2723</v>
      </c>
      <c r="CC310" t="s">
        <v>2438</v>
      </c>
      <c r="CD310" t="s">
        <v>2533</v>
      </c>
      <c r="CE310" t="s">
        <v>2440</v>
      </c>
      <c r="CG310" t="s">
        <v>2441</v>
      </c>
      <c r="CH310" t="s">
        <v>2534</v>
      </c>
      <c r="CI310" t="s">
        <v>2535</v>
      </c>
      <c r="CK310" t="s">
        <v>2444</v>
      </c>
      <c r="CL310" t="s">
        <v>2536</v>
      </c>
      <c r="CM310" t="s">
        <v>2446</v>
      </c>
      <c r="CO310" t="s">
        <v>2447</v>
      </c>
      <c r="CP310" t="s">
        <v>2537</v>
      </c>
      <c r="CQ310" t="s">
        <v>2538</v>
      </c>
      <c r="CS310" t="s">
        <v>2450</v>
      </c>
      <c r="CT310" t="s">
        <v>2539</v>
      </c>
      <c r="CV310">
        <v>9</v>
      </c>
      <c r="CW310">
        <v>9</v>
      </c>
      <c r="CX310">
        <v>9</v>
      </c>
      <c r="CY310">
        <v>9</v>
      </c>
      <c r="CZ310">
        <v>9</v>
      </c>
      <c r="DA310">
        <v>0.1</v>
      </c>
      <c r="DB310">
        <v>0.1</v>
      </c>
      <c r="DC310">
        <v>0.2</v>
      </c>
      <c r="DD310">
        <v>0.3</v>
      </c>
      <c r="DE310">
        <v>0.3</v>
      </c>
      <c r="DF310">
        <v>0.9</v>
      </c>
      <c r="DG310">
        <v>0.9</v>
      </c>
      <c r="DH310">
        <v>1.8</v>
      </c>
      <c r="DI310">
        <v>2.7</v>
      </c>
      <c r="DJ310">
        <v>2.7</v>
      </c>
      <c r="DK310">
        <v>8</v>
      </c>
      <c r="DL310">
        <v>0</v>
      </c>
      <c r="DM310">
        <v>8</v>
      </c>
      <c r="DN310">
        <v>9</v>
      </c>
      <c r="DO310">
        <f>AVERAGE(CV310:CZ310)</f>
        <v>9</v>
      </c>
      <c r="DQ310">
        <v>8</v>
      </c>
      <c r="DR310" t="s">
        <v>33</v>
      </c>
      <c r="DS310" t="s">
        <v>34</v>
      </c>
      <c r="DT310" t="s">
        <v>35</v>
      </c>
      <c r="DU310" t="s">
        <v>36</v>
      </c>
      <c r="DV310" t="s">
        <v>200</v>
      </c>
      <c r="DW310" t="s">
        <v>3788</v>
      </c>
      <c r="DX310" t="s">
        <v>3789</v>
      </c>
      <c r="DY310" t="s">
        <v>3790</v>
      </c>
      <c r="DZ310" t="s">
        <v>3791</v>
      </c>
      <c r="EA310" t="s">
        <v>3792</v>
      </c>
      <c r="EB310" t="s">
        <v>3793</v>
      </c>
      <c r="EC310" t="s">
        <v>3794</v>
      </c>
      <c r="ED310" t="s">
        <v>3795</v>
      </c>
      <c r="EE310" t="s">
        <v>3796</v>
      </c>
      <c r="EF310" t="s">
        <v>3797</v>
      </c>
      <c r="EG310" t="s">
        <v>3798</v>
      </c>
      <c r="EH310" t="s">
        <v>3798</v>
      </c>
      <c r="EI310" t="s">
        <v>3799</v>
      </c>
      <c r="EJ310" t="s">
        <v>3800</v>
      </c>
      <c r="EK310" t="s">
        <v>3801</v>
      </c>
      <c r="EL310" t="s">
        <v>3801</v>
      </c>
      <c r="EM310" t="s">
        <v>4227</v>
      </c>
      <c r="EN310" t="s">
        <v>3803</v>
      </c>
      <c r="EO310" t="s">
        <v>4228</v>
      </c>
      <c r="EP310" t="s">
        <v>4229</v>
      </c>
      <c r="EQ310">
        <v>8</v>
      </c>
      <c r="ER310">
        <v>8</v>
      </c>
      <c r="ES310">
        <v>8</v>
      </c>
      <c r="ET310">
        <v>8</v>
      </c>
      <c r="EU310">
        <v>8</v>
      </c>
      <c r="EV310">
        <v>0.1</v>
      </c>
      <c r="EW310">
        <v>0.1</v>
      </c>
      <c r="EX310">
        <v>0.2</v>
      </c>
      <c r="EY310">
        <v>0.3</v>
      </c>
      <c r="EZ310">
        <v>0.3</v>
      </c>
      <c r="FA310">
        <f>EV310*EQ310</f>
        <v>0.8</v>
      </c>
      <c r="FB310">
        <f>EW310*ER310</f>
        <v>0.8</v>
      </c>
      <c r="FC310">
        <f>EX310*ES310</f>
        <v>1.6</v>
      </c>
      <c r="FD310">
        <f>EY310*ET310</f>
        <v>2.4</v>
      </c>
      <c r="FE310">
        <f>EZ310*EU310</f>
        <v>2.4</v>
      </c>
      <c r="FF310">
        <v>17</v>
      </c>
      <c r="FG310">
        <v>0</v>
      </c>
      <c r="FH310">
        <v>8</v>
      </c>
      <c r="FI310">
        <f>FA310+FB310+FC310+FD310+FE310</f>
        <v>8</v>
      </c>
      <c r="FJ310">
        <f>MEDIAN(EQ310:EU310)</f>
        <v>8</v>
      </c>
      <c r="FL310">
        <v>40.25</v>
      </c>
      <c r="FM310">
        <v>9</v>
      </c>
      <c r="FN310" t="s">
        <v>1372</v>
      </c>
      <c r="FO310" t="s">
        <v>1373</v>
      </c>
      <c r="FP310" t="s">
        <v>2070</v>
      </c>
      <c r="FQ310" t="s">
        <v>2071</v>
      </c>
      <c r="FR310" t="s">
        <v>2072</v>
      </c>
      <c r="FS310">
        <v>2</v>
      </c>
      <c r="FT310">
        <v>3</v>
      </c>
      <c r="FU310">
        <v>4</v>
      </c>
      <c r="FV310">
        <v>6</v>
      </c>
      <c r="FW310">
        <v>7</v>
      </c>
      <c r="FX310">
        <v>0.1</v>
      </c>
      <c r="FY310">
        <v>0.1</v>
      </c>
      <c r="FZ310">
        <v>0.2</v>
      </c>
      <c r="GA310">
        <v>0.3</v>
      </c>
      <c r="GB310">
        <v>0.3</v>
      </c>
      <c r="GC310">
        <f>FS310*FX310</f>
        <v>0.2</v>
      </c>
      <c r="GD310">
        <f>FT310*FY310</f>
        <v>0.30000000000000004</v>
      </c>
      <c r="GE310">
        <f>FU310*FZ310</f>
        <v>0.8</v>
      </c>
      <c r="GF310">
        <f>FV310*GA310</f>
        <v>1.7999999999999998</v>
      </c>
      <c r="GG310">
        <f>FW310*GB310</f>
        <v>2.1</v>
      </c>
      <c r="GH310">
        <v>9</v>
      </c>
      <c r="GI310">
        <v>0</v>
      </c>
      <c r="GJ310">
        <v>9</v>
      </c>
      <c r="GK310">
        <f>GC310+GD310+GE310+GF310+GG310</f>
        <v>5.1999999999999993</v>
      </c>
      <c r="GL310">
        <f>MEDIAN(FS310:FW310)</f>
        <v>4</v>
      </c>
    </row>
    <row r="311" spans="1:194" hidden="1" x14ac:dyDescent="0.25">
      <c r="A311">
        <v>310</v>
      </c>
      <c r="B311" t="s">
        <v>2</v>
      </c>
      <c r="C311" s="4">
        <v>47.25</v>
      </c>
      <c r="D311">
        <v>3.5</v>
      </c>
      <c r="E311" s="1">
        <f>C311/3/D311</f>
        <v>4.5</v>
      </c>
      <c r="G311">
        <v>38.299999999999997</v>
      </c>
      <c r="H311">
        <v>8.1999999999999993</v>
      </c>
      <c r="I311">
        <f>H311*D311*3</f>
        <v>86.1</v>
      </c>
      <c r="J311">
        <v>16.149999999999999</v>
      </c>
      <c r="K311">
        <v>8.4</v>
      </c>
      <c r="L311" s="3">
        <f>K311*3*D311</f>
        <v>88.200000000000017</v>
      </c>
      <c r="M311">
        <v>4.38</v>
      </c>
      <c r="N311">
        <v>0</v>
      </c>
      <c r="O311">
        <f>N311*D311*3</f>
        <v>0</v>
      </c>
      <c r="P311" s="5">
        <v>9</v>
      </c>
      <c r="Q311" s="5">
        <f>P311*D311*3</f>
        <v>94.5</v>
      </c>
      <c r="S311" t="s">
        <v>6436</v>
      </c>
      <c r="T311">
        <v>4.5</v>
      </c>
      <c r="U311" s="8">
        <f>T311*D311*3</f>
        <v>47.25</v>
      </c>
      <c r="V311">
        <v>36.56</v>
      </c>
      <c r="W311">
        <v>7.9</v>
      </c>
      <c r="X311" s="5">
        <f>W311*D311*3</f>
        <v>82.95</v>
      </c>
      <c r="Y311">
        <v>9.14</v>
      </c>
      <c r="Z311">
        <v>7.5</v>
      </c>
      <c r="AA311">
        <f>Z311*D311*3</f>
        <v>78.75</v>
      </c>
      <c r="AC311">
        <v>140.44999999999999</v>
      </c>
      <c r="AD311">
        <v>8</v>
      </c>
      <c r="AE311" s="1">
        <f>AD311*3*D311</f>
        <v>84</v>
      </c>
      <c r="AF311">
        <v>13.5</v>
      </c>
      <c r="AH311" s="5">
        <f>AG311*D311*3</f>
        <v>0</v>
      </c>
      <c r="AI311" s="13"/>
      <c r="AJ311">
        <v>9.8000000000000007</v>
      </c>
      <c r="AK311" s="8">
        <f>AJ311*D311*3</f>
        <v>102.9</v>
      </c>
      <c r="AL311" s="13"/>
      <c r="AM311">
        <v>30.43</v>
      </c>
      <c r="AN311">
        <v>7.5</v>
      </c>
      <c r="AO311" s="8">
        <f>AN311*D311*3</f>
        <v>78.75</v>
      </c>
      <c r="AP311">
        <v>15.14</v>
      </c>
      <c r="AQ311">
        <v>10</v>
      </c>
      <c r="AR311">
        <f>AQ311*D311*3</f>
        <v>105</v>
      </c>
      <c r="AT311">
        <v>9.4</v>
      </c>
      <c r="AU311">
        <f>AT311*D311*3</f>
        <v>98.699999999999989</v>
      </c>
      <c r="AX311">
        <v>9.4</v>
      </c>
      <c r="AY311">
        <f>AX311*D311*3</f>
        <v>98.699999999999989</v>
      </c>
      <c r="BA311">
        <v>9.1999999999999993</v>
      </c>
      <c r="BB311">
        <f>BA311*D311*3</f>
        <v>96.6</v>
      </c>
      <c r="BD311">
        <v>9</v>
      </c>
      <c r="BE311">
        <f>BD311*D311*3</f>
        <v>94.5</v>
      </c>
      <c r="BG311" s="10"/>
      <c r="BH311" s="1">
        <f>CHOOSE(MATCH(MIN(ABS(BP311-C311),ABS(BQ311-C311),ABS(BR311-C311)),CHOOSE({1;2;3},ABS(BP311-C311),ABS(BQ311-C311),ABS(BR311-C311)),0),BP311,BQ311,BR311)</f>
        <v>42</v>
      </c>
      <c r="BJ311" s="1" cm="1">
        <f t="array" ref="BJ311">(INDEX(_xlfn._xlws.SORT(CHOOSE({1;2;3;4;5;6},BQ311,BR311,L311,AE311,BO311,BP311)),3) + INDEX(_xlfn._xlws.SORT(CHOOSE({1;2;3;4;5;6},BQ311,BR311,L311,AE311,BO311,BP311)),4))/2</f>
        <v>84</v>
      </c>
      <c r="BK311">
        <v>4.5451965363926901</v>
      </c>
      <c r="BL311" t="s">
        <v>6117</v>
      </c>
      <c r="BM311" s="1">
        <f>BK311*3*D311</f>
        <v>47.724563632123242</v>
      </c>
      <c r="BN311" s="1">
        <f>BM311-C311</f>
        <v>0.47456363212324248</v>
      </c>
      <c r="BO311" s="1">
        <f>GK311*3*D311</f>
        <v>37.800000000000004</v>
      </c>
      <c r="BP311" s="1">
        <f>DO311*3*D311</f>
        <v>94.5</v>
      </c>
      <c r="BQ311" s="1">
        <f>FJ311*3*D311</f>
        <v>84</v>
      </c>
      <c r="BR311" s="1">
        <f>GL311*3*D311</f>
        <v>42</v>
      </c>
      <c r="BT311">
        <v>38.299999999999997</v>
      </c>
      <c r="BU311">
        <v>8.1999999999999993</v>
      </c>
      <c r="BV311" t="s">
        <v>5946</v>
      </c>
      <c r="BW311" t="s">
        <v>5073</v>
      </c>
      <c r="BX311" t="s">
        <v>5947</v>
      </c>
      <c r="BY311" t="s">
        <v>5948</v>
      </c>
      <c r="BZ311" t="s">
        <v>5949</v>
      </c>
      <c r="CA311" t="s">
        <v>2506</v>
      </c>
      <c r="CC311" t="s">
        <v>2507</v>
      </c>
      <c r="CD311" t="s">
        <v>2508</v>
      </c>
      <c r="CE311" t="s">
        <v>2440</v>
      </c>
      <c r="CG311" t="s">
        <v>3574</v>
      </c>
      <c r="CH311" t="s">
        <v>2510</v>
      </c>
      <c r="CI311" t="s">
        <v>2443</v>
      </c>
      <c r="CK311" t="s">
        <v>3575</v>
      </c>
      <c r="CL311" t="s">
        <v>2512</v>
      </c>
      <c r="CM311" t="s">
        <v>2521</v>
      </c>
      <c r="CO311" t="s">
        <v>3576</v>
      </c>
      <c r="CP311" t="s">
        <v>2514</v>
      </c>
      <c r="CQ311" t="s">
        <v>2449</v>
      </c>
      <c r="CS311" t="s">
        <v>3577</v>
      </c>
      <c r="CT311" t="s">
        <v>2524</v>
      </c>
      <c r="CV311">
        <v>9</v>
      </c>
      <c r="CW311">
        <v>9</v>
      </c>
      <c r="CX311">
        <v>9</v>
      </c>
      <c r="CY311">
        <v>9</v>
      </c>
      <c r="CZ311">
        <v>9</v>
      </c>
      <c r="DA311">
        <v>0.1</v>
      </c>
      <c r="DB311">
        <v>0.1</v>
      </c>
      <c r="DC311">
        <v>0.2</v>
      </c>
      <c r="DD311">
        <v>0.3</v>
      </c>
      <c r="DE311">
        <v>0.3</v>
      </c>
      <c r="DF311">
        <v>0.9</v>
      </c>
      <c r="DG311">
        <v>0.9</v>
      </c>
      <c r="DH311">
        <v>1.8</v>
      </c>
      <c r="DI311">
        <v>2.7</v>
      </c>
      <c r="DJ311">
        <v>2.7</v>
      </c>
      <c r="DK311">
        <v>8.1999999999999993</v>
      </c>
      <c r="DL311">
        <v>0</v>
      </c>
      <c r="DM311">
        <v>8.1999999999999993</v>
      </c>
      <c r="DN311">
        <v>8.4</v>
      </c>
      <c r="DO311">
        <f>AVERAGE(CV311:CZ311)</f>
        <v>9</v>
      </c>
      <c r="DQ311">
        <v>8</v>
      </c>
      <c r="DR311" t="s">
        <v>33</v>
      </c>
      <c r="DS311" t="s">
        <v>504</v>
      </c>
      <c r="DT311" t="s">
        <v>508</v>
      </c>
      <c r="DU311" t="s">
        <v>509</v>
      </c>
      <c r="DV311" t="s">
        <v>510</v>
      </c>
      <c r="DW311" t="s">
        <v>3788</v>
      </c>
      <c r="DX311" t="s">
        <v>3789</v>
      </c>
      <c r="DY311" t="s">
        <v>3790</v>
      </c>
      <c r="DZ311" t="s">
        <v>3791</v>
      </c>
      <c r="EA311" t="s">
        <v>3993</v>
      </c>
      <c r="EB311" t="s">
        <v>3793</v>
      </c>
      <c r="EC311" t="s">
        <v>4839</v>
      </c>
      <c r="ED311" t="s">
        <v>4840</v>
      </c>
      <c r="EE311" t="s">
        <v>3978</v>
      </c>
      <c r="EF311" t="s">
        <v>3797</v>
      </c>
      <c r="EG311" t="s">
        <v>4841</v>
      </c>
      <c r="EH311" t="s">
        <v>4842</v>
      </c>
      <c r="EI311" t="s">
        <v>4640</v>
      </c>
      <c r="EJ311" t="s">
        <v>3800</v>
      </c>
      <c r="EK311" t="s">
        <v>4848</v>
      </c>
      <c r="EL311" t="s">
        <v>4842</v>
      </c>
      <c r="EM311" t="s">
        <v>4515</v>
      </c>
      <c r="EN311" t="s">
        <v>3803</v>
      </c>
      <c r="EO311" t="s">
        <v>4849</v>
      </c>
      <c r="EP311" t="s">
        <v>4850</v>
      </c>
      <c r="EQ311">
        <v>8</v>
      </c>
      <c r="ER311">
        <v>8</v>
      </c>
      <c r="ES311">
        <v>8</v>
      </c>
      <c r="ET311">
        <v>8</v>
      </c>
      <c r="EU311">
        <v>8</v>
      </c>
      <c r="EV311">
        <v>0.1</v>
      </c>
      <c r="EW311">
        <v>0.1</v>
      </c>
      <c r="EX311">
        <v>0.2</v>
      </c>
      <c r="EY311">
        <v>0.3</v>
      </c>
      <c r="EZ311">
        <v>0.3</v>
      </c>
      <c r="FA311">
        <f>EV311*EQ311</f>
        <v>0.8</v>
      </c>
      <c r="FB311">
        <f>EW311*ER311</f>
        <v>0.8</v>
      </c>
      <c r="FC311">
        <f>EX311*ES311</f>
        <v>1.6</v>
      </c>
      <c r="FD311">
        <f>EY311*ET311</f>
        <v>2.4</v>
      </c>
      <c r="FE311">
        <f>EZ311*EU311</f>
        <v>2.4</v>
      </c>
      <c r="FF311">
        <v>16</v>
      </c>
      <c r="FG311">
        <v>0</v>
      </c>
      <c r="FH311">
        <v>8</v>
      </c>
      <c r="FI311">
        <f>FA311+FB311+FC311+FD311+FE311</f>
        <v>8</v>
      </c>
      <c r="FJ311">
        <f>MEDIAN(EQ311:EU311)</f>
        <v>8</v>
      </c>
      <c r="FL311">
        <v>40.9</v>
      </c>
      <c r="FM311">
        <v>3.3</v>
      </c>
      <c r="FN311" t="s">
        <v>2073</v>
      </c>
      <c r="FO311" t="s">
        <v>2074</v>
      </c>
      <c r="FP311" t="s">
        <v>2075</v>
      </c>
      <c r="FQ311" t="s">
        <v>2076</v>
      </c>
      <c r="FR311" t="s">
        <v>2077</v>
      </c>
      <c r="FS311">
        <v>6</v>
      </c>
      <c r="FT311">
        <v>7</v>
      </c>
      <c r="FU311">
        <v>4</v>
      </c>
      <c r="FV311">
        <v>3</v>
      </c>
      <c r="FW311">
        <v>2</v>
      </c>
      <c r="FX311">
        <v>0.1</v>
      </c>
      <c r="FY311">
        <v>0.1</v>
      </c>
      <c r="FZ311">
        <v>0.2</v>
      </c>
      <c r="GA311">
        <v>0.3</v>
      </c>
      <c r="GB311">
        <v>0.3</v>
      </c>
      <c r="GC311">
        <f>FS311*FX311</f>
        <v>0.60000000000000009</v>
      </c>
      <c r="GD311">
        <f>FT311*FY311</f>
        <v>0.70000000000000007</v>
      </c>
      <c r="GE311">
        <f>FU311*FZ311</f>
        <v>0.8</v>
      </c>
      <c r="GF311">
        <f>FV311*GA311</f>
        <v>0.89999999999999991</v>
      </c>
      <c r="GG311">
        <f>FW311*GB311</f>
        <v>0.6</v>
      </c>
      <c r="GH311">
        <v>3.3</v>
      </c>
      <c r="GI311">
        <v>0</v>
      </c>
      <c r="GJ311">
        <v>3.3</v>
      </c>
      <c r="GK311">
        <f>GC311+GD311+GE311+GF311+GG311</f>
        <v>3.6000000000000005</v>
      </c>
      <c r="GL311">
        <f>MEDIAN(FS311:FW311)</f>
        <v>4</v>
      </c>
    </row>
    <row r="312" spans="1:194" hidden="1" x14ac:dyDescent="0.25">
      <c r="A312">
        <v>311</v>
      </c>
      <c r="B312" t="s">
        <v>2</v>
      </c>
      <c r="C312" s="4">
        <v>66</v>
      </c>
      <c r="D312">
        <v>3.3</v>
      </c>
      <c r="E312" s="1">
        <f>C312/3/D312</f>
        <v>6.666666666666667</v>
      </c>
      <c r="G312">
        <v>36.96</v>
      </c>
      <c r="H312">
        <v>8.5</v>
      </c>
      <c r="I312">
        <f>H312*D312*3</f>
        <v>84.149999999999991</v>
      </c>
      <c r="J312">
        <v>16.55</v>
      </c>
      <c r="K312">
        <v>9</v>
      </c>
      <c r="L312" s="3">
        <f>K312*3*D312</f>
        <v>89.1</v>
      </c>
      <c r="M312">
        <v>5.05</v>
      </c>
      <c r="N312">
        <v>2</v>
      </c>
      <c r="O312">
        <f>N312*D312*3</f>
        <v>19.799999999999997</v>
      </c>
      <c r="P312" s="5">
        <v>9</v>
      </c>
      <c r="Q312" s="5">
        <f>P312*D312*3</f>
        <v>89.1</v>
      </c>
      <c r="S312" t="s">
        <v>6437</v>
      </c>
      <c r="T312">
        <v>4</v>
      </c>
      <c r="U312" s="8">
        <f>T312*D312*3</f>
        <v>39.599999999999994</v>
      </c>
      <c r="V312">
        <v>33.04</v>
      </c>
      <c r="W312">
        <v>8.4</v>
      </c>
      <c r="X312" s="5">
        <f>W312*D312*3</f>
        <v>83.16</v>
      </c>
      <c r="Y312">
        <v>11.91</v>
      </c>
      <c r="Z312">
        <v>7.8</v>
      </c>
      <c r="AA312">
        <f>Z312*D312*3</f>
        <v>77.22</v>
      </c>
      <c r="AC312">
        <v>145.29</v>
      </c>
      <c r="AD312">
        <v>7.9</v>
      </c>
      <c r="AE312" s="1">
        <f>AD312*3*D312</f>
        <v>78.210000000000008</v>
      </c>
      <c r="AF312">
        <v>12.02</v>
      </c>
      <c r="AG312" s="5">
        <v>7</v>
      </c>
      <c r="AH312" s="5">
        <f>AG312*D312*3</f>
        <v>69.3</v>
      </c>
      <c r="AI312" s="13"/>
      <c r="AK312" s="8">
        <f>AJ312*D312*3</f>
        <v>0</v>
      </c>
      <c r="AL312" s="13"/>
      <c r="AM312">
        <v>30.22</v>
      </c>
      <c r="AN312">
        <v>7.4</v>
      </c>
      <c r="AO312" s="8">
        <f>AN312*D312*3</f>
        <v>73.259999999999991</v>
      </c>
      <c r="AP312">
        <v>13.5</v>
      </c>
      <c r="AQ312">
        <v>8.6</v>
      </c>
      <c r="AR312">
        <f>AQ312*D312*3</f>
        <v>85.14</v>
      </c>
      <c r="AT312">
        <v>8.6999999999999993</v>
      </c>
      <c r="AU312">
        <f>AT312*D312*3</f>
        <v>86.13</v>
      </c>
      <c r="AX312">
        <v>8.8000000000000007</v>
      </c>
      <c r="AY312">
        <f>AX312*D312*3</f>
        <v>87.12</v>
      </c>
      <c r="BA312">
        <v>9</v>
      </c>
      <c r="BB312">
        <f>BA312*D312*3</f>
        <v>89.1</v>
      </c>
      <c r="BD312">
        <v>8</v>
      </c>
      <c r="BE312">
        <f>BD312*D312*3</f>
        <v>79.199999999999989</v>
      </c>
      <c r="BG312" s="10"/>
      <c r="BH312" s="1">
        <f>CHOOSE(MATCH(MIN(ABS(BP312-C312),ABS(BQ312-C312),ABS(BR312-C312)),CHOOSE({1;2;3},ABS(BP312-C312),ABS(BQ312-C312),ABS(BR312-C312)),0),BP312,BQ312,BR312)</f>
        <v>74.25</v>
      </c>
      <c r="BJ312" s="1" cm="1">
        <f t="array" ref="BJ312">(INDEX(_xlfn._xlws.SORT(CHOOSE({1;2;3;4;5;6},BQ312,BR312,L312,AE312,BO312,BP312)),3) + INDEX(_xlfn._xlws.SORT(CHOOSE({1;2;3;4;5;6},BQ312,BR312,L312,AE312,BO312,BP312)),4))/2</f>
        <v>78.704999999999998</v>
      </c>
      <c r="BK312">
        <v>6.7225991378352097</v>
      </c>
      <c r="BL312" t="s">
        <v>6117</v>
      </c>
      <c r="BM312" s="1">
        <f>BK312*3*D312</f>
        <v>66.553731464568571</v>
      </c>
      <c r="BN312" s="1">
        <f>BM312-C312</f>
        <v>0.55373146456857114</v>
      </c>
      <c r="BO312" s="1">
        <f>GK312*3*D312</f>
        <v>62.865000000000002</v>
      </c>
      <c r="BP312" s="1">
        <f>DO312*3*D312</f>
        <v>85.139999999999986</v>
      </c>
      <c r="BQ312" s="1">
        <f>FJ312*3*D312</f>
        <v>79.199999999999989</v>
      </c>
      <c r="BR312" s="1">
        <f>GL312*3*D312</f>
        <v>74.25</v>
      </c>
      <c r="BT312">
        <v>36.96</v>
      </c>
      <c r="BU312">
        <v>8.5</v>
      </c>
      <c r="BV312" t="s">
        <v>4991</v>
      </c>
      <c r="BW312" t="s">
        <v>4999</v>
      </c>
      <c r="BX312" t="s">
        <v>5060</v>
      </c>
      <c r="BY312" t="s">
        <v>5061</v>
      </c>
      <c r="BZ312" t="s">
        <v>5785</v>
      </c>
      <c r="CA312" t="s">
        <v>2420</v>
      </c>
      <c r="CC312" t="s">
        <v>3256</v>
      </c>
      <c r="CD312" t="s">
        <v>2422</v>
      </c>
      <c r="CE312" t="s">
        <v>2423</v>
      </c>
      <c r="CG312" t="s">
        <v>2957</v>
      </c>
      <c r="CH312" t="s">
        <v>2425</v>
      </c>
      <c r="CI312" t="s">
        <v>2426</v>
      </c>
      <c r="CJ312" t="s">
        <v>2427</v>
      </c>
      <c r="CK312" t="s">
        <v>3257</v>
      </c>
      <c r="CL312" t="s">
        <v>2999</v>
      </c>
      <c r="CM312" t="s">
        <v>2430</v>
      </c>
      <c r="CO312" t="s">
        <v>2960</v>
      </c>
      <c r="CP312" t="s">
        <v>2432</v>
      </c>
      <c r="CQ312" t="s">
        <v>2920</v>
      </c>
      <c r="CR312" t="s">
        <v>2434</v>
      </c>
      <c r="CS312" t="s">
        <v>2962</v>
      </c>
      <c r="CT312" t="s">
        <v>2436</v>
      </c>
      <c r="CV312">
        <v>9</v>
      </c>
      <c r="CW312">
        <v>9</v>
      </c>
      <c r="CX312">
        <v>8</v>
      </c>
      <c r="CY312">
        <v>9</v>
      </c>
      <c r="CZ312">
        <v>8</v>
      </c>
      <c r="DA312">
        <v>0.1</v>
      </c>
      <c r="DB312">
        <v>0.1</v>
      </c>
      <c r="DC312">
        <v>0.2</v>
      </c>
      <c r="DD312">
        <v>0.3</v>
      </c>
      <c r="DE312">
        <v>0.3</v>
      </c>
      <c r="DF312">
        <v>0.9</v>
      </c>
      <c r="DG312">
        <v>0.9</v>
      </c>
      <c r="DH312">
        <v>1.6</v>
      </c>
      <c r="DI312">
        <v>2.7</v>
      </c>
      <c r="DJ312">
        <v>2.4</v>
      </c>
      <c r="DK312">
        <v>8.5</v>
      </c>
      <c r="DL312">
        <v>0</v>
      </c>
      <c r="DM312">
        <v>8.5</v>
      </c>
      <c r="DN312">
        <v>9</v>
      </c>
      <c r="DO312">
        <f>AVERAGE(CV312:CZ312)</f>
        <v>8.6</v>
      </c>
      <c r="DQ312">
        <v>8</v>
      </c>
      <c r="DR312" t="s">
        <v>33</v>
      </c>
      <c r="DS312" t="s">
        <v>511</v>
      </c>
      <c r="DT312" t="s">
        <v>512</v>
      </c>
      <c r="DU312" t="s">
        <v>513</v>
      </c>
      <c r="DV312" t="s">
        <v>514</v>
      </c>
      <c r="DW312" t="s">
        <v>3788</v>
      </c>
      <c r="DX312" t="s">
        <v>4505</v>
      </c>
      <c r="DY312" t="s">
        <v>4506</v>
      </c>
      <c r="DZ312" t="s">
        <v>4507</v>
      </c>
      <c r="EA312" t="s">
        <v>3993</v>
      </c>
      <c r="EB312" t="s">
        <v>4851</v>
      </c>
      <c r="EC312" t="s">
        <v>4852</v>
      </c>
      <c r="ED312" t="s">
        <v>4853</v>
      </c>
      <c r="EE312" t="s">
        <v>4425</v>
      </c>
      <c r="EF312" t="s">
        <v>4637</v>
      </c>
      <c r="EG312" t="s">
        <v>4638</v>
      </c>
      <c r="EH312" t="s">
        <v>4854</v>
      </c>
      <c r="EI312" t="s">
        <v>4855</v>
      </c>
      <c r="EJ312" t="s">
        <v>4856</v>
      </c>
      <c r="EK312" t="s">
        <v>4857</v>
      </c>
      <c r="EL312" t="s">
        <v>4858</v>
      </c>
      <c r="EM312" t="s">
        <v>4497</v>
      </c>
      <c r="EN312" t="s">
        <v>4397</v>
      </c>
      <c r="EO312" t="s">
        <v>4859</v>
      </c>
      <c r="EP312" t="s">
        <v>4860</v>
      </c>
      <c r="EQ312">
        <v>7</v>
      </c>
      <c r="ER312">
        <v>8</v>
      </c>
      <c r="ES312">
        <v>8</v>
      </c>
      <c r="ET312">
        <v>8</v>
      </c>
      <c r="EU312">
        <v>8</v>
      </c>
      <c r="EV312">
        <v>0.1</v>
      </c>
      <c r="EW312">
        <v>0.1</v>
      </c>
      <c r="EX312">
        <v>0.2</v>
      </c>
      <c r="EY312">
        <v>0.3</v>
      </c>
      <c r="EZ312">
        <v>0.3</v>
      </c>
      <c r="FA312">
        <f>EV312*EQ312</f>
        <v>0.70000000000000007</v>
      </c>
      <c r="FB312">
        <f>EW312*ER312</f>
        <v>0.8</v>
      </c>
      <c r="FC312">
        <f>EX312*ES312</f>
        <v>1.6</v>
      </c>
      <c r="FD312">
        <f>EY312*ET312</f>
        <v>2.4</v>
      </c>
      <c r="FE312">
        <f>EZ312*EU312</f>
        <v>2.4</v>
      </c>
      <c r="FF312">
        <v>15</v>
      </c>
      <c r="FG312">
        <v>0</v>
      </c>
      <c r="FH312">
        <v>8</v>
      </c>
      <c r="FI312">
        <f>FA312+FB312+FC312+FD312+FE312</f>
        <v>7.9</v>
      </c>
      <c r="FJ312">
        <f>MEDIAN(EQ312:EU312)</f>
        <v>8</v>
      </c>
      <c r="FL312">
        <v>39.369999999999997</v>
      </c>
      <c r="FM312">
        <v>5.8</v>
      </c>
      <c r="FN312" t="s">
        <v>2078</v>
      </c>
      <c r="FO312" t="s">
        <v>2079</v>
      </c>
      <c r="FP312" t="s">
        <v>2080</v>
      </c>
      <c r="FQ312" t="s">
        <v>2081</v>
      </c>
      <c r="FR312" t="s">
        <v>2082</v>
      </c>
      <c r="FS312">
        <v>8</v>
      </c>
      <c r="FT312">
        <v>9</v>
      </c>
      <c r="FU312">
        <v>7.5</v>
      </c>
      <c r="FV312">
        <v>6.5</v>
      </c>
      <c r="FW312">
        <v>4</v>
      </c>
      <c r="FX312">
        <v>0.1</v>
      </c>
      <c r="FY312">
        <v>0.1</v>
      </c>
      <c r="FZ312">
        <v>0.2</v>
      </c>
      <c r="GA312">
        <v>0.3</v>
      </c>
      <c r="GB312">
        <v>0.3</v>
      </c>
      <c r="GC312">
        <f>FS312*FX312</f>
        <v>0.8</v>
      </c>
      <c r="GD312">
        <f>FT312*FY312</f>
        <v>0.9</v>
      </c>
      <c r="GE312">
        <f>FU312*FZ312</f>
        <v>1.5</v>
      </c>
      <c r="GF312">
        <f>FV312*GA312</f>
        <v>1.95</v>
      </c>
      <c r="GG312">
        <f>FW312*GB312</f>
        <v>1.2</v>
      </c>
      <c r="GH312">
        <v>5.85</v>
      </c>
      <c r="GJ312">
        <v>5.8</v>
      </c>
      <c r="GK312">
        <f>GC312+GD312+GE312+GF312+GG312</f>
        <v>6.3500000000000005</v>
      </c>
      <c r="GL312">
        <f>MEDIAN(FS312:FW312)</f>
        <v>7.5</v>
      </c>
    </row>
    <row r="313" spans="1:194" hidden="1" x14ac:dyDescent="0.25">
      <c r="A313">
        <v>312</v>
      </c>
      <c r="B313" t="s">
        <v>2</v>
      </c>
      <c r="C313" s="4">
        <v>56.1</v>
      </c>
      <c r="D313">
        <v>3.3</v>
      </c>
      <c r="E313" s="1">
        <f>C313/3/D313</f>
        <v>5.666666666666667</v>
      </c>
      <c r="G313">
        <v>37.54</v>
      </c>
      <c r="H313">
        <v>8.65</v>
      </c>
      <c r="I313">
        <f>H313*D313*3</f>
        <v>85.634999999999991</v>
      </c>
      <c r="J313">
        <v>17.72</v>
      </c>
      <c r="K313">
        <v>9</v>
      </c>
      <c r="L313" s="3">
        <f>K313*3*D313</f>
        <v>89.1</v>
      </c>
      <c r="M313">
        <v>4.2</v>
      </c>
      <c r="N313">
        <v>0</v>
      </c>
      <c r="O313">
        <f>N313*D313*3</f>
        <v>0</v>
      </c>
      <c r="P313" s="5">
        <v>7</v>
      </c>
      <c r="Q313" s="5">
        <f>P313*D313*3</f>
        <v>69.3</v>
      </c>
      <c r="S313" t="s">
        <v>6438</v>
      </c>
      <c r="T313">
        <v>7</v>
      </c>
      <c r="U313" s="8">
        <f>T313*D313*3</f>
        <v>69.3</v>
      </c>
      <c r="V313">
        <v>60.7</v>
      </c>
      <c r="W313">
        <v>4.7</v>
      </c>
      <c r="X313" s="5">
        <f>W313*D313*3</f>
        <v>46.53</v>
      </c>
      <c r="Y313">
        <v>10.199999999999999</v>
      </c>
      <c r="Z313">
        <v>6</v>
      </c>
      <c r="AA313">
        <f>Z313*D313*3</f>
        <v>59.399999999999991</v>
      </c>
      <c r="AC313">
        <v>140.54</v>
      </c>
      <c r="AD313">
        <v>8</v>
      </c>
      <c r="AE313" s="1">
        <f>AD313*3*D313</f>
        <v>79.199999999999989</v>
      </c>
      <c r="AF313">
        <v>9.56</v>
      </c>
      <c r="AH313" s="5">
        <f>AG313*D313*3</f>
        <v>0</v>
      </c>
      <c r="AI313" s="13"/>
      <c r="AJ313">
        <v>21</v>
      </c>
      <c r="AK313" s="8">
        <f>AJ313*D313*3</f>
        <v>207.89999999999998</v>
      </c>
      <c r="AL313" s="13"/>
      <c r="AM313">
        <v>30.2</v>
      </c>
      <c r="AN313">
        <v>7.8</v>
      </c>
      <c r="AO313" s="8">
        <f>AN313*D313*3</f>
        <v>77.22</v>
      </c>
      <c r="AP313">
        <v>13.64</v>
      </c>
      <c r="AQ313">
        <v>9.5</v>
      </c>
      <c r="AR313">
        <f>AQ313*D313*3</f>
        <v>94.05</v>
      </c>
      <c r="AT313">
        <v>9</v>
      </c>
      <c r="AU313">
        <f>AT313*D313*3</f>
        <v>89.1</v>
      </c>
      <c r="AX313">
        <v>8.8000000000000007</v>
      </c>
      <c r="AY313">
        <f>AX313*D313*3</f>
        <v>87.12</v>
      </c>
      <c r="BA313">
        <v>8.6999999999999993</v>
      </c>
      <c r="BB313">
        <f>BA313*D313*3</f>
        <v>86.13</v>
      </c>
      <c r="BD313">
        <v>8.9</v>
      </c>
      <c r="BE313">
        <f>BD313*D313*3</f>
        <v>88.11</v>
      </c>
      <c r="BG313" s="10"/>
      <c r="BH313" s="1">
        <f>CHOOSE(MATCH(MIN(ABS(BP313-C313),ABS(BQ313-C313),ABS(BR313-C313)),CHOOSE({1;2;3},ABS(BP313-C313),ABS(BQ313-C313),ABS(BR313-C313)),0),BP313,BQ313,BR313)</f>
        <v>39.599999999999994</v>
      </c>
      <c r="BJ313" s="1" cm="1">
        <f t="array" ref="BJ313">(INDEX(_xlfn._xlws.SORT(CHOOSE({1;2;3;4;5;6},BQ313,BR313,L313,AE313,BO313,BP313)),3) + INDEX(_xlfn._xlws.SORT(CHOOSE({1;2;3;4;5;6},BQ313,BR313,L313,AE313,BO313,BP313)),4))/2</f>
        <v>79.199999999999989</v>
      </c>
      <c r="BK313">
        <v>5.6836763442424401</v>
      </c>
      <c r="BL313" t="s">
        <v>6117</v>
      </c>
      <c r="BM313" s="1">
        <f>BK313*3*D313</f>
        <v>56.268395808000157</v>
      </c>
      <c r="BN313" s="1">
        <f>BM313-C313</f>
        <v>0.16839580800015597</v>
      </c>
      <c r="BO313" s="1">
        <f>GK313*3*D313</f>
        <v>49.5</v>
      </c>
      <c r="BP313" s="1">
        <f>DO313*3*D313</f>
        <v>88.11</v>
      </c>
      <c r="BQ313" s="1">
        <f>FJ313*3*D313</f>
        <v>79.199999999999989</v>
      </c>
      <c r="BR313" s="1">
        <f>GL313*3*D313</f>
        <v>39.599999999999994</v>
      </c>
      <c r="BT313">
        <v>37.54</v>
      </c>
      <c r="BU313">
        <v>8.65</v>
      </c>
      <c r="BV313" t="s">
        <v>5114</v>
      </c>
      <c r="BW313" t="s">
        <v>5830</v>
      </c>
      <c r="BX313" t="s">
        <v>5095</v>
      </c>
      <c r="BY313" t="s">
        <v>5950</v>
      </c>
      <c r="BZ313" t="s">
        <v>5951</v>
      </c>
      <c r="CA313" t="s">
        <v>2550</v>
      </c>
      <c r="CC313" t="s">
        <v>2634</v>
      </c>
      <c r="CD313" t="s">
        <v>3031</v>
      </c>
      <c r="CE313" t="s">
        <v>2553</v>
      </c>
      <c r="CG313" t="s">
        <v>2634</v>
      </c>
      <c r="CH313" t="s">
        <v>2773</v>
      </c>
      <c r="CI313" t="s">
        <v>3084</v>
      </c>
      <c r="CK313" t="s">
        <v>2634</v>
      </c>
      <c r="CL313" t="s">
        <v>2669</v>
      </c>
      <c r="CM313" t="s">
        <v>2995</v>
      </c>
      <c r="CO313" t="s">
        <v>2634</v>
      </c>
      <c r="CP313" t="s">
        <v>2869</v>
      </c>
      <c r="CQ313" t="s">
        <v>3578</v>
      </c>
      <c r="CR313" t="s">
        <v>2870</v>
      </c>
      <c r="CS313" t="s">
        <v>2871</v>
      </c>
      <c r="CT313" t="s">
        <v>3579</v>
      </c>
      <c r="CV313">
        <v>9</v>
      </c>
      <c r="CW313">
        <v>9</v>
      </c>
      <c r="CX313">
        <v>9</v>
      </c>
      <c r="CY313">
        <v>9</v>
      </c>
      <c r="CZ313">
        <v>8.5</v>
      </c>
      <c r="DA313">
        <v>0.1</v>
      </c>
      <c r="DB313">
        <v>0.1</v>
      </c>
      <c r="DC313">
        <v>0.2</v>
      </c>
      <c r="DD313">
        <v>0.3</v>
      </c>
      <c r="DE313">
        <v>0.3</v>
      </c>
      <c r="DF313">
        <v>0.9</v>
      </c>
      <c r="DG313">
        <v>0.9</v>
      </c>
      <c r="DH313">
        <v>1.8</v>
      </c>
      <c r="DI313">
        <v>2.7</v>
      </c>
      <c r="DJ313">
        <v>2.5499999999999998</v>
      </c>
      <c r="DK313">
        <v>8.65</v>
      </c>
      <c r="DL313">
        <v>0</v>
      </c>
      <c r="DM313">
        <v>8.65</v>
      </c>
      <c r="DN313">
        <v>9</v>
      </c>
      <c r="DO313">
        <f>AVERAGE(CV313:CZ313)</f>
        <v>8.9</v>
      </c>
      <c r="DQ313">
        <v>8</v>
      </c>
      <c r="DR313" t="s">
        <v>33</v>
      </c>
      <c r="DS313" t="s">
        <v>86</v>
      </c>
      <c r="DT313" t="s">
        <v>153</v>
      </c>
      <c r="DU313" t="s">
        <v>154</v>
      </c>
      <c r="DV313" t="s">
        <v>515</v>
      </c>
      <c r="DW313" t="s">
        <v>3788</v>
      </c>
      <c r="DX313" t="s">
        <v>3789</v>
      </c>
      <c r="DY313" t="s">
        <v>3790</v>
      </c>
      <c r="DZ313" t="s">
        <v>4861</v>
      </c>
      <c r="EA313" t="s">
        <v>3952</v>
      </c>
      <c r="EB313" t="s">
        <v>3953</v>
      </c>
      <c r="EC313" t="s">
        <v>4110</v>
      </c>
      <c r="ED313" t="s">
        <v>4110</v>
      </c>
      <c r="EE313" t="s">
        <v>4111</v>
      </c>
      <c r="EF313" t="s">
        <v>3844</v>
      </c>
      <c r="EG313" t="s">
        <v>4113</v>
      </c>
      <c r="EH313" t="s">
        <v>4113</v>
      </c>
      <c r="EI313" t="s">
        <v>4114</v>
      </c>
      <c r="EJ313" t="s">
        <v>3848</v>
      </c>
      <c r="EK313" t="s">
        <v>4115</v>
      </c>
      <c r="EL313" t="s">
        <v>4115</v>
      </c>
      <c r="EM313" t="s">
        <v>4862</v>
      </c>
      <c r="EN313" t="s">
        <v>3852</v>
      </c>
      <c r="EO313" t="s">
        <v>4863</v>
      </c>
      <c r="EP313" t="s">
        <v>4863</v>
      </c>
      <c r="EQ313">
        <v>8</v>
      </c>
      <c r="ER313">
        <v>8</v>
      </c>
      <c r="ES313">
        <v>8</v>
      </c>
      <c r="ET313">
        <v>8</v>
      </c>
      <c r="EU313">
        <v>8</v>
      </c>
      <c r="EV313">
        <v>0.1</v>
      </c>
      <c r="EW313">
        <v>0.1</v>
      </c>
      <c r="EX313">
        <v>0.2</v>
      </c>
      <c r="EY313">
        <v>0.3</v>
      </c>
      <c r="EZ313">
        <v>0.3</v>
      </c>
      <c r="FA313">
        <f>EV313*EQ313</f>
        <v>0.8</v>
      </c>
      <c r="FB313">
        <f>EW313*ER313</f>
        <v>0.8</v>
      </c>
      <c r="FC313">
        <f>EX313*ES313</f>
        <v>1.6</v>
      </c>
      <c r="FD313">
        <f>EY313*ET313</f>
        <v>2.4</v>
      </c>
      <c r="FE313">
        <f>EZ313*EU313</f>
        <v>2.4</v>
      </c>
      <c r="FF313">
        <v>16</v>
      </c>
      <c r="FG313">
        <v>0</v>
      </c>
      <c r="FH313">
        <v>8</v>
      </c>
      <c r="FI313">
        <f>FA313+FB313+FC313+FD313+FE313</f>
        <v>8</v>
      </c>
      <c r="FJ313">
        <f>MEDIAN(EQ313:EU313)</f>
        <v>8</v>
      </c>
      <c r="FL313">
        <v>40.29</v>
      </c>
      <c r="FM313">
        <v>9.6</v>
      </c>
      <c r="FN313" t="s">
        <v>2083</v>
      </c>
      <c r="FO313" t="s">
        <v>1018</v>
      </c>
      <c r="FP313" t="s">
        <v>2084</v>
      </c>
      <c r="FQ313" t="s">
        <v>843</v>
      </c>
      <c r="FR313" t="s">
        <v>2085</v>
      </c>
      <c r="FS313">
        <v>4</v>
      </c>
      <c r="FT313">
        <v>3</v>
      </c>
      <c r="FU313">
        <v>2</v>
      </c>
      <c r="FV313">
        <v>6</v>
      </c>
      <c r="FW313">
        <v>7</v>
      </c>
      <c r="FX313">
        <v>0.1</v>
      </c>
      <c r="FY313">
        <v>0.1</v>
      </c>
      <c r="FZ313">
        <v>0.2</v>
      </c>
      <c r="GA313">
        <v>0.3</v>
      </c>
      <c r="GB313">
        <v>0.3</v>
      </c>
      <c r="GC313">
        <f>FS313*FX313</f>
        <v>0.4</v>
      </c>
      <c r="GD313">
        <f>FT313*FY313</f>
        <v>0.30000000000000004</v>
      </c>
      <c r="GE313">
        <f>FU313*FZ313</f>
        <v>0.4</v>
      </c>
      <c r="GF313">
        <f>FV313*GA313</f>
        <v>1.7999999999999998</v>
      </c>
      <c r="GG313">
        <f>FW313*GB313</f>
        <v>2.1</v>
      </c>
      <c r="GH313">
        <v>9.6</v>
      </c>
      <c r="GI313">
        <v>0</v>
      </c>
      <c r="GJ313">
        <v>9.6</v>
      </c>
      <c r="GK313">
        <f>GC313+GD313+GE313+GF313+GG313</f>
        <v>5</v>
      </c>
      <c r="GL313">
        <f>MEDIAN(FS313:FW313)</f>
        <v>4</v>
      </c>
    </row>
    <row r="314" spans="1:194" hidden="1" x14ac:dyDescent="0.25">
      <c r="A314">
        <v>313</v>
      </c>
      <c r="B314" t="s">
        <v>2</v>
      </c>
      <c r="C314" s="4">
        <v>74.25</v>
      </c>
      <c r="D314">
        <v>3.3</v>
      </c>
      <c r="E314" s="1">
        <f>C314/3/D314</f>
        <v>7.5</v>
      </c>
      <c r="G314">
        <v>89.76</v>
      </c>
      <c r="H314">
        <v>8</v>
      </c>
      <c r="I314">
        <f>H314*D314*3</f>
        <v>79.199999999999989</v>
      </c>
      <c r="J314">
        <v>17.84</v>
      </c>
      <c r="K314">
        <v>9</v>
      </c>
      <c r="L314" s="3">
        <f>K314*3*D314</f>
        <v>89.1</v>
      </c>
      <c r="M314">
        <v>5.38</v>
      </c>
      <c r="N314">
        <v>4</v>
      </c>
      <c r="O314">
        <f>N314*D314*3</f>
        <v>39.599999999999994</v>
      </c>
      <c r="P314" s="5">
        <v>8.5</v>
      </c>
      <c r="Q314" s="5">
        <f>P314*D314*3</f>
        <v>84.149999999999991</v>
      </c>
      <c r="S314" t="s">
        <v>6439</v>
      </c>
      <c r="T314">
        <v>8.1999999999999993</v>
      </c>
      <c r="U314" s="8">
        <f>T314*D314*3</f>
        <v>81.179999999999978</v>
      </c>
      <c r="V314">
        <v>57.31</v>
      </c>
      <c r="W314">
        <v>8</v>
      </c>
      <c r="X314" s="5">
        <f>W314*D314*3</f>
        <v>79.199999999999989</v>
      </c>
      <c r="Y314">
        <v>9.5</v>
      </c>
      <c r="Z314">
        <v>7.8</v>
      </c>
      <c r="AA314">
        <f>Z314*D314*3</f>
        <v>77.22</v>
      </c>
      <c r="AC314">
        <v>141.57</v>
      </c>
      <c r="AD314">
        <v>7.9</v>
      </c>
      <c r="AE314" s="1">
        <f>AD314*3*D314</f>
        <v>78.210000000000008</v>
      </c>
      <c r="AF314">
        <v>13.51</v>
      </c>
      <c r="AH314" s="5">
        <f>AG314*D314*3</f>
        <v>0</v>
      </c>
      <c r="AI314" s="13"/>
      <c r="AJ314">
        <v>7.2</v>
      </c>
      <c r="AK314" s="8">
        <f>AJ314*D314*3</f>
        <v>71.28</v>
      </c>
      <c r="AL314" s="13"/>
      <c r="AM314">
        <v>30.16</v>
      </c>
      <c r="AN314">
        <v>7.9</v>
      </c>
      <c r="AO314" s="8">
        <f>AN314*D314*3</f>
        <v>78.210000000000008</v>
      </c>
      <c r="AP314">
        <v>13.01</v>
      </c>
      <c r="AQ314">
        <v>10</v>
      </c>
      <c r="AR314">
        <f>AQ314*D314*3</f>
        <v>99</v>
      </c>
      <c r="AT314">
        <v>8.5</v>
      </c>
      <c r="AU314">
        <f>AT314*D314*3</f>
        <v>84.149999999999991</v>
      </c>
      <c r="AX314">
        <v>9.3000000000000007</v>
      </c>
      <c r="AY314">
        <f>AX314*D314*3</f>
        <v>92.070000000000007</v>
      </c>
      <c r="BA314">
        <v>9</v>
      </c>
      <c r="BB314">
        <f>BA314*D314*3</f>
        <v>89.1</v>
      </c>
      <c r="BD314">
        <v>9</v>
      </c>
      <c r="BE314">
        <f>BD314*D314*3</f>
        <v>89.1</v>
      </c>
      <c r="BG314" s="10"/>
      <c r="BH314" s="1">
        <f>CHOOSE(MATCH(MIN(ABS(BP314-C314),ABS(BQ314-C314),ABS(BR314-C314)),CHOOSE({1;2;3},ABS(BP314-C314),ABS(BQ314-C314),ABS(BR314-C314)),0),BP314,BQ314,BR314)</f>
        <v>79.199999999999989</v>
      </c>
      <c r="BJ314" s="1" cm="1">
        <f t="array" ref="BJ314">(INDEX(_xlfn._xlws.SORT(CHOOSE({1;2;3;4;5;6},BQ314,BR314,L314,AE314,BO314,BP314)),3) + INDEX(_xlfn._xlws.SORT(CHOOSE({1;2;3;4;5;6},BQ314,BR314,L314,AE314,BO314,BP314)),4))/2</f>
        <v>89.1</v>
      </c>
      <c r="BK314">
        <v>7.4606390723249101</v>
      </c>
      <c r="BL314" t="s">
        <v>6117</v>
      </c>
      <c r="BM314" s="1">
        <f>BK314*3*D314</f>
        <v>73.86032681601661</v>
      </c>
      <c r="BN314" s="1">
        <f>BM314-C314</f>
        <v>-0.38967318398339046</v>
      </c>
      <c r="BO314" s="1">
        <f>GK314*3*D314</f>
        <v>93.06</v>
      </c>
      <c r="BP314" s="1">
        <f>DO314*3*D314</f>
        <v>89.1</v>
      </c>
      <c r="BQ314" s="1">
        <f>FJ314*3*D314</f>
        <v>79.199999999999989</v>
      </c>
      <c r="BR314" s="1">
        <f>GL314*3*D314</f>
        <v>99</v>
      </c>
      <c r="BT314">
        <v>89.76</v>
      </c>
      <c r="BU314">
        <v>8</v>
      </c>
      <c r="BV314" t="s">
        <v>5114</v>
      </c>
      <c r="BW314" t="s">
        <v>5519</v>
      </c>
      <c r="BX314" t="s">
        <v>5751</v>
      </c>
      <c r="BY314" t="s">
        <v>5711</v>
      </c>
      <c r="BZ314" t="s">
        <v>5952</v>
      </c>
      <c r="CA314" t="s">
        <v>3580</v>
      </c>
      <c r="CC314" t="s">
        <v>2585</v>
      </c>
      <c r="CD314" t="s">
        <v>2453</v>
      </c>
      <c r="CE314" t="s">
        <v>3581</v>
      </c>
      <c r="CG314" t="s">
        <v>2856</v>
      </c>
      <c r="CH314" t="s">
        <v>2527</v>
      </c>
      <c r="CI314" t="s">
        <v>2858</v>
      </c>
      <c r="CK314" t="s">
        <v>3582</v>
      </c>
      <c r="CL314" t="s">
        <v>2860</v>
      </c>
      <c r="CM314" t="s">
        <v>3583</v>
      </c>
      <c r="CO314" t="s">
        <v>2862</v>
      </c>
      <c r="CP314" t="s">
        <v>3584</v>
      </c>
      <c r="CQ314" t="s">
        <v>3585</v>
      </c>
      <c r="CS314" t="s">
        <v>2865</v>
      </c>
      <c r="CT314" t="s">
        <v>2866</v>
      </c>
      <c r="CV314">
        <v>9</v>
      </c>
      <c r="CW314">
        <v>9</v>
      </c>
      <c r="CX314">
        <v>9</v>
      </c>
      <c r="CY314">
        <v>9</v>
      </c>
      <c r="CZ314">
        <v>9</v>
      </c>
      <c r="DA314">
        <v>0.1</v>
      </c>
      <c r="DB314">
        <v>0.1</v>
      </c>
      <c r="DC314">
        <v>0.2</v>
      </c>
      <c r="DD314">
        <v>0.3</v>
      </c>
      <c r="DE314">
        <v>0.3</v>
      </c>
      <c r="DF314">
        <v>0.9</v>
      </c>
      <c r="DG314">
        <v>0.9</v>
      </c>
      <c r="DH314">
        <v>1.8</v>
      </c>
      <c r="DI314">
        <v>2.7</v>
      </c>
      <c r="DJ314">
        <v>2.7</v>
      </c>
      <c r="DK314">
        <v>8</v>
      </c>
      <c r="DL314">
        <v>0</v>
      </c>
      <c r="DM314">
        <v>8</v>
      </c>
      <c r="DN314">
        <v>9</v>
      </c>
      <c r="DO314">
        <f>AVERAGE(CV314:CZ314)</f>
        <v>9</v>
      </c>
      <c r="DQ314">
        <v>8</v>
      </c>
      <c r="DR314" t="s">
        <v>28</v>
      </c>
      <c r="DS314" t="s">
        <v>29</v>
      </c>
      <c r="DT314" t="s">
        <v>227</v>
      </c>
      <c r="DU314" t="s">
        <v>215</v>
      </c>
      <c r="DV314" t="s">
        <v>229</v>
      </c>
      <c r="DW314" t="s">
        <v>3769</v>
      </c>
      <c r="DX314" t="s">
        <v>3770</v>
      </c>
      <c r="DY314" t="s">
        <v>3771</v>
      </c>
      <c r="DZ314" t="s">
        <v>3772</v>
      </c>
      <c r="EA314" t="s">
        <v>3860</v>
      </c>
      <c r="EB314" t="s">
        <v>3807</v>
      </c>
      <c r="EC314" t="s">
        <v>3775</v>
      </c>
      <c r="ED314" t="s">
        <v>3776</v>
      </c>
      <c r="EE314" t="s">
        <v>4240</v>
      </c>
      <c r="EF314" t="s">
        <v>3809</v>
      </c>
      <c r="EG314" t="s">
        <v>4588</v>
      </c>
      <c r="EH314" t="s">
        <v>3811</v>
      </c>
      <c r="EI314" t="s">
        <v>4468</v>
      </c>
      <c r="EJ314" t="s">
        <v>3813</v>
      </c>
      <c r="EK314" t="s">
        <v>4175</v>
      </c>
      <c r="EL314" t="s">
        <v>3811</v>
      </c>
      <c r="EM314" t="s">
        <v>4470</v>
      </c>
      <c r="EN314" t="s">
        <v>3809</v>
      </c>
      <c r="EO314" t="s">
        <v>4864</v>
      </c>
      <c r="EP314" t="s">
        <v>3811</v>
      </c>
      <c r="EQ314">
        <v>7</v>
      </c>
      <c r="ER314">
        <v>8</v>
      </c>
      <c r="ES314">
        <v>8</v>
      </c>
      <c r="ET314">
        <v>8</v>
      </c>
      <c r="EU314">
        <v>8</v>
      </c>
      <c r="EV314">
        <v>0.1</v>
      </c>
      <c r="EW314">
        <v>0.1</v>
      </c>
      <c r="EX314">
        <v>0.2</v>
      </c>
      <c r="EY314">
        <v>0.3</v>
      </c>
      <c r="EZ314">
        <v>0.3</v>
      </c>
      <c r="FA314">
        <f>EV314*EQ314</f>
        <v>0.70000000000000007</v>
      </c>
      <c r="FB314">
        <f>EW314*ER314</f>
        <v>0.8</v>
      </c>
      <c r="FC314">
        <f>EX314*ES314</f>
        <v>1.6</v>
      </c>
      <c r="FD314">
        <f>EY314*ET314</f>
        <v>2.4</v>
      </c>
      <c r="FE314">
        <f>EZ314*EU314</f>
        <v>2.4</v>
      </c>
      <c r="FF314">
        <v>15</v>
      </c>
      <c r="FG314">
        <v>0</v>
      </c>
      <c r="FH314">
        <v>8</v>
      </c>
      <c r="FI314">
        <f>FA314+FB314+FC314+FD314+FE314</f>
        <v>7.9</v>
      </c>
      <c r="FJ314">
        <f>MEDIAN(EQ314:EU314)</f>
        <v>8</v>
      </c>
      <c r="FL314">
        <v>103.31</v>
      </c>
      <c r="FM314">
        <v>7.4</v>
      </c>
      <c r="FN314" t="s">
        <v>2086</v>
      </c>
      <c r="FO314" t="s">
        <v>2087</v>
      </c>
      <c r="FP314" t="s">
        <v>2088</v>
      </c>
      <c r="FQ314" t="s">
        <v>2089</v>
      </c>
      <c r="FR314" t="s">
        <v>2090</v>
      </c>
      <c r="FS314">
        <v>10</v>
      </c>
      <c r="FT314">
        <v>10</v>
      </c>
      <c r="FU314">
        <v>10</v>
      </c>
      <c r="FV314">
        <v>10</v>
      </c>
      <c r="FW314">
        <v>8</v>
      </c>
      <c r="FX314">
        <v>0.1</v>
      </c>
      <c r="FY314">
        <v>0.1</v>
      </c>
      <c r="FZ314">
        <v>0.2</v>
      </c>
      <c r="GA314">
        <v>0.3</v>
      </c>
      <c r="GB314">
        <v>0.3</v>
      </c>
      <c r="GC314">
        <f>FS314*FX314</f>
        <v>1</v>
      </c>
      <c r="GD314">
        <f>FT314*FY314</f>
        <v>1</v>
      </c>
      <c r="GE314">
        <f>FU314*FZ314</f>
        <v>2</v>
      </c>
      <c r="GF314">
        <f>FV314*GA314</f>
        <v>3</v>
      </c>
      <c r="GG314">
        <f>FW314*GB314</f>
        <v>2.4</v>
      </c>
      <c r="GH314">
        <v>7.4</v>
      </c>
      <c r="GI314">
        <v>0</v>
      </c>
      <c r="GJ314">
        <v>7.4</v>
      </c>
      <c r="GK314">
        <f>GC314+GD314+GE314+GF314+GG314</f>
        <v>9.4</v>
      </c>
      <c r="GL314">
        <f>MEDIAN(FS314:FW314)</f>
        <v>10</v>
      </c>
    </row>
    <row r="315" spans="1:194" hidden="1" x14ac:dyDescent="0.25">
      <c r="A315">
        <v>314</v>
      </c>
      <c r="B315" t="s">
        <v>2</v>
      </c>
      <c r="C315" s="4">
        <v>81</v>
      </c>
      <c r="D315">
        <v>3.6</v>
      </c>
      <c r="E315" s="1">
        <f>C315/3/D315</f>
        <v>7.5</v>
      </c>
      <c r="G315">
        <v>82.66</v>
      </c>
      <c r="H315">
        <v>8.1</v>
      </c>
      <c r="I315">
        <f>H315*D315*3</f>
        <v>87.48</v>
      </c>
      <c r="J315">
        <v>18.34</v>
      </c>
      <c r="K315">
        <v>8.6999999999999993</v>
      </c>
      <c r="L315" s="3">
        <f>K315*3*D315</f>
        <v>93.96</v>
      </c>
      <c r="M315">
        <v>5.18</v>
      </c>
      <c r="N315">
        <v>8</v>
      </c>
      <c r="O315">
        <f>N315*D315*3</f>
        <v>86.4</v>
      </c>
      <c r="P315" s="5">
        <v>7.2</v>
      </c>
      <c r="Q315" s="5">
        <f>P315*D315*3</f>
        <v>77.760000000000005</v>
      </c>
      <c r="S315" t="s">
        <v>6440</v>
      </c>
      <c r="T315">
        <v>7.2</v>
      </c>
      <c r="U315" s="8">
        <f>T315*D315*3</f>
        <v>77.760000000000005</v>
      </c>
      <c r="V315">
        <v>52.48</v>
      </c>
      <c r="W315">
        <v>9</v>
      </c>
      <c r="X315" s="5">
        <f>W315*D315*3</f>
        <v>97.199999999999989</v>
      </c>
      <c r="Y315">
        <v>9.65</v>
      </c>
      <c r="Z315">
        <v>7.5</v>
      </c>
      <c r="AA315">
        <f>Z315*D315*3</f>
        <v>81</v>
      </c>
      <c r="AC315">
        <v>144</v>
      </c>
      <c r="AD315">
        <v>8</v>
      </c>
      <c r="AE315" s="1">
        <f>AD315*3*D315</f>
        <v>86.4</v>
      </c>
      <c r="AF315">
        <v>13.5</v>
      </c>
      <c r="AH315" s="5">
        <f>AG315*D315*3</f>
        <v>0</v>
      </c>
      <c r="AI315" s="13"/>
      <c r="AJ315">
        <v>26</v>
      </c>
      <c r="AK315" s="8">
        <f>AJ315*D315*3</f>
        <v>280.8</v>
      </c>
      <c r="AL315" s="13"/>
      <c r="AM315">
        <v>31.53</v>
      </c>
      <c r="AN315">
        <v>7</v>
      </c>
      <c r="AO315" s="8">
        <f>AN315*D315*3</f>
        <v>75.599999999999994</v>
      </c>
      <c r="AP315">
        <v>12.92</v>
      </c>
      <c r="AQ315">
        <v>10</v>
      </c>
      <c r="AR315">
        <f>AQ315*D315*3</f>
        <v>108</v>
      </c>
      <c r="AT315">
        <v>9</v>
      </c>
      <c r="AU315">
        <f>AT315*D315*3</f>
        <v>97.199999999999989</v>
      </c>
      <c r="AX315">
        <v>9.1999999999999993</v>
      </c>
      <c r="AY315">
        <f>AX315*D315*3</f>
        <v>99.359999999999985</v>
      </c>
      <c r="BA315">
        <v>9</v>
      </c>
      <c r="BB315">
        <f>BA315*D315*3</f>
        <v>97.199999999999989</v>
      </c>
      <c r="BD315">
        <v>7.9</v>
      </c>
      <c r="BE315">
        <f>BD315*D315*3</f>
        <v>85.320000000000007</v>
      </c>
      <c r="BG315" s="10"/>
      <c r="BH315" s="1">
        <f>CHOOSE(MATCH(MIN(ABS(BP315-C315),ABS(BQ315-C315),ABS(BR315-C315)),CHOOSE({1;2;3},ABS(BP315-C315),ABS(BQ315-C315),ABS(BR315-C315)),0),BP315,BQ315,BR315)</f>
        <v>86.4</v>
      </c>
      <c r="BJ315" s="1" cm="1">
        <f t="array" ref="BJ315">(INDEX(_xlfn._xlws.SORT(CHOOSE({1;2;3;4;5;6},BQ315,BR315,L315,AE315,BO315,BP315)),3) + INDEX(_xlfn._xlws.SORT(CHOOSE({1;2;3;4;5;6},BQ315,BR315,L315,AE315,BO315,BP315)),4))/2</f>
        <v>89.1</v>
      </c>
      <c r="BK315">
        <v>7.4988986630430396</v>
      </c>
      <c r="BL315" t="s">
        <v>6117</v>
      </c>
      <c r="BM315" s="1">
        <f>BK315*3*D315</f>
        <v>80.988105560864824</v>
      </c>
      <c r="BN315" s="1">
        <f>BM315-C315</f>
        <v>-1.1894439135176071E-2</v>
      </c>
      <c r="BO315" s="1">
        <f>GK315*3*D315</f>
        <v>83.160000000000011</v>
      </c>
      <c r="BP315" s="1">
        <f>DO315*3*D315</f>
        <v>97.2</v>
      </c>
      <c r="BQ315" s="1">
        <f>FJ315*3*D315</f>
        <v>86.4</v>
      </c>
      <c r="BR315" s="1">
        <f>GL315*3*D315</f>
        <v>91.8</v>
      </c>
      <c r="BT315">
        <v>82.66</v>
      </c>
      <c r="BU315">
        <v>8.1</v>
      </c>
      <c r="BV315" t="s">
        <v>5028</v>
      </c>
      <c r="BW315" t="s">
        <v>5004</v>
      </c>
      <c r="BX315" t="s">
        <v>5953</v>
      </c>
      <c r="BY315" t="s">
        <v>5954</v>
      </c>
      <c r="BZ315" t="s">
        <v>5955</v>
      </c>
      <c r="CA315" t="s">
        <v>2506</v>
      </c>
      <c r="CC315" t="s">
        <v>2758</v>
      </c>
      <c r="CD315" t="s">
        <v>2508</v>
      </c>
      <c r="CE315" t="s">
        <v>2440</v>
      </c>
      <c r="CG315" t="s">
        <v>2761</v>
      </c>
      <c r="CH315" t="s">
        <v>2510</v>
      </c>
      <c r="CI315" t="s">
        <v>2443</v>
      </c>
      <c r="CK315" t="s">
        <v>2795</v>
      </c>
      <c r="CL315" t="s">
        <v>2512</v>
      </c>
      <c r="CM315" t="s">
        <v>2658</v>
      </c>
      <c r="CO315" t="s">
        <v>3083</v>
      </c>
      <c r="CP315" t="s">
        <v>2514</v>
      </c>
      <c r="CQ315" t="s">
        <v>2449</v>
      </c>
      <c r="CS315" t="s">
        <v>2679</v>
      </c>
      <c r="CT315" t="s">
        <v>2524</v>
      </c>
      <c r="CV315">
        <v>9</v>
      </c>
      <c r="CW315">
        <v>9</v>
      </c>
      <c r="CX315">
        <v>9</v>
      </c>
      <c r="CY315">
        <v>9</v>
      </c>
      <c r="CZ315">
        <v>9</v>
      </c>
      <c r="DA315">
        <v>0.1</v>
      </c>
      <c r="DB315">
        <v>0.1</v>
      </c>
      <c r="DC315">
        <v>0.2</v>
      </c>
      <c r="DD315">
        <v>0.3</v>
      </c>
      <c r="DE315">
        <v>0.3</v>
      </c>
      <c r="DF315">
        <v>0.9</v>
      </c>
      <c r="DG315">
        <v>0.9</v>
      </c>
      <c r="DH315">
        <v>1.8</v>
      </c>
      <c r="DI315">
        <v>2.7</v>
      </c>
      <c r="DJ315">
        <v>2.7</v>
      </c>
      <c r="DK315">
        <v>8.1</v>
      </c>
      <c r="DL315">
        <v>0</v>
      </c>
      <c r="DM315">
        <v>8.1</v>
      </c>
      <c r="DN315">
        <v>8.6999999999999993</v>
      </c>
      <c r="DO315">
        <f>AVERAGE(CV315:CZ315)</f>
        <v>9</v>
      </c>
      <c r="DQ315">
        <v>8</v>
      </c>
      <c r="DR315" t="s">
        <v>33</v>
      </c>
      <c r="DS315" t="s">
        <v>223</v>
      </c>
      <c r="DT315" t="s">
        <v>35</v>
      </c>
      <c r="DU315" t="s">
        <v>371</v>
      </c>
      <c r="DV315" t="s">
        <v>200</v>
      </c>
      <c r="DW315" t="s">
        <v>3788</v>
      </c>
      <c r="DX315" t="s">
        <v>3789</v>
      </c>
      <c r="DY315" t="s">
        <v>3790</v>
      </c>
      <c r="DZ315" t="s">
        <v>3791</v>
      </c>
      <c r="EA315" t="s">
        <v>3792</v>
      </c>
      <c r="EB315" t="s">
        <v>3793</v>
      </c>
      <c r="EC315" t="s">
        <v>4261</v>
      </c>
      <c r="ED315" t="s">
        <v>3795</v>
      </c>
      <c r="EE315" t="s">
        <v>3796</v>
      </c>
      <c r="EF315" t="s">
        <v>3797</v>
      </c>
      <c r="EG315" t="s">
        <v>3798</v>
      </c>
      <c r="EH315" t="s">
        <v>3798</v>
      </c>
      <c r="EI315" t="s">
        <v>4194</v>
      </c>
      <c r="EJ315" t="s">
        <v>3800</v>
      </c>
      <c r="EK315" t="s">
        <v>4573</v>
      </c>
      <c r="EL315" t="s">
        <v>4573</v>
      </c>
      <c r="EM315" t="s">
        <v>4227</v>
      </c>
      <c r="EN315" t="s">
        <v>3803</v>
      </c>
      <c r="EO315" t="s">
        <v>4228</v>
      </c>
      <c r="EP315" t="s">
        <v>4262</v>
      </c>
      <c r="EQ315">
        <v>8</v>
      </c>
      <c r="ER315">
        <v>8</v>
      </c>
      <c r="ES315">
        <v>8</v>
      </c>
      <c r="ET315">
        <v>8</v>
      </c>
      <c r="EU315">
        <v>8</v>
      </c>
      <c r="EV315">
        <v>0.1</v>
      </c>
      <c r="EW315">
        <v>0.1</v>
      </c>
      <c r="EX315">
        <v>0.2</v>
      </c>
      <c r="EY315">
        <v>0.3</v>
      </c>
      <c r="EZ315">
        <v>0.3</v>
      </c>
      <c r="FA315">
        <f>EV315*EQ315</f>
        <v>0.8</v>
      </c>
      <c r="FB315">
        <f>EW315*ER315</f>
        <v>0.8</v>
      </c>
      <c r="FC315">
        <f>EX315*ES315</f>
        <v>1.6</v>
      </c>
      <c r="FD315">
        <f>EY315*ET315</f>
        <v>2.4</v>
      </c>
      <c r="FE315">
        <f>EZ315*EU315</f>
        <v>2.4</v>
      </c>
      <c r="FF315">
        <v>17</v>
      </c>
      <c r="FG315">
        <v>0</v>
      </c>
      <c r="FH315">
        <v>8</v>
      </c>
      <c r="FI315">
        <f>FA315+FB315+FC315+FD315+FE315</f>
        <v>8</v>
      </c>
      <c r="FJ315">
        <f>MEDIAN(EQ315:EU315)</f>
        <v>8</v>
      </c>
      <c r="FL315">
        <v>76.77</v>
      </c>
      <c r="FM315">
        <v>6.4</v>
      </c>
      <c r="FN315" t="s">
        <v>2091</v>
      </c>
      <c r="FO315" t="s">
        <v>2092</v>
      </c>
      <c r="FP315" t="s">
        <v>2093</v>
      </c>
      <c r="FQ315" t="s">
        <v>2094</v>
      </c>
      <c r="FR315" t="s">
        <v>2095</v>
      </c>
      <c r="FS315">
        <v>10</v>
      </c>
      <c r="FT315">
        <v>8.5</v>
      </c>
      <c r="FU315">
        <v>9</v>
      </c>
      <c r="FV315">
        <v>7.5</v>
      </c>
      <c r="FW315">
        <v>6</v>
      </c>
      <c r="FX315">
        <v>0.1</v>
      </c>
      <c r="FY315">
        <v>0.1</v>
      </c>
      <c r="FZ315">
        <v>0.2</v>
      </c>
      <c r="GA315">
        <v>0.3</v>
      </c>
      <c r="GB315">
        <v>0.3</v>
      </c>
      <c r="GC315">
        <f>FS315*FX315</f>
        <v>1</v>
      </c>
      <c r="GD315">
        <f>FT315*FY315</f>
        <v>0.85000000000000009</v>
      </c>
      <c r="GE315">
        <f>FU315*FZ315</f>
        <v>1.8</v>
      </c>
      <c r="GF315">
        <f>FV315*GA315</f>
        <v>2.25</v>
      </c>
      <c r="GG315">
        <f>FW315*GB315</f>
        <v>1.7999999999999998</v>
      </c>
      <c r="GH315">
        <v>6.4</v>
      </c>
      <c r="GI315">
        <v>0</v>
      </c>
      <c r="GJ315">
        <v>6.4</v>
      </c>
      <c r="GK315">
        <f>GC315+GD315+GE315+GF315+GG315</f>
        <v>7.7</v>
      </c>
      <c r="GL315">
        <f>MEDIAN(FS315:FW315)</f>
        <v>8.5</v>
      </c>
    </row>
    <row r="316" spans="1:194" hidden="1" x14ac:dyDescent="0.25">
      <c r="A316">
        <v>315</v>
      </c>
      <c r="B316" t="s">
        <v>2</v>
      </c>
      <c r="C316" s="4">
        <v>85.8</v>
      </c>
      <c r="D316">
        <v>3.3</v>
      </c>
      <c r="E316" s="1">
        <f>C316/3/D316</f>
        <v>8.6666666666666661</v>
      </c>
      <c r="G316">
        <v>36.659999999999997</v>
      </c>
      <c r="H316">
        <v>8.1999999999999993</v>
      </c>
      <c r="I316">
        <f>H316*D316*3</f>
        <v>81.179999999999978</v>
      </c>
      <c r="J316">
        <v>16.670000000000002</v>
      </c>
      <c r="K316">
        <v>9</v>
      </c>
      <c r="L316" s="3">
        <f>K316*3*D316</f>
        <v>89.1</v>
      </c>
      <c r="M316">
        <v>5.09</v>
      </c>
      <c r="N316">
        <v>5</v>
      </c>
      <c r="O316">
        <f>N316*D316*3</f>
        <v>49.5</v>
      </c>
      <c r="P316" s="5">
        <v>8.6</v>
      </c>
      <c r="Q316" s="5">
        <f>P316*D316*3</f>
        <v>85.14</v>
      </c>
      <c r="S316" t="s">
        <v>6348</v>
      </c>
      <c r="T316">
        <v>7</v>
      </c>
      <c r="U316" s="8">
        <f>T316*D316*3</f>
        <v>69.3</v>
      </c>
      <c r="V316">
        <v>52.17</v>
      </c>
      <c r="W316">
        <v>8</v>
      </c>
      <c r="X316" s="5">
        <f>W316*D316*3</f>
        <v>79.199999999999989</v>
      </c>
      <c r="Y316">
        <v>11.14</v>
      </c>
      <c r="Z316">
        <v>7.8</v>
      </c>
      <c r="AA316">
        <f>Z316*D316*3</f>
        <v>77.22</v>
      </c>
      <c r="AC316">
        <v>131.31</v>
      </c>
      <c r="AD316">
        <v>7.3000000000000007</v>
      </c>
      <c r="AE316" s="1">
        <f>AD316*3*D316</f>
        <v>72.27000000000001</v>
      </c>
      <c r="AF316">
        <v>12</v>
      </c>
      <c r="AG316" s="5">
        <v>7</v>
      </c>
      <c r="AH316" s="5">
        <f>AG316*D316*3</f>
        <v>69.3</v>
      </c>
      <c r="AI316" s="13"/>
      <c r="AJ316">
        <v>7.2</v>
      </c>
      <c r="AK316" s="8">
        <f>AJ316*D316*3</f>
        <v>71.28</v>
      </c>
      <c r="AL316" s="13"/>
      <c r="AM316">
        <v>29.54</v>
      </c>
      <c r="AN316">
        <v>7.5</v>
      </c>
      <c r="AO316" s="8">
        <f>AN316*D316*3</f>
        <v>74.25</v>
      </c>
      <c r="AP316">
        <v>12.78</v>
      </c>
      <c r="AQ316">
        <v>9.3000000000000007</v>
      </c>
      <c r="AR316">
        <f>AQ316*D316*3</f>
        <v>92.070000000000007</v>
      </c>
      <c r="AT316">
        <v>9</v>
      </c>
      <c r="AU316">
        <f>AT316*D316*3</f>
        <v>89.1</v>
      </c>
      <c r="AX316">
        <v>8.8000000000000007</v>
      </c>
      <c r="AY316">
        <f>AX316*D316*3</f>
        <v>87.12</v>
      </c>
      <c r="BA316">
        <v>8.4</v>
      </c>
      <c r="BB316">
        <f>BA316*D316*3</f>
        <v>83.16</v>
      </c>
      <c r="BD316">
        <v>8.1</v>
      </c>
      <c r="BE316">
        <f>BD316*D316*3</f>
        <v>80.19</v>
      </c>
      <c r="BG316" s="10"/>
      <c r="BH316" s="1">
        <f>CHOOSE(MATCH(MIN(ABS(BP316-C316),ABS(BQ316-C316),ABS(BR316-C316)),CHOOSE({1;2;3},ABS(BP316-C316),ABS(BQ316-C316),ABS(BR316-C316)),0),BP316,BQ316,BR316)</f>
        <v>89.1</v>
      </c>
      <c r="BJ316" s="1" cm="1">
        <f t="array" ref="BJ316">(INDEX(_xlfn._xlws.SORT(CHOOSE({1;2;3;4;5;6},BQ316,BR316,L316,AE316,BO316,BP316)),3) + INDEX(_xlfn._xlws.SORT(CHOOSE({1;2;3;4;5;6},BQ316,BR316,L316,AE316,BO316,BP316)),4))/2</f>
        <v>70.784999999999997</v>
      </c>
      <c r="BK316">
        <v>8.6301819754437297</v>
      </c>
      <c r="BL316" t="s">
        <v>6117</v>
      </c>
      <c r="BM316" s="1">
        <f>BK316*3*D316</f>
        <v>85.438801556892926</v>
      </c>
      <c r="BN316" s="1">
        <f>BM316-C316</f>
        <v>-0.36119844310707094</v>
      </c>
      <c r="BO316" s="1">
        <f>GK316*3*D316</f>
        <v>57.42</v>
      </c>
      <c r="BP316" s="1">
        <f>DO316*3*D316</f>
        <v>89.1</v>
      </c>
      <c r="BQ316" s="1">
        <f>FJ316*3*D316</f>
        <v>69.3</v>
      </c>
      <c r="BR316" s="1">
        <f>GL316*3*D316</f>
        <v>59.4</v>
      </c>
      <c r="BT316">
        <v>36.659999999999997</v>
      </c>
      <c r="BU316">
        <v>8.1999999999999993</v>
      </c>
      <c r="BV316" t="s">
        <v>5956</v>
      </c>
      <c r="BW316" t="s">
        <v>5957</v>
      </c>
      <c r="BX316" t="s">
        <v>5958</v>
      </c>
      <c r="BY316" t="s">
        <v>5959</v>
      </c>
      <c r="BZ316" t="s">
        <v>5960</v>
      </c>
      <c r="CA316" t="s">
        <v>2420</v>
      </c>
      <c r="CC316" t="s">
        <v>2421</v>
      </c>
      <c r="CD316" t="s">
        <v>2422</v>
      </c>
      <c r="CE316" t="s">
        <v>3240</v>
      </c>
      <c r="CG316" t="s">
        <v>3586</v>
      </c>
      <c r="CH316" t="s">
        <v>2425</v>
      </c>
      <c r="CI316" t="s">
        <v>3405</v>
      </c>
      <c r="CK316" t="s">
        <v>2556</v>
      </c>
      <c r="CL316" t="s">
        <v>3587</v>
      </c>
      <c r="CM316" t="s">
        <v>2430</v>
      </c>
      <c r="CO316" t="s">
        <v>2431</v>
      </c>
      <c r="CP316" t="s">
        <v>2432</v>
      </c>
      <c r="CQ316" t="s">
        <v>3588</v>
      </c>
      <c r="CS316" t="s">
        <v>2435</v>
      </c>
      <c r="CT316" t="s">
        <v>3123</v>
      </c>
      <c r="CV316">
        <v>9</v>
      </c>
      <c r="CW316">
        <v>9</v>
      </c>
      <c r="CX316">
        <v>9</v>
      </c>
      <c r="CY316">
        <v>9</v>
      </c>
      <c r="CZ316">
        <v>9</v>
      </c>
      <c r="DA316">
        <v>0.1</v>
      </c>
      <c r="DB316">
        <v>0.1</v>
      </c>
      <c r="DC316">
        <v>0.2</v>
      </c>
      <c r="DD316">
        <v>0.3</v>
      </c>
      <c r="DE316">
        <v>0.3</v>
      </c>
      <c r="DF316">
        <v>0.9</v>
      </c>
      <c r="DG316">
        <v>0.9</v>
      </c>
      <c r="DH316">
        <v>1.8</v>
      </c>
      <c r="DI316">
        <v>2.7</v>
      </c>
      <c r="DJ316">
        <v>2.7</v>
      </c>
      <c r="DK316">
        <v>8.1999999999999993</v>
      </c>
      <c r="DL316">
        <v>0</v>
      </c>
      <c r="DM316">
        <v>8.1999999999999993</v>
      </c>
      <c r="DN316">
        <v>9</v>
      </c>
      <c r="DO316">
        <f>AVERAGE(CV316:CZ316)</f>
        <v>9</v>
      </c>
      <c r="DQ316">
        <v>13.8</v>
      </c>
      <c r="DR316" t="s">
        <v>28</v>
      </c>
      <c r="DS316" t="s">
        <v>108</v>
      </c>
      <c r="DT316" t="s">
        <v>109</v>
      </c>
      <c r="DU316" t="s">
        <v>110</v>
      </c>
      <c r="DV316" t="s">
        <v>290</v>
      </c>
      <c r="DW316" t="s">
        <v>3769</v>
      </c>
      <c r="DX316" t="s">
        <v>3770</v>
      </c>
      <c r="DY316" t="s">
        <v>3771</v>
      </c>
      <c r="DZ316" t="s">
        <v>3772</v>
      </c>
      <c r="EA316" t="s">
        <v>3773</v>
      </c>
      <c r="EB316" t="s">
        <v>3774</v>
      </c>
      <c r="EC316" t="s">
        <v>3775</v>
      </c>
      <c r="ED316" t="s">
        <v>3776</v>
      </c>
      <c r="EE316" t="s">
        <v>3777</v>
      </c>
      <c r="EF316" t="s">
        <v>3778</v>
      </c>
      <c r="EG316" t="s">
        <v>3779</v>
      </c>
      <c r="EH316" t="s">
        <v>3780</v>
      </c>
      <c r="EI316" t="s">
        <v>3781</v>
      </c>
      <c r="EJ316" t="s">
        <v>3782</v>
      </c>
      <c r="EK316" t="s">
        <v>4017</v>
      </c>
      <c r="EL316" t="s">
        <v>3815</v>
      </c>
      <c r="EM316" t="s">
        <v>3930</v>
      </c>
      <c r="EN316" t="s">
        <v>3931</v>
      </c>
      <c r="EO316" t="s">
        <v>4106</v>
      </c>
      <c r="EP316" t="s">
        <v>4107</v>
      </c>
      <c r="EQ316">
        <v>7</v>
      </c>
      <c r="ER316">
        <v>8</v>
      </c>
      <c r="ES316">
        <v>8</v>
      </c>
      <c r="ET316">
        <v>7</v>
      </c>
      <c r="EU316">
        <v>7</v>
      </c>
      <c r="EV316">
        <v>0.1</v>
      </c>
      <c r="EW316">
        <v>0.1</v>
      </c>
      <c r="EX316">
        <v>0.2</v>
      </c>
      <c r="EY316">
        <v>0.3</v>
      </c>
      <c r="EZ316">
        <v>0.3</v>
      </c>
      <c r="FA316">
        <f>EV316*EQ316</f>
        <v>0.70000000000000007</v>
      </c>
      <c r="FB316">
        <f>EW316*ER316</f>
        <v>0.8</v>
      </c>
      <c r="FC316">
        <f>EX316*ES316</f>
        <v>1.6</v>
      </c>
      <c r="FD316">
        <f>EY316*ET316</f>
        <v>2.1</v>
      </c>
      <c r="FE316">
        <f>EZ316*EU316</f>
        <v>2.1</v>
      </c>
      <c r="FF316">
        <v>13.8</v>
      </c>
      <c r="FG316">
        <v>0</v>
      </c>
      <c r="FH316">
        <v>13.8</v>
      </c>
      <c r="FI316">
        <f>FA316+FB316+FC316+FD316+FE316</f>
        <v>7.3000000000000007</v>
      </c>
      <c r="FJ316">
        <f>MEDIAN(EQ316:EU316)</f>
        <v>7</v>
      </c>
      <c r="FL316">
        <v>41.24</v>
      </c>
      <c r="FM316">
        <v>9.1999999999999993</v>
      </c>
      <c r="FN316" t="s">
        <v>2096</v>
      </c>
      <c r="FO316" t="s">
        <v>2097</v>
      </c>
      <c r="FP316" t="s">
        <v>2098</v>
      </c>
      <c r="FQ316" t="s">
        <v>2099</v>
      </c>
      <c r="FR316" t="s">
        <v>2100</v>
      </c>
      <c r="FS316">
        <v>5</v>
      </c>
      <c r="FT316">
        <v>6</v>
      </c>
      <c r="FU316">
        <v>4</v>
      </c>
      <c r="FV316">
        <v>6</v>
      </c>
      <c r="FW316">
        <v>7</v>
      </c>
      <c r="FX316">
        <v>0.1</v>
      </c>
      <c r="FY316">
        <v>0.1</v>
      </c>
      <c r="FZ316">
        <v>0.2</v>
      </c>
      <c r="GA316">
        <v>0.3</v>
      </c>
      <c r="GB316">
        <v>0.3</v>
      </c>
      <c r="GC316">
        <f>FS316*FX316</f>
        <v>0.5</v>
      </c>
      <c r="GD316">
        <f>FT316*FY316</f>
        <v>0.60000000000000009</v>
      </c>
      <c r="GE316">
        <f>FU316*FZ316</f>
        <v>0.8</v>
      </c>
      <c r="GF316">
        <f>FV316*GA316</f>
        <v>1.7999999999999998</v>
      </c>
      <c r="GG316">
        <f>FW316*GB316</f>
        <v>2.1</v>
      </c>
      <c r="GH316">
        <v>9.1999999999999993</v>
      </c>
      <c r="GJ316">
        <v>9.1999999999999993</v>
      </c>
      <c r="GK316">
        <f>GC316+GD316+GE316+GF316+GG316</f>
        <v>5.8000000000000007</v>
      </c>
      <c r="GL316">
        <f>MEDIAN(FS316:FW316)</f>
        <v>6</v>
      </c>
    </row>
    <row r="317" spans="1:194" hidden="1" x14ac:dyDescent="0.25">
      <c r="A317">
        <v>316</v>
      </c>
      <c r="B317" t="s">
        <v>2</v>
      </c>
      <c r="C317" s="4">
        <v>89.1</v>
      </c>
      <c r="D317">
        <v>3.3</v>
      </c>
      <c r="E317" s="1">
        <f>C317/3/D317</f>
        <v>9</v>
      </c>
      <c r="G317">
        <v>35.94</v>
      </c>
      <c r="H317">
        <v>8</v>
      </c>
      <c r="I317">
        <f>H317*D317*3</f>
        <v>79.199999999999989</v>
      </c>
      <c r="J317">
        <v>18.010000000000002</v>
      </c>
      <c r="K317">
        <v>8.4</v>
      </c>
      <c r="L317" s="3">
        <f>K317*3*D317</f>
        <v>83.160000000000011</v>
      </c>
      <c r="M317">
        <v>5.05</v>
      </c>
      <c r="N317">
        <v>3</v>
      </c>
      <c r="O317">
        <f>N317*D317*3</f>
        <v>29.699999999999996</v>
      </c>
      <c r="P317" s="5">
        <v>8.9</v>
      </c>
      <c r="Q317" s="5">
        <f>P317*D317*3</f>
        <v>88.11</v>
      </c>
      <c r="S317" t="s">
        <v>6441</v>
      </c>
      <c r="T317">
        <v>8.1999999999999993</v>
      </c>
      <c r="U317" s="8">
        <f>T317*D317*3</f>
        <v>81.179999999999978</v>
      </c>
      <c r="V317">
        <v>69.48</v>
      </c>
      <c r="W317">
        <v>8.5</v>
      </c>
      <c r="X317" s="5">
        <f>W317*D317*3</f>
        <v>84.149999999999991</v>
      </c>
      <c r="Y317">
        <v>9.6300000000000008</v>
      </c>
      <c r="Z317">
        <v>6</v>
      </c>
      <c r="AA317">
        <f>Z317*D317*3</f>
        <v>59.399999999999991</v>
      </c>
      <c r="AC317">
        <v>136.69999999999999</v>
      </c>
      <c r="AD317">
        <v>7.9</v>
      </c>
      <c r="AE317" s="1">
        <f>AD317*3*D317</f>
        <v>78.210000000000008</v>
      </c>
      <c r="AF317">
        <v>11.9</v>
      </c>
      <c r="AG317" s="5">
        <v>7</v>
      </c>
      <c r="AH317" s="5">
        <f>AG317*D317*3</f>
        <v>69.3</v>
      </c>
      <c r="AI317" s="13"/>
      <c r="AJ317">
        <v>21.5</v>
      </c>
      <c r="AK317" s="8">
        <f>AJ317*D317*3</f>
        <v>212.85000000000002</v>
      </c>
      <c r="AL317" s="13"/>
      <c r="AM317">
        <v>30.76</v>
      </c>
      <c r="AN317">
        <v>7.2</v>
      </c>
      <c r="AO317" s="8">
        <f>AN317*D317*3</f>
        <v>71.28</v>
      </c>
      <c r="AP317">
        <v>13.06</v>
      </c>
      <c r="AQ317">
        <v>10</v>
      </c>
      <c r="AR317">
        <f>AQ317*D317*3</f>
        <v>99</v>
      </c>
      <c r="AT317">
        <v>8.6999999999999993</v>
      </c>
      <c r="AU317">
        <f>AT317*D317*3</f>
        <v>86.13</v>
      </c>
      <c r="AX317">
        <v>8.3000000000000007</v>
      </c>
      <c r="AY317">
        <f>AX317*D317*3</f>
        <v>82.17</v>
      </c>
      <c r="BA317">
        <v>9</v>
      </c>
      <c r="BB317">
        <f>BA317*D317*3</f>
        <v>89.1</v>
      </c>
      <c r="BD317">
        <v>8.9</v>
      </c>
      <c r="BE317">
        <f>BD317*D317*3</f>
        <v>88.11</v>
      </c>
      <c r="BG317" s="10"/>
      <c r="BH317" s="1">
        <f>CHOOSE(MATCH(MIN(ABS(BP317-C317),ABS(BQ317-C317),ABS(BR317-C317)),CHOOSE({1;2;3},ABS(BP317-C317),ABS(BQ317-C317),ABS(BR317-C317)),0),BP317,BQ317,BR317)</f>
        <v>89.1</v>
      </c>
      <c r="BJ317" s="1" cm="1">
        <f t="array" ref="BJ317">(INDEX(_xlfn._xlws.SORT(CHOOSE({1;2;3;4;5;6},BQ317,BR317,L317,AE317,BO317,BP317)),3) + INDEX(_xlfn._xlws.SORT(CHOOSE({1;2;3;4;5;6},BQ317,BR317,L317,AE317,BO317,BP317)),4))/2</f>
        <v>82.665000000000006</v>
      </c>
      <c r="BK317">
        <v>8.9966525553709698</v>
      </c>
      <c r="BL317" t="s">
        <v>6117</v>
      </c>
      <c r="BM317" s="1">
        <f>BK317*3*D317</f>
        <v>89.066860298172585</v>
      </c>
      <c r="BN317" s="1">
        <f>BM317-C317</f>
        <v>-3.3139701827408885E-2</v>
      </c>
      <c r="BO317" s="1">
        <f>GK317*3*D317</f>
        <v>82.17</v>
      </c>
      <c r="BP317" s="1">
        <f>DO317*3*D317</f>
        <v>89.1</v>
      </c>
      <c r="BQ317" s="1">
        <f>FJ317*3*D317</f>
        <v>79.199999999999989</v>
      </c>
      <c r="BR317" s="1">
        <f>GL317*3*D317</f>
        <v>84.149999999999991</v>
      </c>
      <c r="BT317">
        <v>35.94</v>
      </c>
      <c r="BU317">
        <v>8</v>
      </c>
      <c r="BV317" t="s">
        <v>5961</v>
      </c>
      <c r="BW317" t="s">
        <v>5962</v>
      </c>
      <c r="BX317" t="s">
        <v>5963</v>
      </c>
      <c r="BY317" t="s">
        <v>5053</v>
      </c>
      <c r="BZ317" t="s">
        <v>5964</v>
      </c>
      <c r="CA317" t="s">
        <v>3589</v>
      </c>
      <c r="CC317" t="s">
        <v>3590</v>
      </c>
      <c r="CD317" t="s">
        <v>3102</v>
      </c>
      <c r="CE317" t="s">
        <v>3591</v>
      </c>
      <c r="CG317" t="s">
        <v>3592</v>
      </c>
      <c r="CH317" t="s">
        <v>3104</v>
      </c>
      <c r="CI317" t="s">
        <v>3593</v>
      </c>
      <c r="CK317" t="s">
        <v>3594</v>
      </c>
      <c r="CL317" t="s">
        <v>3106</v>
      </c>
      <c r="CM317" t="s">
        <v>3595</v>
      </c>
      <c r="CO317" t="s">
        <v>3596</v>
      </c>
      <c r="CP317" t="s">
        <v>3108</v>
      </c>
      <c r="CQ317" t="s">
        <v>2985</v>
      </c>
      <c r="CS317" t="s">
        <v>3597</v>
      </c>
      <c r="CT317" t="s">
        <v>3111</v>
      </c>
      <c r="CV317">
        <v>9</v>
      </c>
      <c r="CW317">
        <v>9</v>
      </c>
      <c r="CX317">
        <v>9</v>
      </c>
      <c r="CY317">
        <v>9</v>
      </c>
      <c r="CZ317">
        <v>9</v>
      </c>
      <c r="DA317">
        <v>0.1</v>
      </c>
      <c r="DB317">
        <v>0.1</v>
      </c>
      <c r="DC317">
        <v>0.2</v>
      </c>
      <c r="DD317">
        <v>0.3</v>
      </c>
      <c r="DE317">
        <v>0.3</v>
      </c>
      <c r="DF317">
        <v>0.9</v>
      </c>
      <c r="DG317">
        <v>0.9</v>
      </c>
      <c r="DH317">
        <v>1.8</v>
      </c>
      <c r="DI317">
        <v>2.7</v>
      </c>
      <c r="DJ317">
        <v>2.7</v>
      </c>
      <c r="DK317">
        <v>8</v>
      </c>
      <c r="DL317">
        <v>0</v>
      </c>
      <c r="DM317">
        <v>8</v>
      </c>
      <c r="DN317">
        <v>8.4</v>
      </c>
      <c r="DO317">
        <f>AVERAGE(CV317:CZ317)</f>
        <v>9</v>
      </c>
      <c r="DQ317">
        <v>15</v>
      </c>
      <c r="DR317" t="s">
        <v>194</v>
      </c>
      <c r="DS317" t="s">
        <v>29</v>
      </c>
      <c r="DT317" t="s">
        <v>180</v>
      </c>
      <c r="DU317" t="s">
        <v>58</v>
      </c>
      <c r="DV317" t="s">
        <v>193</v>
      </c>
      <c r="DW317" t="s">
        <v>3769</v>
      </c>
      <c r="DX317" t="s">
        <v>3770</v>
      </c>
      <c r="DY317" t="s">
        <v>3771</v>
      </c>
      <c r="DZ317" t="s">
        <v>3772</v>
      </c>
      <c r="EA317" t="s">
        <v>3806</v>
      </c>
      <c r="EB317" t="s">
        <v>3807</v>
      </c>
      <c r="EC317" t="s">
        <v>3775</v>
      </c>
      <c r="ED317" t="s">
        <v>3776</v>
      </c>
      <c r="EE317" t="s">
        <v>3819</v>
      </c>
      <c r="EF317" t="s">
        <v>4104</v>
      </c>
      <c r="EG317" t="s">
        <v>3810</v>
      </c>
      <c r="EH317" t="s">
        <v>3811</v>
      </c>
      <c r="EI317" t="s">
        <v>3820</v>
      </c>
      <c r="EJ317" t="s">
        <v>4174</v>
      </c>
      <c r="EK317" t="s">
        <v>4175</v>
      </c>
      <c r="EL317" t="s">
        <v>3856</v>
      </c>
      <c r="EM317" t="s">
        <v>3816</v>
      </c>
      <c r="EN317" t="s">
        <v>4050</v>
      </c>
      <c r="EO317" t="s">
        <v>4176</v>
      </c>
      <c r="EP317" t="s">
        <v>4177</v>
      </c>
      <c r="EQ317">
        <v>7</v>
      </c>
      <c r="ER317">
        <v>8</v>
      </c>
      <c r="ES317">
        <v>8</v>
      </c>
      <c r="ET317">
        <v>8</v>
      </c>
      <c r="EU317">
        <v>8</v>
      </c>
      <c r="EV317">
        <v>0.1</v>
      </c>
      <c r="EW317">
        <v>0.1</v>
      </c>
      <c r="EX317">
        <v>0.2</v>
      </c>
      <c r="EY317">
        <v>0.3</v>
      </c>
      <c r="EZ317">
        <v>0.3</v>
      </c>
      <c r="FA317">
        <f>EV317*EQ317</f>
        <v>0.70000000000000007</v>
      </c>
      <c r="FB317">
        <f>EW317*ER317</f>
        <v>0.8</v>
      </c>
      <c r="FC317">
        <f>EX317*ES317</f>
        <v>1.6</v>
      </c>
      <c r="FD317">
        <f>EY317*ET317</f>
        <v>2.4</v>
      </c>
      <c r="FE317">
        <f>EZ317*EU317</f>
        <v>2.4</v>
      </c>
      <c r="FF317">
        <v>15</v>
      </c>
      <c r="FG317">
        <v>0</v>
      </c>
      <c r="FH317">
        <v>15</v>
      </c>
      <c r="FI317">
        <f>FA317+FB317+FC317+FD317+FE317</f>
        <v>7.9</v>
      </c>
      <c r="FJ317">
        <f>MEDIAN(EQ317:EU317)</f>
        <v>8</v>
      </c>
      <c r="FL317">
        <v>36.11</v>
      </c>
      <c r="FM317">
        <v>6.7</v>
      </c>
      <c r="FN317" t="s">
        <v>2101</v>
      </c>
      <c r="FO317" t="s">
        <v>2102</v>
      </c>
      <c r="FP317" t="s">
        <v>2103</v>
      </c>
      <c r="FQ317" t="s">
        <v>2104</v>
      </c>
      <c r="FR317" t="s">
        <v>2105</v>
      </c>
      <c r="FS317">
        <v>10</v>
      </c>
      <c r="FT317">
        <v>9.5</v>
      </c>
      <c r="FU317">
        <v>8.5</v>
      </c>
      <c r="FV317">
        <v>7.5</v>
      </c>
      <c r="FW317">
        <v>8</v>
      </c>
      <c r="FX317">
        <v>0.1</v>
      </c>
      <c r="FY317">
        <v>0.1</v>
      </c>
      <c r="FZ317">
        <v>0.2</v>
      </c>
      <c r="GA317">
        <v>0.3</v>
      </c>
      <c r="GB317">
        <v>0.3</v>
      </c>
      <c r="GC317">
        <f>FS317*FX317</f>
        <v>1</v>
      </c>
      <c r="GD317">
        <f>FT317*FY317</f>
        <v>0.95000000000000007</v>
      </c>
      <c r="GE317">
        <f>FU317*FZ317</f>
        <v>1.7000000000000002</v>
      </c>
      <c r="GF317">
        <f>FV317*GA317</f>
        <v>2.25</v>
      </c>
      <c r="GG317">
        <f>FW317*GB317</f>
        <v>2.4</v>
      </c>
      <c r="GH317">
        <v>6.7</v>
      </c>
      <c r="GJ317">
        <v>6.7</v>
      </c>
      <c r="GK317">
        <f>GC317+GD317+GE317+GF317+GG317</f>
        <v>8.3000000000000007</v>
      </c>
      <c r="GL317">
        <f>MEDIAN(FS317:FW317)</f>
        <v>8.5</v>
      </c>
    </row>
    <row r="318" spans="1:194" hidden="1" x14ac:dyDescent="0.25">
      <c r="A318">
        <v>317</v>
      </c>
      <c r="B318" t="s">
        <v>2</v>
      </c>
      <c r="C318" s="4">
        <v>72</v>
      </c>
      <c r="D318">
        <v>3.2</v>
      </c>
      <c r="E318" s="1">
        <f>C318/3/D318</f>
        <v>7.5</v>
      </c>
      <c r="G318">
        <v>85.85</v>
      </c>
      <c r="H318">
        <v>8.1999999999999993</v>
      </c>
      <c r="I318">
        <f>H318*D318*3</f>
        <v>78.72</v>
      </c>
      <c r="J318">
        <v>16.79</v>
      </c>
      <c r="K318">
        <v>9</v>
      </c>
      <c r="L318" s="3">
        <f>K318*3*D318</f>
        <v>86.4</v>
      </c>
      <c r="M318">
        <v>4.9800000000000004</v>
      </c>
      <c r="N318">
        <v>5</v>
      </c>
      <c r="O318">
        <f>N318*D318*3</f>
        <v>48</v>
      </c>
      <c r="P318" s="5">
        <v>7</v>
      </c>
      <c r="Q318" s="5">
        <f>P318*D318*3</f>
        <v>67.2</v>
      </c>
      <c r="S318" t="s">
        <v>6442</v>
      </c>
      <c r="T318">
        <v>7.4</v>
      </c>
      <c r="U318" s="8">
        <f>T318*D318*3</f>
        <v>71.040000000000006</v>
      </c>
      <c r="V318">
        <v>56.68</v>
      </c>
      <c r="W318">
        <v>8.4</v>
      </c>
      <c r="X318" s="5">
        <f>W318*D318*3</f>
        <v>80.640000000000015</v>
      </c>
      <c r="Y318">
        <v>9.26</v>
      </c>
      <c r="Z318">
        <v>6</v>
      </c>
      <c r="AA318">
        <f>Z318*D318*3</f>
        <v>57.600000000000009</v>
      </c>
      <c r="AC318">
        <v>130.16</v>
      </c>
      <c r="AD318">
        <v>6.2</v>
      </c>
      <c r="AE318" s="1">
        <f>AD318*3*D318</f>
        <v>59.52000000000001</v>
      </c>
      <c r="AF318">
        <v>11.92</v>
      </c>
      <c r="AG318" s="5">
        <v>7</v>
      </c>
      <c r="AH318" s="5">
        <f>AG318*D318*3</f>
        <v>67.2</v>
      </c>
      <c r="AI318" s="13"/>
      <c r="AK318" s="8">
        <f>AJ318*D318*3</f>
        <v>0</v>
      </c>
      <c r="AL318" s="13"/>
      <c r="AM318">
        <v>30.21</v>
      </c>
      <c r="AN318">
        <v>7.3</v>
      </c>
      <c r="AO318" s="8">
        <f>AN318*D318*3</f>
        <v>70.08</v>
      </c>
      <c r="AP318">
        <v>10.54</v>
      </c>
      <c r="AQ318">
        <v>10</v>
      </c>
      <c r="AR318">
        <f>AQ318*D318*3</f>
        <v>96</v>
      </c>
      <c r="AT318">
        <v>9</v>
      </c>
      <c r="AU318">
        <f>AT318*D318*3</f>
        <v>86.4</v>
      </c>
      <c r="AX318">
        <v>9.1</v>
      </c>
      <c r="AY318">
        <f>AX318*D318*3</f>
        <v>87.36</v>
      </c>
      <c r="BA318">
        <v>9.1999999999999993</v>
      </c>
      <c r="BB318">
        <f>BA318*D318*3</f>
        <v>88.32</v>
      </c>
      <c r="BD318">
        <v>8.3000000000000007</v>
      </c>
      <c r="BE318">
        <f>BD318*D318*3</f>
        <v>79.680000000000007</v>
      </c>
      <c r="BG318" s="10"/>
      <c r="BH318" s="1">
        <f>CHOOSE(MATCH(MIN(ABS(BP318-C318),ABS(BQ318-C318),ABS(BR318-C318)),CHOOSE({1;2;3},ABS(BP318-C318),ABS(BQ318-C318),ABS(BR318-C318)),0),BP318,BQ318,BR318)</f>
        <v>57.6</v>
      </c>
      <c r="BJ318" s="1" cm="1">
        <f t="array" ref="BJ318">(INDEX(_xlfn._xlws.SORT(CHOOSE({1;2;3;4;5;6},BQ318,BR318,L318,AE318,BO318,BP318)),3) + INDEX(_xlfn._xlws.SORT(CHOOSE({1;2;3;4;5;6},BQ318,BR318,L318,AE318,BO318,BP318)),4))/2</f>
        <v>58.56</v>
      </c>
      <c r="BK318">
        <v>7.5045068330295299</v>
      </c>
      <c r="BL318" t="s">
        <v>6117</v>
      </c>
      <c r="BM318" s="1">
        <f>BK318*3*D318</f>
        <v>72.04326559708349</v>
      </c>
      <c r="BN318" s="1">
        <f>BM318-C318</f>
        <v>4.3265597083490093E-2</v>
      </c>
      <c r="BO318" s="1">
        <f>GK318*3*D318</f>
        <v>45.12</v>
      </c>
      <c r="BP318" s="1">
        <f>DO318*3*D318</f>
        <v>86.4</v>
      </c>
      <c r="BQ318" s="1">
        <f>FJ318*3*D318</f>
        <v>57.6</v>
      </c>
      <c r="BR318" s="1">
        <f>GL318*3*D318</f>
        <v>48</v>
      </c>
      <c r="BT318">
        <v>85.85</v>
      </c>
      <c r="BU318">
        <v>8.1999999999999993</v>
      </c>
      <c r="BV318" t="s">
        <v>5965</v>
      </c>
      <c r="BW318" t="s">
        <v>5966</v>
      </c>
      <c r="BX318" t="s">
        <v>5967</v>
      </c>
      <c r="BY318" t="s">
        <v>5968</v>
      </c>
      <c r="CA318" t="s">
        <v>2550</v>
      </c>
      <c r="CC318" t="s">
        <v>2525</v>
      </c>
      <c r="CD318" t="s">
        <v>2422</v>
      </c>
      <c r="CE318" t="s">
        <v>3034</v>
      </c>
      <c r="CG318" t="s">
        <v>2527</v>
      </c>
      <c r="CH318" t="s">
        <v>3598</v>
      </c>
      <c r="CI318" t="s">
        <v>3454</v>
      </c>
      <c r="CK318" t="s">
        <v>3599</v>
      </c>
      <c r="CL318" t="s">
        <v>3600</v>
      </c>
      <c r="CM318" t="s">
        <v>2670</v>
      </c>
      <c r="CO318" t="s">
        <v>2531</v>
      </c>
      <c r="CP318" t="s">
        <v>3601</v>
      </c>
      <c r="CQ318" t="s">
        <v>2570</v>
      </c>
      <c r="CS318" t="s">
        <v>3386</v>
      </c>
      <c r="CT318" t="s">
        <v>3602</v>
      </c>
      <c r="CV318">
        <v>9</v>
      </c>
      <c r="CW318">
        <v>9</v>
      </c>
      <c r="CX318">
        <v>9</v>
      </c>
      <c r="CY318">
        <v>9</v>
      </c>
      <c r="CZ318">
        <v>9</v>
      </c>
      <c r="DA318">
        <v>0.1</v>
      </c>
      <c r="DB318">
        <v>0.1</v>
      </c>
      <c r="DC318">
        <v>0.2</v>
      </c>
      <c r="DD318">
        <v>0.3</v>
      </c>
      <c r="DE318">
        <v>0.3</v>
      </c>
      <c r="DF318">
        <v>0.9</v>
      </c>
      <c r="DG318">
        <v>0.9</v>
      </c>
      <c r="DH318">
        <v>1.8</v>
      </c>
      <c r="DI318">
        <v>2.7</v>
      </c>
      <c r="DJ318">
        <v>2.7</v>
      </c>
      <c r="DK318">
        <v>8.1999999999999993</v>
      </c>
      <c r="DL318">
        <v>0</v>
      </c>
      <c r="DM318">
        <v>8.1999999999999993</v>
      </c>
      <c r="DN318">
        <v>9</v>
      </c>
      <c r="DO318">
        <f>AVERAGE(CV318:CZ318)</f>
        <v>9</v>
      </c>
      <c r="DQ318">
        <v>6</v>
      </c>
      <c r="DR318" t="s">
        <v>173</v>
      </c>
      <c r="DS318" t="s">
        <v>181</v>
      </c>
      <c r="DT318" t="s">
        <v>182</v>
      </c>
      <c r="DU318" t="s">
        <v>183</v>
      </c>
      <c r="DV318" t="s">
        <v>177</v>
      </c>
      <c r="DW318" t="s">
        <v>3911</v>
      </c>
      <c r="DX318" t="s">
        <v>4160</v>
      </c>
      <c r="DY318" t="s">
        <v>4161</v>
      </c>
      <c r="DZ318" t="s">
        <v>4419</v>
      </c>
      <c r="EA318" t="s">
        <v>4178</v>
      </c>
      <c r="EB318" t="s">
        <v>4179</v>
      </c>
      <c r="EE318" t="s">
        <v>4180</v>
      </c>
      <c r="EF318" t="s">
        <v>3813</v>
      </c>
      <c r="EH318" t="s">
        <v>4049</v>
      </c>
      <c r="EI318" t="s">
        <v>4181</v>
      </c>
      <c r="EJ318" t="s">
        <v>4182</v>
      </c>
      <c r="EL318" t="s">
        <v>4183</v>
      </c>
      <c r="EM318" t="s">
        <v>4522</v>
      </c>
      <c r="EN318" t="s">
        <v>3967</v>
      </c>
      <c r="EP318" t="s">
        <v>4048</v>
      </c>
      <c r="EQ318">
        <v>4</v>
      </c>
      <c r="ER318">
        <v>8</v>
      </c>
      <c r="ES318">
        <v>7</v>
      </c>
      <c r="ET318">
        <v>6</v>
      </c>
      <c r="EU318">
        <v>6</v>
      </c>
      <c r="EV318">
        <v>0.1</v>
      </c>
      <c r="EW318">
        <v>0.1</v>
      </c>
      <c r="EX318">
        <v>0.2</v>
      </c>
      <c r="EY318">
        <v>0.3</v>
      </c>
      <c r="EZ318">
        <v>0.3</v>
      </c>
      <c r="FA318">
        <f>EV318*EQ318</f>
        <v>0.4</v>
      </c>
      <c r="FB318">
        <f>EW318*ER318</f>
        <v>0.8</v>
      </c>
      <c r="FC318">
        <f>EX318*ES318</f>
        <v>1.4000000000000001</v>
      </c>
      <c r="FD318">
        <f>EY318*ET318</f>
        <v>1.7999999999999998</v>
      </c>
      <c r="FE318">
        <f>EZ318*EU318</f>
        <v>1.7999999999999998</v>
      </c>
      <c r="FF318">
        <v>16</v>
      </c>
      <c r="FG318">
        <v>0</v>
      </c>
      <c r="FH318">
        <v>16</v>
      </c>
      <c r="FI318">
        <f>FA318+FB318+FC318+FD318+FE318</f>
        <v>6.2</v>
      </c>
      <c r="FJ318">
        <f>MEDIAN(EQ318:EU318)</f>
        <v>6</v>
      </c>
      <c r="FL318">
        <v>71.91</v>
      </c>
      <c r="FM318">
        <v>5</v>
      </c>
      <c r="FN318" t="s">
        <v>2106</v>
      </c>
      <c r="FO318" t="s">
        <v>2107</v>
      </c>
      <c r="FP318" t="s">
        <v>2108</v>
      </c>
      <c r="FQ318" t="s">
        <v>2109</v>
      </c>
      <c r="FR318" t="s">
        <v>2110</v>
      </c>
      <c r="FS318">
        <v>7</v>
      </c>
      <c r="FT318">
        <v>5</v>
      </c>
      <c r="FU318">
        <v>4</v>
      </c>
      <c r="FV318">
        <v>6</v>
      </c>
      <c r="FW318">
        <v>3</v>
      </c>
      <c r="FX318">
        <v>0.1</v>
      </c>
      <c r="FY318">
        <v>0.1</v>
      </c>
      <c r="FZ318">
        <v>0.2</v>
      </c>
      <c r="GA318">
        <v>0.3</v>
      </c>
      <c r="GB318">
        <v>0.3</v>
      </c>
      <c r="GC318">
        <f>FS318*FX318</f>
        <v>0.70000000000000007</v>
      </c>
      <c r="GD318">
        <f>FT318*FY318</f>
        <v>0.5</v>
      </c>
      <c r="GE318">
        <f>FU318*FZ318</f>
        <v>0.8</v>
      </c>
      <c r="GF318">
        <f>FV318*GA318</f>
        <v>1.7999999999999998</v>
      </c>
      <c r="GG318">
        <f>FW318*GB318</f>
        <v>0.89999999999999991</v>
      </c>
      <c r="GH318">
        <v>5</v>
      </c>
      <c r="GI318">
        <v>0</v>
      </c>
      <c r="GJ318">
        <v>5</v>
      </c>
      <c r="GK318">
        <f>GC318+GD318+GE318+GF318+GG318</f>
        <v>4.6999999999999993</v>
      </c>
      <c r="GL318">
        <f>MEDIAN(FS318:FW318)</f>
        <v>5</v>
      </c>
    </row>
    <row r="319" spans="1:194" hidden="1" x14ac:dyDescent="0.25">
      <c r="A319">
        <v>318</v>
      </c>
      <c r="B319" t="s">
        <v>2</v>
      </c>
      <c r="C319" s="4">
        <v>48.6</v>
      </c>
      <c r="D319">
        <v>3.6</v>
      </c>
      <c r="E319" s="1">
        <f>C319/3/D319</f>
        <v>4.5</v>
      </c>
      <c r="G319">
        <v>84.96</v>
      </c>
      <c r="H319">
        <v>8</v>
      </c>
      <c r="I319">
        <f>H319*D319*3</f>
        <v>86.4</v>
      </c>
      <c r="J319">
        <v>17.190000000000001</v>
      </c>
      <c r="K319">
        <v>8.4</v>
      </c>
      <c r="L319" s="3">
        <f>K319*3*D319</f>
        <v>90.720000000000013</v>
      </c>
      <c r="M319">
        <v>5.29</v>
      </c>
      <c r="N319">
        <v>5</v>
      </c>
      <c r="O319">
        <f>N319*D319*3</f>
        <v>54</v>
      </c>
      <c r="P319" s="5">
        <v>8</v>
      </c>
      <c r="Q319" s="5">
        <f>P319*D319*3</f>
        <v>86.4</v>
      </c>
      <c r="S319" t="s">
        <v>6443</v>
      </c>
      <c r="T319">
        <v>5.4</v>
      </c>
      <c r="U319" s="8">
        <f>T319*D319*3</f>
        <v>58.320000000000007</v>
      </c>
      <c r="V319">
        <v>57.11</v>
      </c>
      <c r="W319">
        <v>8.4</v>
      </c>
      <c r="X319" s="5">
        <f>W319*D319*3</f>
        <v>90.72</v>
      </c>
      <c r="Y319">
        <v>10.09</v>
      </c>
      <c r="Z319">
        <v>8</v>
      </c>
      <c r="AA319">
        <f>Z319*D319*3</f>
        <v>86.4</v>
      </c>
      <c r="AC319">
        <v>150.13999999999999</v>
      </c>
      <c r="AD319">
        <v>7</v>
      </c>
      <c r="AE319" s="1">
        <f>AD319*3*D319</f>
        <v>75.600000000000009</v>
      </c>
      <c r="AF319">
        <v>13.7</v>
      </c>
      <c r="AH319" s="5">
        <f>AG319*D319*3</f>
        <v>0</v>
      </c>
      <c r="AI319" s="13"/>
      <c r="AJ319">
        <v>8.1999999999999993</v>
      </c>
      <c r="AK319" s="8">
        <f>AJ319*D319*3</f>
        <v>88.56</v>
      </c>
      <c r="AL319" s="13"/>
      <c r="AM319">
        <v>31.98</v>
      </c>
      <c r="AN319">
        <v>7.9</v>
      </c>
      <c r="AO319" s="8">
        <f>AN319*D319*3</f>
        <v>85.320000000000007</v>
      </c>
      <c r="AP319">
        <v>13.37</v>
      </c>
      <c r="AQ319">
        <v>10</v>
      </c>
      <c r="AR319">
        <f>AQ319*D319*3</f>
        <v>108</v>
      </c>
      <c r="AT319">
        <v>9</v>
      </c>
      <c r="AU319">
        <f>AT319*D319*3</f>
        <v>97.199999999999989</v>
      </c>
      <c r="AX319">
        <v>7.5</v>
      </c>
      <c r="AY319">
        <f>AX319*D319*3</f>
        <v>81</v>
      </c>
      <c r="BA319">
        <v>8.4</v>
      </c>
      <c r="BB319">
        <f>BA319*D319*3</f>
        <v>90.72</v>
      </c>
      <c r="BD319">
        <v>8.6</v>
      </c>
      <c r="BE319">
        <f>BD319*D319*3</f>
        <v>92.88</v>
      </c>
      <c r="BG319" s="10"/>
      <c r="BH319" s="1">
        <f>CHOOSE(MATCH(MIN(ABS(BP319-C319),ABS(BQ319-C319),ABS(BR319-C319)),CHOOSE({1;2;3},ABS(BP319-C319),ABS(BQ319-C319),ABS(BR319-C319)),0),BP319,BQ319,BR319)</f>
        <v>75.600000000000009</v>
      </c>
      <c r="BJ319" s="1" cm="1">
        <f t="array" ref="BJ319">(INDEX(_xlfn._xlws.SORT(CHOOSE({1;2;3;4;5;6},BQ319,BR319,L319,AE319,BO319,BP319)),3) + INDEX(_xlfn._xlws.SORT(CHOOSE({1;2;3;4;5;6},BQ319,BR319,L319,AE319,BO319,BP319)),4))/2</f>
        <v>87.75</v>
      </c>
      <c r="BK319">
        <v>4.5169726774829204</v>
      </c>
      <c r="BL319" t="s">
        <v>6117</v>
      </c>
      <c r="BM319" s="1">
        <f>BK319*3*D319</f>
        <v>48.783304916815538</v>
      </c>
      <c r="BN319" s="1">
        <f>BM319-C319</f>
        <v>0.18330491681553696</v>
      </c>
      <c r="BO319" s="1">
        <f>GK319*3*D319</f>
        <v>84.78</v>
      </c>
      <c r="BP319" s="1">
        <f>DO319*3*D319</f>
        <v>97.2</v>
      </c>
      <c r="BQ319" s="1">
        <f>FJ319*3*D319</f>
        <v>75.600000000000009</v>
      </c>
      <c r="BR319" s="1">
        <f>GL319*3*D319</f>
        <v>91.8</v>
      </c>
      <c r="BT319">
        <v>84.96</v>
      </c>
      <c r="BU319">
        <v>8</v>
      </c>
      <c r="BV319" t="s">
        <v>5565</v>
      </c>
      <c r="BW319" t="s">
        <v>5969</v>
      </c>
      <c r="BX319" t="s">
        <v>5057</v>
      </c>
      <c r="BY319" t="s">
        <v>4984</v>
      </c>
      <c r="BZ319" t="s">
        <v>5059</v>
      </c>
      <c r="CA319" t="s">
        <v>2437</v>
      </c>
      <c r="CC319" t="s">
        <v>2438</v>
      </c>
      <c r="CD319" t="s">
        <v>2439</v>
      </c>
      <c r="CE319" t="s">
        <v>2440</v>
      </c>
      <c r="CG319" t="s">
        <v>2441</v>
      </c>
      <c r="CH319" t="s">
        <v>2442</v>
      </c>
      <c r="CI319" t="s">
        <v>2738</v>
      </c>
      <c r="CK319" t="s">
        <v>2444</v>
      </c>
      <c r="CL319" t="s">
        <v>2445</v>
      </c>
      <c r="CM319" t="s">
        <v>2446</v>
      </c>
      <c r="CO319" t="s">
        <v>2447</v>
      </c>
      <c r="CP319" t="s">
        <v>2448</v>
      </c>
      <c r="CQ319" t="s">
        <v>2449</v>
      </c>
      <c r="CS319" t="s">
        <v>2450</v>
      </c>
      <c r="CT319" t="s">
        <v>2451</v>
      </c>
      <c r="CV319">
        <v>9</v>
      </c>
      <c r="CW319">
        <v>9</v>
      </c>
      <c r="CX319">
        <v>9</v>
      </c>
      <c r="CY319">
        <v>9</v>
      </c>
      <c r="CZ319">
        <v>9</v>
      </c>
      <c r="DA319">
        <v>0.1</v>
      </c>
      <c r="DB319">
        <v>0.1</v>
      </c>
      <c r="DC319">
        <v>0.2</v>
      </c>
      <c r="DD319">
        <v>0.3</v>
      </c>
      <c r="DE319">
        <v>0.3</v>
      </c>
      <c r="DF319">
        <v>0.9</v>
      </c>
      <c r="DG319">
        <v>0.9</v>
      </c>
      <c r="DH319">
        <v>1.8</v>
      </c>
      <c r="DI319">
        <v>2.7</v>
      </c>
      <c r="DJ319">
        <v>2.7</v>
      </c>
      <c r="DK319">
        <v>8</v>
      </c>
      <c r="DL319">
        <v>0</v>
      </c>
      <c r="DM319">
        <v>8</v>
      </c>
      <c r="DN319">
        <v>8.4</v>
      </c>
      <c r="DO319">
        <f>AVERAGE(CV319:CZ319)</f>
        <v>9</v>
      </c>
      <c r="DQ319">
        <v>9</v>
      </c>
      <c r="DR319" t="s">
        <v>65</v>
      </c>
      <c r="DS319" t="s">
        <v>516</v>
      </c>
      <c r="DT319" t="s">
        <v>517</v>
      </c>
      <c r="DU319" t="s">
        <v>518</v>
      </c>
      <c r="DV319" t="s">
        <v>519</v>
      </c>
      <c r="DW319" t="s">
        <v>3805</v>
      </c>
      <c r="DX319" t="s">
        <v>4341</v>
      </c>
      <c r="DY319" t="s">
        <v>4342</v>
      </c>
      <c r="DZ319" t="s">
        <v>4343</v>
      </c>
      <c r="EA319" t="s">
        <v>4054</v>
      </c>
      <c r="EB319" t="s">
        <v>4865</v>
      </c>
      <c r="EC319" t="s">
        <v>4866</v>
      </c>
      <c r="ED319" t="s">
        <v>4867</v>
      </c>
      <c r="EE319" t="s">
        <v>3966</v>
      </c>
      <c r="EF319" t="s">
        <v>4868</v>
      </c>
      <c r="EG319" t="s">
        <v>4869</v>
      </c>
      <c r="EH319" t="s">
        <v>4870</v>
      </c>
      <c r="EI319" t="s">
        <v>3246</v>
      </c>
      <c r="EJ319" t="s">
        <v>4871</v>
      </c>
      <c r="EK319" t="s">
        <v>4869</v>
      </c>
      <c r="EL319" t="s">
        <v>4872</v>
      </c>
      <c r="EM319" t="s">
        <v>3971</v>
      </c>
      <c r="EN319" t="s">
        <v>4873</v>
      </c>
      <c r="EO319" t="s">
        <v>4874</v>
      </c>
      <c r="EP319" t="s">
        <v>4875</v>
      </c>
      <c r="EQ319">
        <v>7</v>
      </c>
      <c r="ER319">
        <v>7</v>
      </c>
      <c r="ES319">
        <v>7</v>
      </c>
      <c r="ET319">
        <v>7</v>
      </c>
      <c r="EU319">
        <v>7</v>
      </c>
      <c r="EV319">
        <v>0.1</v>
      </c>
      <c r="EW319">
        <v>0.1</v>
      </c>
      <c r="EX319">
        <v>0.2</v>
      </c>
      <c r="EY319">
        <v>0.3</v>
      </c>
      <c r="EZ319">
        <v>0.3</v>
      </c>
      <c r="FA319">
        <f>EV319*EQ319</f>
        <v>0.70000000000000007</v>
      </c>
      <c r="FB319">
        <f>EW319*ER319</f>
        <v>0.70000000000000007</v>
      </c>
      <c r="FC319">
        <f>EX319*ES319</f>
        <v>1.4000000000000001</v>
      </c>
      <c r="FD319">
        <f>EY319*ET319</f>
        <v>2.1</v>
      </c>
      <c r="FE319">
        <f>EZ319*EU319</f>
        <v>2.1</v>
      </c>
      <c r="FF319">
        <v>19</v>
      </c>
      <c r="FG319">
        <v>0</v>
      </c>
      <c r="FH319">
        <v>9</v>
      </c>
      <c r="FI319">
        <f>FA319+FB319+FC319+FD319+FE319</f>
        <v>7</v>
      </c>
      <c r="FJ319">
        <f>MEDIAN(EQ319:EU319)</f>
        <v>7</v>
      </c>
      <c r="FL319">
        <v>105.82</v>
      </c>
      <c r="FM319">
        <v>10</v>
      </c>
      <c r="FN319" t="s">
        <v>2111</v>
      </c>
      <c r="FO319" t="s">
        <v>2112</v>
      </c>
      <c r="FP319" t="s">
        <v>2113</v>
      </c>
      <c r="FQ319" t="s">
        <v>2114</v>
      </c>
      <c r="FR319" t="s">
        <v>2115</v>
      </c>
      <c r="FS319">
        <v>10</v>
      </c>
      <c r="FT319">
        <v>9.5</v>
      </c>
      <c r="FU319">
        <v>8.5</v>
      </c>
      <c r="FV319">
        <v>7.5</v>
      </c>
      <c r="FW319">
        <v>6.5</v>
      </c>
      <c r="FX319">
        <v>0.1</v>
      </c>
      <c r="FY319">
        <v>0.1</v>
      </c>
      <c r="FZ319">
        <v>0.2</v>
      </c>
      <c r="GA319">
        <v>0.3</v>
      </c>
      <c r="GB319">
        <v>0.3</v>
      </c>
      <c r="GC319">
        <f>FS319*FX319</f>
        <v>1</v>
      </c>
      <c r="GD319">
        <f>FT319*FY319</f>
        <v>0.95000000000000007</v>
      </c>
      <c r="GE319">
        <f>FU319*FZ319</f>
        <v>1.7000000000000002</v>
      </c>
      <c r="GF319">
        <f>FV319*GA319</f>
        <v>2.25</v>
      </c>
      <c r="GG319">
        <f>FW319*GB319</f>
        <v>1.95</v>
      </c>
      <c r="GH319">
        <v>10</v>
      </c>
      <c r="GI319">
        <v>0</v>
      </c>
      <c r="GJ319">
        <v>10</v>
      </c>
      <c r="GK319">
        <f>GC319+GD319+GE319+GF319+GG319</f>
        <v>7.8500000000000005</v>
      </c>
      <c r="GL319">
        <f>MEDIAN(FS319:FW319)</f>
        <v>8.5</v>
      </c>
    </row>
    <row r="320" spans="1:194" hidden="1" x14ac:dyDescent="0.25">
      <c r="A320">
        <v>319</v>
      </c>
      <c r="B320" t="s">
        <v>2</v>
      </c>
      <c r="C320" s="4">
        <v>84.15</v>
      </c>
      <c r="D320">
        <v>3.3</v>
      </c>
      <c r="E320" s="1">
        <f>C320/3/D320</f>
        <v>8.5</v>
      </c>
      <c r="G320">
        <v>102.47</v>
      </c>
      <c r="H320">
        <v>8.1999999999999993</v>
      </c>
      <c r="I320">
        <f>H320*D320*3</f>
        <v>81.179999999999978</v>
      </c>
      <c r="J320">
        <v>17.98</v>
      </c>
      <c r="K320">
        <v>9</v>
      </c>
      <c r="L320" s="3">
        <f>K320*3*D320</f>
        <v>89.1</v>
      </c>
      <c r="M320">
        <v>5.15</v>
      </c>
      <c r="N320">
        <v>5</v>
      </c>
      <c r="O320">
        <f>N320*D320*3</f>
        <v>49.5</v>
      </c>
      <c r="P320" s="5">
        <v>8.5</v>
      </c>
      <c r="Q320" s="5">
        <f>P320*D320*3</f>
        <v>84.149999999999991</v>
      </c>
      <c r="S320" t="s">
        <v>6444</v>
      </c>
      <c r="T320">
        <v>7.8</v>
      </c>
      <c r="U320" s="8">
        <f>T320*D320*3</f>
        <v>77.22</v>
      </c>
      <c r="V320">
        <v>74.28</v>
      </c>
      <c r="W320">
        <v>8.5</v>
      </c>
      <c r="X320" s="5">
        <f>W320*D320*3</f>
        <v>84.149999999999991</v>
      </c>
      <c r="Y320">
        <v>11.93</v>
      </c>
      <c r="Z320">
        <v>7.5</v>
      </c>
      <c r="AA320">
        <f>Z320*D320*3</f>
        <v>74.25</v>
      </c>
      <c r="AC320">
        <v>149.25</v>
      </c>
      <c r="AD320">
        <v>6.8</v>
      </c>
      <c r="AE320" s="1">
        <f>AD320*3*D320</f>
        <v>67.319999999999993</v>
      </c>
      <c r="AF320">
        <v>12.02</v>
      </c>
      <c r="AG320" s="5">
        <v>7</v>
      </c>
      <c r="AH320" s="5">
        <f>AG320*D320*3</f>
        <v>69.3</v>
      </c>
      <c r="AI320" s="13"/>
      <c r="AJ320">
        <v>21.5</v>
      </c>
      <c r="AK320" s="8">
        <f>AJ320*D320*3</f>
        <v>212.85000000000002</v>
      </c>
      <c r="AL320" s="13"/>
      <c r="AM320">
        <v>31.44</v>
      </c>
      <c r="AN320">
        <v>7.3</v>
      </c>
      <c r="AO320" s="8">
        <f>AN320*D320*3</f>
        <v>72.27</v>
      </c>
      <c r="AP320">
        <v>13.18</v>
      </c>
      <c r="AQ320">
        <v>10</v>
      </c>
      <c r="AR320">
        <f>AQ320*D320*3</f>
        <v>99</v>
      </c>
      <c r="AT320">
        <v>8.1999999999999993</v>
      </c>
      <c r="AU320">
        <f>AT320*D320*3</f>
        <v>81.179999999999978</v>
      </c>
      <c r="AX320">
        <v>9.3000000000000007</v>
      </c>
      <c r="AY320">
        <f>AX320*D320*3</f>
        <v>92.070000000000007</v>
      </c>
      <c r="BA320">
        <v>9</v>
      </c>
      <c r="BB320">
        <f>BA320*D320*3</f>
        <v>89.1</v>
      </c>
      <c r="BD320">
        <v>8.9</v>
      </c>
      <c r="BE320">
        <f>BD320*D320*3</f>
        <v>88.11</v>
      </c>
      <c r="BG320" s="10"/>
      <c r="BH320" s="1">
        <f>CHOOSE(MATCH(MIN(ABS(BP320-C320),ABS(BQ320-C320),ABS(BR320-C320)),CHOOSE({1;2;3},ABS(BP320-C320),ABS(BQ320-C320),ABS(BR320-C320)),0),BP320,BQ320,BR320)</f>
        <v>89.1</v>
      </c>
      <c r="BJ320" s="1" cm="1">
        <f t="array" ref="BJ320">(INDEX(_xlfn._xlws.SORT(CHOOSE({1;2;3;4;5;6},BQ320,BR320,L320,AE320,BO320,BP320)),3) + INDEX(_xlfn._xlws.SORT(CHOOSE({1;2;3;4;5;6},BQ320,BR320,L320,AE320,BO320,BP320)),4))/2</f>
        <v>69.794999999999987</v>
      </c>
      <c r="BK320">
        <v>8.5200492268969192</v>
      </c>
      <c r="BL320" t="s">
        <v>6117</v>
      </c>
      <c r="BM320" s="1">
        <f>BK320*3*D320</f>
        <v>84.348487346279498</v>
      </c>
      <c r="BN320" s="1">
        <f>BM320-C320</f>
        <v>0.19848734627949227</v>
      </c>
      <c r="BO320" s="1">
        <f>GK320*3*D320</f>
        <v>70.289999999999992</v>
      </c>
      <c r="BP320" s="1">
        <f>DO320*3*D320</f>
        <v>89.1</v>
      </c>
      <c r="BQ320" s="1">
        <f>FJ320*3*D320</f>
        <v>69.3</v>
      </c>
      <c r="BR320" s="1">
        <f>GL320*3*D320</f>
        <v>69.3</v>
      </c>
      <c r="BT320">
        <v>102.47</v>
      </c>
      <c r="BU320">
        <v>8.1999999999999993</v>
      </c>
      <c r="BV320" t="s">
        <v>5114</v>
      </c>
      <c r="BW320" t="s">
        <v>5519</v>
      </c>
      <c r="BX320" t="s">
        <v>5710</v>
      </c>
      <c r="BY320" t="s">
        <v>5970</v>
      </c>
      <c r="BZ320" t="s">
        <v>5971</v>
      </c>
      <c r="CA320" t="s">
        <v>3603</v>
      </c>
      <c r="CC320" t="s">
        <v>2438</v>
      </c>
      <c r="CD320" t="s">
        <v>2453</v>
      </c>
      <c r="CE320" t="s">
        <v>2683</v>
      </c>
      <c r="CG320" t="s">
        <v>2441</v>
      </c>
      <c r="CH320" t="s">
        <v>2587</v>
      </c>
      <c r="CI320" t="s">
        <v>3604</v>
      </c>
      <c r="CK320" t="s">
        <v>2444</v>
      </c>
      <c r="CL320" t="s">
        <v>2588</v>
      </c>
      <c r="CM320" t="s">
        <v>3605</v>
      </c>
      <c r="CO320" t="s">
        <v>2447</v>
      </c>
      <c r="CP320" t="s">
        <v>2590</v>
      </c>
      <c r="CQ320" t="s">
        <v>3606</v>
      </c>
      <c r="CS320" t="s">
        <v>2450</v>
      </c>
      <c r="CT320" t="s">
        <v>2592</v>
      </c>
      <c r="CV320">
        <v>9</v>
      </c>
      <c r="CW320">
        <v>9</v>
      </c>
      <c r="CX320">
        <v>9</v>
      </c>
      <c r="CY320">
        <v>9</v>
      </c>
      <c r="CZ320">
        <v>9</v>
      </c>
      <c r="DA320">
        <v>0.1</v>
      </c>
      <c r="DB320">
        <v>0.1</v>
      </c>
      <c r="DC320">
        <v>0.2</v>
      </c>
      <c r="DD320">
        <v>0.3</v>
      </c>
      <c r="DE320">
        <v>0.3</v>
      </c>
      <c r="DF320">
        <v>0.9</v>
      </c>
      <c r="DG320">
        <v>0.9</v>
      </c>
      <c r="DH320">
        <v>1.8</v>
      </c>
      <c r="DI320">
        <v>2.7</v>
      </c>
      <c r="DJ320">
        <v>2.7</v>
      </c>
      <c r="DK320">
        <v>8.1999999999999993</v>
      </c>
      <c r="DL320">
        <v>0</v>
      </c>
      <c r="DM320">
        <v>8.1999999999999993</v>
      </c>
      <c r="DN320">
        <v>9</v>
      </c>
      <c r="DO320">
        <f>AVERAGE(CV320:CZ320)</f>
        <v>9</v>
      </c>
      <c r="DQ320" t="s">
        <v>520</v>
      </c>
      <c r="DR320" t="s">
        <v>521</v>
      </c>
      <c r="DS320" t="s">
        <v>522</v>
      </c>
      <c r="DT320" t="s">
        <v>523</v>
      </c>
      <c r="DU320" t="s">
        <v>524</v>
      </c>
      <c r="DV320" t="s">
        <v>525</v>
      </c>
      <c r="DW320" t="s">
        <v>3805</v>
      </c>
      <c r="DX320" t="s">
        <v>4341</v>
      </c>
      <c r="DY320" t="s">
        <v>4342</v>
      </c>
      <c r="DZ320" t="s">
        <v>4876</v>
      </c>
      <c r="EA320" t="s">
        <v>4344</v>
      </c>
      <c r="EB320" t="s">
        <v>4877</v>
      </c>
      <c r="EC320" t="s">
        <v>4878</v>
      </c>
      <c r="ED320" t="s">
        <v>4879</v>
      </c>
      <c r="EE320" t="s">
        <v>3966</v>
      </c>
      <c r="EF320" t="s">
        <v>4550</v>
      </c>
      <c r="EG320" t="s">
        <v>4551</v>
      </c>
      <c r="EH320" t="s">
        <v>4880</v>
      </c>
      <c r="EI320" t="s">
        <v>4021</v>
      </c>
      <c r="EJ320" t="s">
        <v>4881</v>
      </c>
      <c r="EK320" t="s">
        <v>4882</v>
      </c>
      <c r="EL320" t="s">
        <v>4883</v>
      </c>
      <c r="EM320" t="s">
        <v>4884</v>
      </c>
      <c r="EN320" t="s">
        <v>4290</v>
      </c>
      <c r="EO320" t="s">
        <v>4885</v>
      </c>
      <c r="EP320" t="s">
        <v>4886</v>
      </c>
      <c r="EQ320">
        <v>7</v>
      </c>
      <c r="ER320">
        <v>6</v>
      </c>
      <c r="ES320">
        <v>8</v>
      </c>
      <c r="ET320">
        <v>7</v>
      </c>
      <c r="EU320">
        <v>6</v>
      </c>
      <c r="EV320">
        <v>0.1</v>
      </c>
      <c r="EW320">
        <v>0.1</v>
      </c>
      <c r="EX320">
        <v>0.2</v>
      </c>
      <c r="EY320">
        <v>0.3</v>
      </c>
      <c r="EZ320">
        <v>0.3</v>
      </c>
      <c r="FA320">
        <f>EV320*EQ320</f>
        <v>0.70000000000000007</v>
      </c>
      <c r="FB320">
        <f>EW320*ER320</f>
        <v>0.60000000000000009</v>
      </c>
      <c r="FC320">
        <f>EX320*ES320</f>
        <v>1.6</v>
      </c>
      <c r="FD320">
        <f>EY320*ET320</f>
        <v>2.1</v>
      </c>
      <c r="FE320">
        <f>EZ320*EU320</f>
        <v>1.7999999999999998</v>
      </c>
      <c r="FF320">
        <v>19.5</v>
      </c>
      <c r="FG320">
        <v>0.5</v>
      </c>
      <c r="FH320">
        <v>2</v>
      </c>
      <c r="FI320">
        <f>FA320+FB320+FC320+FD320+FE320</f>
        <v>6.8</v>
      </c>
      <c r="FJ320">
        <f>MEDIAN(EQ320:EU320)</f>
        <v>7</v>
      </c>
      <c r="FL320">
        <v>115.6</v>
      </c>
      <c r="FM320">
        <v>6.9</v>
      </c>
      <c r="FN320" t="s">
        <v>2116</v>
      </c>
      <c r="FO320" t="s">
        <v>2117</v>
      </c>
      <c r="FP320" t="s">
        <v>2117</v>
      </c>
      <c r="FQ320" t="s">
        <v>2117</v>
      </c>
      <c r="FR320" t="s">
        <v>2117</v>
      </c>
      <c r="FS320">
        <v>9</v>
      </c>
      <c r="FT320">
        <v>8</v>
      </c>
      <c r="FU320">
        <v>6</v>
      </c>
      <c r="FV320">
        <v>7</v>
      </c>
      <c r="FW320">
        <v>7</v>
      </c>
      <c r="FX320">
        <v>0.1</v>
      </c>
      <c r="FY320">
        <v>0.1</v>
      </c>
      <c r="FZ320">
        <v>0.2</v>
      </c>
      <c r="GA320">
        <v>0.3</v>
      </c>
      <c r="GB320">
        <v>0.3</v>
      </c>
      <c r="GC320">
        <f>FS320*FX320</f>
        <v>0.9</v>
      </c>
      <c r="GD320">
        <f>FT320*FY320</f>
        <v>0.8</v>
      </c>
      <c r="GE320">
        <f>FU320*FZ320</f>
        <v>1.2000000000000002</v>
      </c>
      <c r="GF320">
        <f>FV320*GA320</f>
        <v>2.1</v>
      </c>
      <c r="GG320">
        <f>FW320*GB320</f>
        <v>2.1</v>
      </c>
      <c r="GH320">
        <v>6.9</v>
      </c>
      <c r="GI320">
        <v>0</v>
      </c>
      <c r="GJ320">
        <v>6.9</v>
      </c>
      <c r="GK320">
        <f>GC320+GD320+GE320+GF320+GG320</f>
        <v>7.1</v>
      </c>
      <c r="GL320">
        <f>MEDIAN(FS320:FW320)</f>
        <v>7</v>
      </c>
    </row>
    <row r="321" spans="1:194" hidden="1" x14ac:dyDescent="0.25">
      <c r="A321">
        <v>320</v>
      </c>
      <c r="B321" t="s">
        <v>2</v>
      </c>
      <c r="C321" s="4">
        <v>64.349999999999994</v>
      </c>
      <c r="D321">
        <v>3.3</v>
      </c>
      <c r="E321" s="1">
        <f>C321/3/D321</f>
        <v>6.5</v>
      </c>
      <c r="G321">
        <v>36.9</v>
      </c>
      <c r="H321">
        <v>8.5</v>
      </c>
      <c r="I321">
        <f>H321*D321*3</f>
        <v>84.149999999999991</v>
      </c>
      <c r="J321">
        <v>19.440000000000001</v>
      </c>
      <c r="K321">
        <v>9</v>
      </c>
      <c r="L321" s="3">
        <f>K321*3*D321</f>
        <v>89.1</v>
      </c>
      <c r="M321">
        <v>3.88</v>
      </c>
      <c r="N321">
        <v>7.8</v>
      </c>
      <c r="O321">
        <f>N321*D321*3</f>
        <v>77.22</v>
      </c>
      <c r="P321" s="5">
        <v>7.9</v>
      </c>
      <c r="Q321" s="5">
        <f>P321*D321*3</f>
        <v>78.210000000000008</v>
      </c>
      <c r="S321" t="s">
        <v>6445</v>
      </c>
      <c r="T321">
        <v>7</v>
      </c>
      <c r="U321" s="8">
        <f>T321*D321*3</f>
        <v>69.3</v>
      </c>
      <c r="V321">
        <v>57.81</v>
      </c>
      <c r="W321">
        <v>8</v>
      </c>
      <c r="X321" s="5">
        <f>W321*D321*3</f>
        <v>79.199999999999989</v>
      </c>
      <c r="Y321">
        <v>9.9600000000000009</v>
      </c>
      <c r="Z321">
        <v>6</v>
      </c>
      <c r="AA321">
        <f>Z321*D321*3</f>
        <v>59.399999999999991</v>
      </c>
      <c r="AC321">
        <v>127.19</v>
      </c>
      <c r="AD321">
        <v>7.4</v>
      </c>
      <c r="AE321" s="1">
        <f>AD321*3*D321</f>
        <v>73.260000000000005</v>
      </c>
      <c r="AF321">
        <v>11.98</v>
      </c>
      <c r="AG321" s="5">
        <v>7</v>
      </c>
      <c r="AH321" s="5">
        <f>AG321*D321*3</f>
        <v>69.3</v>
      </c>
      <c r="AI321" s="13"/>
      <c r="AJ321">
        <v>2.7</v>
      </c>
      <c r="AK321" s="8">
        <f>AJ321*D321*3</f>
        <v>26.73</v>
      </c>
      <c r="AL321" s="13"/>
      <c r="AM321">
        <v>31.15</v>
      </c>
      <c r="AN321">
        <v>7.1</v>
      </c>
      <c r="AO321" s="8">
        <f>AN321*D321*3</f>
        <v>70.289999999999992</v>
      </c>
      <c r="AP321">
        <v>12.53</v>
      </c>
      <c r="AQ321">
        <v>9.5</v>
      </c>
      <c r="AR321">
        <f>AQ321*D321*3</f>
        <v>94.05</v>
      </c>
      <c r="AT321">
        <v>9</v>
      </c>
      <c r="AU321">
        <f>AT321*D321*3</f>
        <v>89.1</v>
      </c>
      <c r="AX321">
        <v>9.9</v>
      </c>
      <c r="AY321">
        <f>AX321*D321*3</f>
        <v>98.01</v>
      </c>
      <c r="BA321">
        <v>9.4</v>
      </c>
      <c r="BB321">
        <f>BA321*D321*3</f>
        <v>93.06</v>
      </c>
      <c r="BD321">
        <v>9</v>
      </c>
      <c r="BE321">
        <f>BD321*D321*3</f>
        <v>89.1</v>
      </c>
      <c r="BG321" s="10"/>
      <c r="BH321" s="1">
        <f>CHOOSE(MATCH(MIN(ABS(BP321-C321),ABS(BQ321-C321),ABS(BR321-C321)),CHOOSE({1;2;3},ABS(BP321-C321),ABS(BQ321-C321),ABS(BR321-C321)),0),BP321,BQ321,BR321)</f>
        <v>69.3</v>
      </c>
      <c r="BJ321" s="1" cm="1">
        <f t="array" ref="BJ321">(INDEX(_xlfn._xlws.SORT(CHOOSE({1;2;3;4;5;6},BQ321,BR321,L321,AE321,BO321,BP321)),3) + INDEX(_xlfn._xlws.SORT(CHOOSE({1;2;3;4;5;6},BQ321,BR321,L321,AE321,BO321,BP321)),4))/2</f>
        <v>71.28</v>
      </c>
      <c r="BK321">
        <v>6.5668453611612998</v>
      </c>
      <c r="BL321" t="s">
        <v>6117</v>
      </c>
      <c r="BM321" s="1">
        <f>BK321*3*D321</f>
        <v>65.011769075496872</v>
      </c>
      <c r="BN321" s="1">
        <f>BM321-C321</f>
        <v>0.66176907549687769</v>
      </c>
      <c r="BO321" s="1">
        <f>GK321*3*D321</f>
        <v>53.460000000000008</v>
      </c>
      <c r="BP321" s="1">
        <f>DO321*3*D321</f>
        <v>85.139999999999986</v>
      </c>
      <c r="BQ321" s="1">
        <f>FJ321*3*D321</f>
        <v>69.3</v>
      </c>
      <c r="BR321" s="1">
        <f>GL321*3*D321</f>
        <v>49.5</v>
      </c>
      <c r="BT321">
        <v>36.9</v>
      </c>
      <c r="BU321">
        <v>8.5</v>
      </c>
      <c r="BV321" t="s">
        <v>5972</v>
      </c>
      <c r="BW321" t="s">
        <v>5973</v>
      </c>
      <c r="BX321" t="s">
        <v>5974</v>
      </c>
      <c r="BY321" t="s">
        <v>5975</v>
      </c>
      <c r="BZ321" t="s">
        <v>5976</v>
      </c>
      <c r="CA321" t="s">
        <v>2420</v>
      </c>
      <c r="CC321" t="s">
        <v>2421</v>
      </c>
      <c r="CD321" t="s">
        <v>2422</v>
      </c>
      <c r="CE321" t="s">
        <v>2423</v>
      </c>
      <c r="CG321" t="s">
        <v>2424</v>
      </c>
      <c r="CH321" t="s">
        <v>2425</v>
      </c>
      <c r="CI321" t="s">
        <v>2426</v>
      </c>
      <c r="CJ321" t="s">
        <v>2427</v>
      </c>
      <c r="CK321" t="s">
        <v>2428</v>
      </c>
      <c r="CL321" t="s">
        <v>2429</v>
      </c>
      <c r="CM321" t="s">
        <v>2430</v>
      </c>
      <c r="CO321" t="s">
        <v>2431</v>
      </c>
      <c r="CP321" t="s">
        <v>2432</v>
      </c>
      <c r="CQ321" t="s">
        <v>2433</v>
      </c>
      <c r="CR321" t="s">
        <v>2434</v>
      </c>
      <c r="CS321" t="s">
        <v>2435</v>
      </c>
      <c r="CT321" t="s">
        <v>2436</v>
      </c>
      <c r="CV321">
        <v>9</v>
      </c>
      <c r="CW321">
        <v>9</v>
      </c>
      <c r="CX321">
        <v>8</v>
      </c>
      <c r="CY321">
        <v>9</v>
      </c>
      <c r="CZ321">
        <v>8</v>
      </c>
      <c r="DA321">
        <v>0.1</v>
      </c>
      <c r="DB321">
        <v>0.1</v>
      </c>
      <c r="DC321">
        <v>0.2</v>
      </c>
      <c r="DD321">
        <v>0.3</v>
      </c>
      <c r="DE321">
        <v>0.3</v>
      </c>
      <c r="DF321">
        <v>0.9</v>
      </c>
      <c r="DG321">
        <v>0.9</v>
      </c>
      <c r="DH321">
        <v>1.6</v>
      </c>
      <c r="DI321">
        <v>2.7</v>
      </c>
      <c r="DJ321">
        <v>2.4</v>
      </c>
      <c r="DK321">
        <v>8.5</v>
      </c>
      <c r="DL321">
        <v>0</v>
      </c>
      <c r="DM321">
        <v>8.5</v>
      </c>
      <c r="DN321">
        <v>9</v>
      </c>
      <c r="DO321">
        <f>AVERAGE(CV321:CZ321)</f>
        <v>8.6</v>
      </c>
      <c r="DQ321">
        <v>8</v>
      </c>
      <c r="DR321" t="s">
        <v>65</v>
      </c>
      <c r="DS321" t="s">
        <v>66</v>
      </c>
      <c r="DT321" t="s">
        <v>123</v>
      </c>
      <c r="DU321" t="s">
        <v>80</v>
      </c>
      <c r="DV321" t="s">
        <v>124</v>
      </c>
      <c r="DW321" t="s">
        <v>3769</v>
      </c>
      <c r="DX321" t="s">
        <v>3770</v>
      </c>
      <c r="DY321" t="s">
        <v>3771</v>
      </c>
      <c r="DZ321" t="s">
        <v>3772</v>
      </c>
      <c r="EA321" t="s">
        <v>3806</v>
      </c>
      <c r="EB321" t="s">
        <v>3807</v>
      </c>
      <c r="EC321" t="s">
        <v>3775</v>
      </c>
      <c r="ED321" t="s">
        <v>3776</v>
      </c>
      <c r="EE321" t="s">
        <v>3819</v>
      </c>
      <c r="EF321" t="s">
        <v>4104</v>
      </c>
      <c r="EG321" t="s">
        <v>4048</v>
      </c>
      <c r="EH321" t="s">
        <v>4015</v>
      </c>
      <c r="EI321" t="s">
        <v>4105</v>
      </c>
      <c r="EJ321" t="s">
        <v>3813</v>
      </c>
      <c r="EK321" t="s">
        <v>4049</v>
      </c>
      <c r="EL321" t="s">
        <v>3815</v>
      </c>
      <c r="EM321" t="s">
        <v>3816</v>
      </c>
      <c r="EN321" t="s">
        <v>4050</v>
      </c>
      <c r="EO321" t="s">
        <v>4018</v>
      </c>
      <c r="EP321" t="s">
        <v>4051</v>
      </c>
      <c r="EQ321">
        <v>7</v>
      </c>
      <c r="ER321">
        <v>8</v>
      </c>
      <c r="ES321">
        <v>7</v>
      </c>
      <c r="ET321">
        <v>7</v>
      </c>
      <c r="EU321">
        <v>8</v>
      </c>
      <c r="EV321">
        <v>0.1</v>
      </c>
      <c r="EW321">
        <v>0.1</v>
      </c>
      <c r="EX321">
        <v>0.2</v>
      </c>
      <c r="EY321">
        <v>0.3</v>
      </c>
      <c r="EZ321">
        <v>0.3</v>
      </c>
      <c r="FA321">
        <f>EV321*EQ321</f>
        <v>0.70000000000000007</v>
      </c>
      <c r="FB321">
        <f>EW321*ER321</f>
        <v>0.8</v>
      </c>
      <c r="FC321">
        <f>EX321*ES321</f>
        <v>1.4000000000000001</v>
      </c>
      <c r="FD321">
        <f>EY321*ET321</f>
        <v>2.1</v>
      </c>
      <c r="FE321">
        <f>EZ321*EU321</f>
        <v>2.4</v>
      </c>
      <c r="FF321">
        <v>20</v>
      </c>
      <c r="FG321">
        <v>0</v>
      </c>
      <c r="FH321">
        <v>8</v>
      </c>
      <c r="FI321">
        <f>FA321+FB321+FC321+FD321+FE321</f>
        <v>7.4</v>
      </c>
      <c r="FJ321">
        <f>MEDIAN(EQ321:EU321)</f>
        <v>7</v>
      </c>
      <c r="FL321">
        <v>58.39</v>
      </c>
      <c r="FM321">
        <v>7.1</v>
      </c>
      <c r="FN321" t="s">
        <v>2118</v>
      </c>
      <c r="FO321" t="s">
        <v>2119</v>
      </c>
      <c r="FP321" t="s">
        <v>2120</v>
      </c>
      <c r="FQ321" t="s">
        <v>2121</v>
      </c>
      <c r="FR321" t="s">
        <v>2122</v>
      </c>
      <c r="FS321">
        <v>5</v>
      </c>
      <c r="FT321">
        <v>4</v>
      </c>
      <c r="FU321">
        <v>3</v>
      </c>
      <c r="FV321">
        <v>6</v>
      </c>
      <c r="FW321">
        <v>7</v>
      </c>
      <c r="FX321">
        <v>0.1</v>
      </c>
      <c r="FY321">
        <v>0.1</v>
      </c>
      <c r="FZ321">
        <v>0.2</v>
      </c>
      <c r="GA321">
        <v>0.3</v>
      </c>
      <c r="GB321">
        <v>0.3</v>
      </c>
      <c r="GC321">
        <f>FS321*FX321</f>
        <v>0.5</v>
      </c>
      <c r="GD321">
        <f>FT321*FY321</f>
        <v>0.4</v>
      </c>
      <c r="GE321">
        <f>FU321*FZ321</f>
        <v>0.60000000000000009</v>
      </c>
      <c r="GF321">
        <f>FV321*GA321</f>
        <v>1.7999999999999998</v>
      </c>
      <c r="GG321">
        <f>FW321*GB321</f>
        <v>2.1</v>
      </c>
      <c r="GH321">
        <v>6.8</v>
      </c>
      <c r="GJ321">
        <v>7.1</v>
      </c>
      <c r="GK321">
        <f>GC321+GD321+GE321+GF321+GG321</f>
        <v>5.4</v>
      </c>
      <c r="GL321">
        <f>MEDIAN(FS321:FW321)</f>
        <v>5</v>
      </c>
    </row>
    <row r="322" spans="1:194" hidden="1" x14ac:dyDescent="0.25">
      <c r="A322">
        <v>321</v>
      </c>
      <c r="B322" t="s">
        <v>2</v>
      </c>
      <c r="C322" s="4">
        <v>66</v>
      </c>
      <c r="D322">
        <v>3.3</v>
      </c>
      <c r="E322" s="1">
        <f>C322/3/D322</f>
        <v>6.666666666666667</v>
      </c>
      <c r="G322">
        <v>37.14</v>
      </c>
      <c r="H322">
        <v>8</v>
      </c>
      <c r="I322">
        <f>H322*D322*3</f>
        <v>79.199999999999989</v>
      </c>
      <c r="J322">
        <v>18.48</v>
      </c>
      <c r="K322">
        <v>8.4</v>
      </c>
      <c r="L322" s="3">
        <f>K322*3*D322</f>
        <v>83.160000000000011</v>
      </c>
      <c r="M322">
        <v>5.18</v>
      </c>
      <c r="N322">
        <v>3</v>
      </c>
      <c r="O322">
        <f>N322*D322*3</f>
        <v>29.699999999999996</v>
      </c>
      <c r="P322" s="5">
        <v>9</v>
      </c>
      <c r="Q322" s="5">
        <f>P322*D322*3</f>
        <v>89.1</v>
      </c>
      <c r="S322" t="s">
        <v>6446</v>
      </c>
      <c r="T322">
        <v>3.6</v>
      </c>
      <c r="U322" s="8">
        <f>T322*D322*3</f>
        <v>35.64</v>
      </c>
      <c r="V322">
        <v>60.92</v>
      </c>
      <c r="W322">
        <v>8.4</v>
      </c>
      <c r="X322" s="5">
        <f>W322*D322*3</f>
        <v>83.16</v>
      </c>
      <c r="Y322">
        <v>11.63</v>
      </c>
      <c r="Z322">
        <v>7.8</v>
      </c>
      <c r="AA322">
        <f>Z322*D322*3</f>
        <v>77.22</v>
      </c>
      <c r="AC322">
        <v>142.72</v>
      </c>
      <c r="AD322">
        <v>8</v>
      </c>
      <c r="AE322" s="1">
        <f>AD322*3*D322</f>
        <v>79.199999999999989</v>
      </c>
      <c r="AF322">
        <v>11.88</v>
      </c>
      <c r="AG322" s="5">
        <v>7</v>
      </c>
      <c r="AH322" s="5">
        <f>AG322*D322*3</f>
        <v>69.3</v>
      </c>
      <c r="AI322" s="13"/>
      <c r="AJ322">
        <v>2.7</v>
      </c>
      <c r="AK322" s="8">
        <f>AJ322*D322*3</f>
        <v>26.73</v>
      </c>
      <c r="AL322" s="13"/>
      <c r="AM322">
        <v>31.48</v>
      </c>
      <c r="AN322">
        <v>7</v>
      </c>
      <c r="AO322" s="8">
        <f>AN322*D322*3</f>
        <v>69.3</v>
      </c>
      <c r="AP322">
        <v>14.46</v>
      </c>
      <c r="AQ322">
        <v>10</v>
      </c>
      <c r="AR322">
        <f>AQ322*D322*3</f>
        <v>99</v>
      </c>
      <c r="AT322">
        <v>8.8000000000000007</v>
      </c>
      <c r="AU322">
        <f>AT322*D322*3</f>
        <v>87.12</v>
      </c>
      <c r="AX322">
        <v>9.4</v>
      </c>
      <c r="AY322">
        <f>AX322*D322*3</f>
        <v>93.06</v>
      </c>
      <c r="BA322">
        <v>9</v>
      </c>
      <c r="BB322">
        <f>BA322*D322*3</f>
        <v>89.1</v>
      </c>
      <c r="BD322">
        <v>8.6</v>
      </c>
      <c r="BE322">
        <f>BD322*D322*3</f>
        <v>85.14</v>
      </c>
      <c r="BG322" s="10"/>
      <c r="BH322" s="1">
        <f>CHOOSE(MATCH(MIN(ABS(BP322-C322),ABS(BQ322-C322),ABS(BR322-C322)),CHOOSE({1;2;3},ABS(BP322-C322),ABS(BQ322-C322),ABS(BR322-C322)),0),BP322,BQ322,BR322)</f>
        <v>79.199999999999989</v>
      </c>
      <c r="BJ322" s="1" cm="1">
        <f t="array" ref="BJ322">(INDEX(_xlfn._xlws.SORT(CHOOSE({1;2;3;4;5;6},BQ322,BR322,L322,AE322,BO322,BP322)),3) + INDEX(_xlfn._xlws.SORT(CHOOSE({1;2;3;4;5;6},BQ322,BR322,L322,AE322,BO322,BP322)),4))/2</f>
        <v>79.199999999999989</v>
      </c>
      <c r="BK322">
        <v>6.68899618282639</v>
      </c>
      <c r="BL322" t="s">
        <v>6117</v>
      </c>
      <c r="BM322" s="1">
        <f>BK322*3*D322</f>
        <v>66.221062209981255</v>
      </c>
      <c r="BN322" s="1">
        <f>BM322-C322</f>
        <v>0.22106220998125536</v>
      </c>
      <c r="BO322" s="1">
        <f>GK322*3*D322</f>
        <v>22.274999999999999</v>
      </c>
      <c r="BP322" s="1">
        <f>DO322*3*D322</f>
        <v>89.1</v>
      </c>
      <c r="BQ322" s="1">
        <f>FJ322*3*D322</f>
        <v>79.199999999999989</v>
      </c>
      <c r="BR322" s="1">
        <f>GL322*3*D322</f>
        <v>19.799999999999997</v>
      </c>
      <c r="BT322">
        <v>37.14</v>
      </c>
      <c r="BU322">
        <v>8</v>
      </c>
      <c r="BV322" t="s">
        <v>5355</v>
      </c>
      <c r="BW322" t="s">
        <v>5836</v>
      </c>
      <c r="BX322" t="s">
        <v>5977</v>
      </c>
      <c r="BY322" t="s">
        <v>5978</v>
      </c>
      <c r="BZ322" t="s">
        <v>5979</v>
      </c>
      <c r="CA322" t="s">
        <v>2437</v>
      </c>
      <c r="CC322" t="s">
        <v>2438</v>
      </c>
      <c r="CD322" t="s">
        <v>2439</v>
      </c>
      <c r="CE322" t="s">
        <v>2440</v>
      </c>
      <c r="CG322" t="s">
        <v>2441</v>
      </c>
      <c r="CH322" t="s">
        <v>2442</v>
      </c>
      <c r="CI322" t="s">
        <v>2535</v>
      </c>
      <c r="CK322" t="s">
        <v>2444</v>
      </c>
      <c r="CL322" t="s">
        <v>2445</v>
      </c>
      <c r="CM322" t="s">
        <v>2446</v>
      </c>
      <c r="CO322" t="s">
        <v>2447</v>
      </c>
      <c r="CP322" t="s">
        <v>2448</v>
      </c>
      <c r="CQ322" t="s">
        <v>2666</v>
      </c>
      <c r="CS322" t="s">
        <v>2450</v>
      </c>
      <c r="CT322" t="s">
        <v>2451</v>
      </c>
      <c r="CV322">
        <v>9</v>
      </c>
      <c r="CW322">
        <v>9</v>
      </c>
      <c r="CX322">
        <v>9</v>
      </c>
      <c r="CY322">
        <v>9</v>
      </c>
      <c r="CZ322">
        <v>9</v>
      </c>
      <c r="DA322">
        <v>0.1</v>
      </c>
      <c r="DB322">
        <v>0.1</v>
      </c>
      <c r="DC322">
        <v>0.2</v>
      </c>
      <c r="DD322">
        <v>0.3</v>
      </c>
      <c r="DE322">
        <v>0.3</v>
      </c>
      <c r="DF322">
        <v>0.9</v>
      </c>
      <c r="DG322">
        <v>0.9</v>
      </c>
      <c r="DH322">
        <v>1.8</v>
      </c>
      <c r="DI322">
        <v>2.7</v>
      </c>
      <c r="DJ322">
        <v>2.7</v>
      </c>
      <c r="DK322">
        <v>8</v>
      </c>
      <c r="DL322">
        <v>0</v>
      </c>
      <c r="DM322">
        <v>8</v>
      </c>
      <c r="DN322">
        <v>8.4</v>
      </c>
      <c r="DO322">
        <f>AVERAGE(CV322:CZ322)</f>
        <v>9</v>
      </c>
      <c r="DQ322">
        <v>8</v>
      </c>
      <c r="DR322" t="s">
        <v>33</v>
      </c>
      <c r="DS322" t="s">
        <v>223</v>
      </c>
      <c r="DT322" t="s">
        <v>35</v>
      </c>
      <c r="DU322" t="s">
        <v>36</v>
      </c>
      <c r="DV322" t="s">
        <v>200</v>
      </c>
      <c r="DW322" t="s">
        <v>3788</v>
      </c>
      <c r="DX322" t="s">
        <v>3789</v>
      </c>
      <c r="DY322" t="s">
        <v>3790</v>
      </c>
      <c r="DZ322" t="s">
        <v>3791</v>
      </c>
      <c r="EA322" t="s">
        <v>3792</v>
      </c>
      <c r="EB322" t="s">
        <v>3793</v>
      </c>
      <c r="EC322" t="s">
        <v>4261</v>
      </c>
      <c r="ED322" t="s">
        <v>3795</v>
      </c>
      <c r="EE322" t="s">
        <v>3796</v>
      </c>
      <c r="EF322" t="s">
        <v>3797</v>
      </c>
      <c r="EG322" t="s">
        <v>3798</v>
      </c>
      <c r="EH322" t="s">
        <v>3798</v>
      </c>
      <c r="EI322" t="s">
        <v>3799</v>
      </c>
      <c r="EJ322" t="s">
        <v>3800</v>
      </c>
      <c r="EK322" t="s">
        <v>3801</v>
      </c>
      <c r="EL322" t="s">
        <v>3801</v>
      </c>
      <c r="EM322" t="s">
        <v>4227</v>
      </c>
      <c r="EN322" t="s">
        <v>3803</v>
      </c>
      <c r="EO322" t="s">
        <v>4228</v>
      </c>
      <c r="EP322" t="s">
        <v>4229</v>
      </c>
      <c r="EQ322">
        <v>8</v>
      </c>
      <c r="ER322">
        <v>8</v>
      </c>
      <c r="ES322">
        <v>8</v>
      </c>
      <c r="ET322">
        <v>8</v>
      </c>
      <c r="EU322">
        <v>8</v>
      </c>
      <c r="EV322">
        <v>0.1</v>
      </c>
      <c r="EW322">
        <v>0.1</v>
      </c>
      <c r="EX322">
        <v>0.2</v>
      </c>
      <c r="EY322">
        <v>0.3</v>
      </c>
      <c r="EZ322">
        <v>0.3</v>
      </c>
      <c r="FA322">
        <f>EV322*EQ322</f>
        <v>0.8</v>
      </c>
      <c r="FB322">
        <f>EW322*ER322</f>
        <v>0.8</v>
      </c>
      <c r="FC322">
        <f>EX322*ES322</f>
        <v>1.6</v>
      </c>
      <c r="FD322">
        <f>EY322*ET322</f>
        <v>2.4</v>
      </c>
      <c r="FE322">
        <f>EZ322*EU322</f>
        <v>2.4</v>
      </c>
      <c r="FF322">
        <v>17</v>
      </c>
      <c r="FG322">
        <v>0</v>
      </c>
      <c r="FH322">
        <v>8</v>
      </c>
      <c r="FI322">
        <f>FA322+FB322+FC322+FD322+FE322</f>
        <v>8</v>
      </c>
      <c r="FJ322">
        <f>MEDIAN(EQ322:EU322)</f>
        <v>8</v>
      </c>
      <c r="FL322">
        <v>71.88</v>
      </c>
      <c r="FM322">
        <v>8.5</v>
      </c>
      <c r="FN322" t="s">
        <v>2123</v>
      </c>
      <c r="FO322" t="s">
        <v>2124</v>
      </c>
      <c r="FP322" t="s">
        <v>2125</v>
      </c>
      <c r="FQ322" t="s">
        <v>2126</v>
      </c>
      <c r="FR322" t="s">
        <v>2127</v>
      </c>
      <c r="FS322">
        <v>1</v>
      </c>
      <c r="FT322">
        <v>1</v>
      </c>
      <c r="FU322">
        <v>2</v>
      </c>
      <c r="FV322">
        <v>3</v>
      </c>
      <c r="FW322">
        <v>2.5</v>
      </c>
      <c r="FX322">
        <v>0.1</v>
      </c>
      <c r="FY322">
        <v>0.1</v>
      </c>
      <c r="FZ322">
        <v>0.2</v>
      </c>
      <c r="GA322">
        <v>0.3</v>
      </c>
      <c r="GB322">
        <v>0.3</v>
      </c>
      <c r="GC322">
        <f>FS322*FX322</f>
        <v>0.1</v>
      </c>
      <c r="GD322">
        <f>FT322*FY322</f>
        <v>0.1</v>
      </c>
      <c r="GE322">
        <f>FU322*FZ322</f>
        <v>0.4</v>
      </c>
      <c r="GF322">
        <f>FV322*GA322</f>
        <v>0.89999999999999991</v>
      </c>
      <c r="GG322">
        <f>FW322*GB322</f>
        <v>0.75</v>
      </c>
      <c r="GH322">
        <v>8.5</v>
      </c>
      <c r="GI322">
        <v>0</v>
      </c>
      <c r="GJ322">
        <v>8.5</v>
      </c>
      <c r="GK322">
        <f>GC322+GD322+GE322+GF322+GG322</f>
        <v>2.25</v>
      </c>
      <c r="GL322">
        <f>MEDIAN(FS322:FW322)</f>
        <v>2</v>
      </c>
    </row>
    <row r="323" spans="1:194" hidden="1" x14ac:dyDescent="0.25">
      <c r="A323">
        <v>322</v>
      </c>
      <c r="B323" t="s">
        <v>2</v>
      </c>
      <c r="C323" s="4">
        <v>69.75</v>
      </c>
      <c r="D323">
        <v>3.1</v>
      </c>
      <c r="E323" s="1">
        <f>C323/3/D323</f>
        <v>7.5</v>
      </c>
      <c r="G323">
        <v>36.47</v>
      </c>
      <c r="H323">
        <v>8.1999999999999993</v>
      </c>
      <c r="I323">
        <f>H323*D323*3</f>
        <v>76.259999999999991</v>
      </c>
      <c r="J323">
        <v>17.68</v>
      </c>
      <c r="K323">
        <v>8.4</v>
      </c>
      <c r="L323" s="3">
        <f>K323*3*D323</f>
        <v>78.12</v>
      </c>
      <c r="M323">
        <v>5.79</v>
      </c>
      <c r="N323">
        <v>6.5</v>
      </c>
      <c r="O323">
        <f>N323*D323*3</f>
        <v>60.45</v>
      </c>
      <c r="P323" s="5">
        <v>7.4</v>
      </c>
      <c r="Q323" s="5">
        <f>P323*D323*3</f>
        <v>68.820000000000007</v>
      </c>
      <c r="S323" t="s">
        <v>6447</v>
      </c>
      <c r="T323">
        <v>5.3</v>
      </c>
      <c r="U323" s="8">
        <f>T323*D323*3</f>
        <v>49.29</v>
      </c>
      <c r="V323">
        <v>38.78</v>
      </c>
      <c r="W323">
        <v>9</v>
      </c>
      <c r="X323" s="5">
        <f>W323*D323*3</f>
        <v>83.7</v>
      </c>
      <c r="Y323">
        <v>9.36</v>
      </c>
      <c r="Z323">
        <v>7</v>
      </c>
      <c r="AA323">
        <f>Z323*D323*3</f>
        <v>65.099999999999994</v>
      </c>
      <c r="AC323">
        <v>138.03</v>
      </c>
      <c r="AD323">
        <v>8</v>
      </c>
      <c r="AE323" s="1">
        <f>AD323*3*D323</f>
        <v>74.400000000000006</v>
      </c>
      <c r="AF323">
        <v>9.52</v>
      </c>
      <c r="AH323" s="5">
        <f>AG323*D323*3</f>
        <v>0</v>
      </c>
      <c r="AI323" s="13"/>
      <c r="AJ323">
        <v>8.1999999999999993</v>
      </c>
      <c r="AK323" s="8">
        <f>AJ323*D323*3</f>
        <v>76.259999999999991</v>
      </c>
      <c r="AL323" s="13"/>
      <c r="AM323">
        <v>31.4</v>
      </c>
      <c r="AN323">
        <v>7.5</v>
      </c>
      <c r="AO323" s="8">
        <f>AN323*D323*3</f>
        <v>69.75</v>
      </c>
      <c r="AP323">
        <v>15.44</v>
      </c>
      <c r="AQ323">
        <v>10</v>
      </c>
      <c r="AR323">
        <f>AQ323*D323*3</f>
        <v>93</v>
      </c>
      <c r="AT323">
        <v>8.6</v>
      </c>
      <c r="AU323">
        <f>AT323*D323*3</f>
        <v>79.98</v>
      </c>
      <c r="AX323">
        <v>9.5</v>
      </c>
      <c r="AY323">
        <f>AX323*D323*3</f>
        <v>88.35</v>
      </c>
      <c r="BA323">
        <v>9</v>
      </c>
      <c r="BB323">
        <f>BA323*D323*3</f>
        <v>83.7</v>
      </c>
      <c r="BD323">
        <v>8.9</v>
      </c>
      <c r="BE323">
        <f>BD323*D323*3</f>
        <v>82.77000000000001</v>
      </c>
      <c r="BG323" s="10"/>
      <c r="BH323" s="1">
        <f>CHOOSE(MATCH(MIN(ABS(BP323-C323),ABS(BQ323-C323),ABS(BR323-C323)),CHOOSE({1;2;3},ABS(BP323-C323),ABS(BQ323-C323),ABS(BR323-C323)),0),BP323,BQ323,BR323)</f>
        <v>74.400000000000006</v>
      </c>
      <c r="BJ323" s="1" cm="1">
        <f t="array" ref="BJ323">(INDEX(_xlfn._xlws.SORT(CHOOSE({1;2;3;4;5;6},BQ323,BR323,L323,AE323,BO323,BP323)),3) + INDEX(_xlfn._xlws.SORT(CHOOSE({1;2;3;4;5;6},BQ323,BR323,L323,AE323,BO323,BP323)),4))/2</f>
        <v>74.400000000000006</v>
      </c>
      <c r="BK323">
        <v>7.4626235519513902</v>
      </c>
      <c r="BL323" t="s">
        <v>6117</v>
      </c>
      <c r="BM323" s="1">
        <f>BK323*3*D323</f>
        <v>69.40239903314793</v>
      </c>
      <c r="BN323" s="1">
        <f>BM323-C323</f>
        <v>-0.34760096685207031</v>
      </c>
      <c r="BO323" s="1">
        <f>GK323*3*D323</f>
        <v>73.00500000000001</v>
      </c>
      <c r="BP323" s="1">
        <f>DO323*3*D323</f>
        <v>83.7</v>
      </c>
      <c r="BQ323" s="1">
        <f>FJ323*3*D323</f>
        <v>74.400000000000006</v>
      </c>
      <c r="BR323" s="1">
        <f>GL323*3*D323</f>
        <v>74.400000000000006</v>
      </c>
      <c r="BT323">
        <v>36.47</v>
      </c>
      <c r="BU323">
        <v>8.1999999999999993</v>
      </c>
      <c r="BV323" t="s">
        <v>5980</v>
      </c>
      <c r="BW323" t="s">
        <v>5524</v>
      </c>
      <c r="BX323" t="s">
        <v>5981</v>
      </c>
      <c r="BY323" t="s">
        <v>5982</v>
      </c>
      <c r="BZ323" t="s">
        <v>5031</v>
      </c>
      <c r="CA323" t="s">
        <v>2437</v>
      </c>
      <c r="CC323" t="s">
        <v>2548</v>
      </c>
      <c r="CD323" t="s">
        <v>2508</v>
      </c>
      <c r="CE323" t="s">
        <v>2440</v>
      </c>
      <c r="CG323" t="s">
        <v>2509</v>
      </c>
      <c r="CH323" t="s">
        <v>2510</v>
      </c>
      <c r="CI323" t="s">
        <v>2443</v>
      </c>
      <c r="CK323" t="s">
        <v>2655</v>
      </c>
      <c r="CL323" t="s">
        <v>2512</v>
      </c>
      <c r="CM323" t="s">
        <v>2446</v>
      </c>
      <c r="CO323" t="s">
        <v>2549</v>
      </c>
      <c r="CP323" t="s">
        <v>2514</v>
      </c>
      <c r="CQ323" t="s">
        <v>2449</v>
      </c>
      <c r="CS323" t="s">
        <v>2523</v>
      </c>
      <c r="CT323" t="s">
        <v>2524</v>
      </c>
      <c r="CV323">
        <v>9</v>
      </c>
      <c r="CW323">
        <v>9</v>
      </c>
      <c r="CX323">
        <v>9</v>
      </c>
      <c r="CY323">
        <v>9</v>
      </c>
      <c r="CZ323">
        <v>9</v>
      </c>
      <c r="DA323">
        <v>0.1</v>
      </c>
      <c r="DB323">
        <v>0.1</v>
      </c>
      <c r="DC323">
        <v>0.2</v>
      </c>
      <c r="DD323">
        <v>0.3</v>
      </c>
      <c r="DE323">
        <v>0.3</v>
      </c>
      <c r="DF323">
        <v>0.9</v>
      </c>
      <c r="DG323">
        <v>0.9</v>
      </c>
      <c r="DH323">
        <v>1.8</v>
      </c>
      <c r="DI323">
        <v>2.7</v>
      </c>
      <c r="DJ323">
        <v>2.7</v>
      </c>
      <c r="DK323">
        <v>8.1999999999999993</v>
      </c>
      <c r="DL323">
        <v>0</v>
      </c>
      <c r="DM323">
        <v>8.1999999999999993</v>
      </c>
      <c r="DN323">
        <v>8.4</v>
      </c>
      <c r="DO323">
        <f>AVERAGE(CV323:CZ323)</f>
        <v>9</v>
      </c>
      <c r="DQ323" t="s">
        <v>27</v>
      </c>
      <c r="DR323" t="s">
        <v>33</v>
      </c>
      <c r="DS323" t="s">
        <v>86</v>
      </c>
      <c r="DT323" t="s">
        <v>287</v>
      </c>
      <c r="DU323" t="s">
        <v>288</v>
      </c>
      <c r="DV323" t="s">
        <v>289</v>
      </c>
      <c r="DW323" t="s">
        <v>3788</v>
      </c>
      <c r="DX323" t="s">
        <v>3789</v>
      </c>
      <c r="DY323" t="s">
        <v>3790</v>
      </c>
      <c r="DZ323" t="s">
        <v>3992</v>
      </c>
      <c r="EA323" t="s">
        <v>3952</v>
      </c>
      <c r="EB323" t="s">
        <v>3953</v>
      </c>
      <c r="EC323" t="s">
        <v>4449</v>
      </c>
      <c r="ED323" t="s">
        <v>3992</v>
      </c>
      <c r="EE323" t="s">
        <v>4450</v>
      </c>
      <c r="EF323" t="s">
        <v>4451</v>
      </c>
      <c r="EG323" t="s">
        <v>4452</v>
      </c>
      <c r="EH323" t="s">
        <v>3992</v>
      </c>
      <c r="EI323" t="s">
        <v>4453</v>
      </c>
      <c r="EJ323" t="s">
        <v>4454</v>
      </c>
      <c r="EK323" t="s">
        <v>4455</v>
      </c>
      <c r="EL323" t="s">
        <v>3992</v>
      </c>
      <c r="EM323" t="s">
        <v>4456</v>
      </c>
      <c r="EN323" t="s">
        <v>4457</v>
      </c>
      <c r="EO323" t="s">
        <v>4458</v>
      </c>
      <c r="EP323" t="s">
        <v>3992</v>
      </c>
      <c r="EQ323">
        <v>8</v>
      </c>
      <c r="ER323">
        <v>8</v>
      </c>
      <c r="ES323">
        <v>8</v>
      </c>
      <c r="ET323">
        <v>8</v>
      </c>
      <c r="EU323">
        <v>8</v>
      </c>
      <c r="EV323">
        <v>0.1</v>
      </c>
      <c r="EW323">
        <v>0.1</v>
      </c>
      <c r="EX323">
        <v>0.2</v>
      </c>
      <c r="EY323">
        <v>0.3</v>
      </c>
      <c r="EZ323">
        <v>0.3</v>
      </c>
      <c r="FA323">
        <f>EV323*EQ323</f>
        <v>0.8</v>
      </c>
      <c r="FB323">
        <f>EW323*ER323</f>
        <v>0.8</v>
      </c>
      <c r="FC323">
        <f>EX323*ES323</f>
        <v>1.6</v>
      </c>
      <c r="FD323">
        <f>EY323*ET323</f>
        <v>2.4</v>
      </c>
      <c r="FE323">
        <f>EZ323*EU323</f>
        <v>2.4</v>
      </c>
      <c r="FF323">
        <v>16</v>
      </c>
      <c r="FG323">
        <v>0</v>
      </c>
      <c r="FH323">
        <v>8</v>
      </c>
      <c r="FI323">
        <f>FA323+FB323+FC323+FD323+FE323</f>
        <v>8</v>
      </c>
      <c r="FJ323">
        <f>MEDIAN(EQ323:EU323)</f>
        <v>8</v>
      </c>
      <c r="FL323">
        <v>46.57</v>
      </c>
      <c r="FM323">
        <v>8.4</v>
      </c>
      <c r="FN323" t="s">
        <v>2128</v>
      </c>
      <c r="FO323" t="s">
        <v>2129</v>
      </c>
      <c r="FP323" t="s">
        <v>2130</v>
      </c>
      <c r="FQ323" t="s">
        <v>2131</v>
      </c>
      <c r="FR323" t="s">
        <v>2132</v>
      </c>
      <c r="FS323">
        <v>8</v>
      </c>
      <c r="FT323">
        <v>7.5</v>
      </c>
      <c r="FU323">
        <v>9</v>
      </c>
      <c r="FV323">
        <v>8.5</v>
      </c>
      <c r="FW323">
        <v>6.5</v>
      </c>
      <c r="FX323">
        <v>0.1</v>
      </c>
      <c r="FY323">
        <v>0.1</v>
      </c>
      <c r="FZ323">
        <v>0.2</v>
      </c>
      <c r="GA323">
        <v>0.3</v>
      </c>
      <c r="GB323">
        <v>0.3</v>
      </c>
      <c r="GC323">
        <f>FS323*FX323</f>
        <v>0.8</v>
      </c>
      <c r="GD323">
        <f>FT323*FY323</f>
        <v>0.75</v>
      </c>
      <c r="GE323">
        <f>FU323*FZ323</f>
        <v>1.8</v>
      </c>
      <c r="GF323">
        <f>FV323*GA323</f>
        <v>2.5499999999999998</v>
      </c>
      <c r="GG323">
        <f>FW323*GB323</f>
        <v>1.95</v>
      </c>
      <c r="GH323">
        <v>8.4</v>
      </c>
      <c r="GI323">
        <v>0</v>
      </c>
      <c r="GJ323">
        <v>8.4</v>
      </c>
      <c r="GK323">
        <f>GC323+GD323+GE323+GF323+GG323</f>
        <v>7.8500000000000005</v>
      </c>
      <c r="GL323">
        <f>MEDIAN(FS323:FW323)</f>
        <v>8</v>
      </c>
    </row>
    <row r="324" spans="1:194" x14ac:dyDescent="0.25">
      <c r="A324">
        <v>366</v>
      </c>
      <c r="B324" t="s">
        <v>2</v>
      </c>
      <c r="C324" s="4">
        <v>64.349999999999994</v>
      </c>
      <c r="D324">
        <v>3.3</v>
      </c>
      <c r="E324" s="1">
        <f>C324/3/D324</f>
        <v>6.5</v>
      </c>
      <c r="G324">
        <v>40.21</v>
      </c>
      <c r="H324">
        <v>7.4</v>
      </c>
      <c r="I324">
        <f>H324*D324*3</f>
        <v>73.259999999999991</v>
      </c>
      <c r="J324">
        <v>16.739999999999998</v>
      </c>
      <c r="K324">
        <v>8.4</v>
      </c>
      <c r="L324" s="3">
        <f>K324*3*D324</f>
        <v>83.160000000000011</v>
      </c>
      <c r="M324">
        <v>5.0599999999999996</v>
      </c>
      <c r="N324">
        <v>5</v>
      </c>
      <c r="O324">
        <f>N324*D324*3</f>
        <v>49.5</v>
      </c>
      <c r="P324" s="5">
        <v>8.9</v>
      </c>
      <c r="Q324" s="5">
        <f>P324*D324*3</f>
        <v>88.11</v>
      </c>
      <c r="S324" t="s">
        <v>6485</v>
      </c>
      <c r="T324">
        <v>7.5</v>
      </c>
      <c r="U324" s="8">
        <f>T324*D324*3</f>
        <v>74.25</v>
      </c>
      <c r="V324">
        <v>31.54</v>
      </c>
      <c r="W324">
        <v>8.6</v>
      </c>
      <c r="X324" s="5">
        <f>W324*D324*3</f>
        <v>85.14</v>
      </c>
      <c r="Y324">
        <v>11.6</v>
      </c>
      <c r="Z324">
        <v>7.8</v>
      </c>
      <c r="AA324">
        <f>Z324*D324*3</f>
        <v>77.22</v>
      </c>
      <c r="AC324">
        <v>137.38999999999999</v>
      </c>
      <c r="AD324">
        <v>7.9</v>
      </c>
      <c r="AE324" s="1">
        <f>AD324*3*D324</f>
        <v>78.210000000000008</v>
      </c>
      <c r="AF324">
        <v>11.89</v>
      </c>
      <c r="AG324" s="5">
        <v>7</v>
      </c>
      <c r="AH324" s="5">
        <f>AG324*D324*3</f>
        <v>69.3</v>
      </c>
      <c r="AI324" s="13"/>
      <c r="AJ324">
        <v>31.5</v>
      </c>
      <c r="AK324" s="8">
        <f>AJ324*D324*3</f>
        <v>311.84999999999997</v>
      </c>
      <c r="AL324" s="13"/>
      <c r="AM324">
        <v>31.54</v>
      </c>
      <c r="AN324">
        <v>7.6</v>
      </c>
      <c r="AO324" s="8">
        <f>AN324*D324*3</f>
        <v>75.239999999999995</v>
      </c>
      <c r="AP324">
        <v>12.14</v>
      </c>
      <c r="AQ324">
        <v>10</v>
      </c>
      <c r="AR324">
        <f>AQ324*D324*3</f>
        <v>99</v>
      </c>
      <c r="AT324">
        <v>8.8000000000000007</v>
      </c>
      <c r="AU324">
        <f>AT324*D324*3</f>
        <v>87.12</v>
      </c>
      <c r="AX324">
        <v>9.4</v>
      </c>
      <c r="AY324">
        <f>AX324*D324*3</f>
        <v>93.06</v>
      </c>
      <c r="BA324">
        <v>9</v>
      </c>
      <c r="BB324">
        <f>BA324*D324*3</f>
        <v>89.1</v>
      </c>
      <c r="BC324">
        <v>28.77</v>
      </c>
      <c r="BD324">
        <v>8.9</v>
      </c>
      <c r="BE324">
        <f>BD324*D324*3</f>
        <v>88.11</v>
      </c>
      <c r="BG324" s="10"/>
      <c r="BH324" s="1">
        <f>CHOOSE(MATCH(MIN(ABS(BP324-C324),ABS(BQ324-C324),ABS(BR324-C324)),CHOOSE({1;2;3},ABS(BP324-C324),ABS(BQ324-C324),ABS(BR324-C324)),0),BP324,BQ324,BR324)</f>
        <v>77.219999999999985</v>
      </c>
      <c r="BJ324" s="1" cm="1">
        <f t="array" ref="BJ324">(INDEX(_xlfn._xlws.SORT(CHOOSE({1;2;3;4;5;6},BQ324,BR324,L324,AE324,BO324,BP324)),3) + INDEX(_xlfn._xlws.SORT(CHOOSE({1;2;3;4;5;6},BQ324,BR324,L324,AE324,BO324,BP324)),4))/2</f>
        <v>78.704999999999998</v>
      </c>
      <c r="BK324">
        <v>7.7420460081158504</v>
      </c>
      <c r="BL324" s="11" t="s">
        <v>6116</v>
      </c>
      <c r="BM324" s="1">
        <f>BK324*3*D324</f>
        <v>76.646255480346923</v>
      </c>
      <c r="BN324" s="1">
        <f>BM324-C324</f>
        <v>12.296255480346929</v>
      </c>
      <c r="BO324" s="1">
        <f>GK324*3*D324</f>
        <v>73.259999999999991</v>
      </c>
      <c r="BP324" s="1">
        <f>DO324*3*D324</f>
        <v>77.219999999999985</v>
      </c>
      <c r="BQ324" s="1">
        <f>FJ324*3*D324</f>
        <v>79.199999999999989</v>
      </c>
      <c r="BR324" s="1">
        <f>GL324*3*D324</f>
        <v>79.199999999999989</v>
      </c>
      <c r="BT324">
        <v>40.21</v>
      </c>
      <c r="BU324">
        <v>7.4</v>
      </c>
      <c r="BV324" t="s">
        <v>5449</v>
      </c>
      <c r="BW324" t="s">
        <v>5056</v>
      </c>
      <c r="BX324" t="s">
        <v>6080</v>
      </c>
      <c r="BY324" t="s">
        <v>6081</v>
      </c>
      <c r="BZ324" t="s">
        <v>5059</v>
      </c>
      <c r="CA324" t="s">
        <v>2437</v>
      </c>
      <c r="CC324" t="s">
        <v>2438</v>
      </c>
      <c r="CD324" t="s">
        <v>2439</v>
      </c>
      <c r="CE324" t="s">
        <v>2440</v>
      </c>
      <c r="CG324" t="s">
        <v>2647</v>
      </c>
      <c r="CH324" t="s">
        <v>2648</v>
      </c>
      <c r="CI324" t="s">
        <v>2535</v>
      </c>
      <c r="CJ324" t="s">
        <v>2427</v>
      </c>
      <c r="CK324" t="s">
        <v>3004</v>
      </c>
      <c r="CL324" t="s">
        <v>3005</v>
      </c>
      <c r="CM324" t="s">
        <v>2658</v>
      </c>
      <c r="CN324" t="s">
        <v>2659</v>
      </c>
      <c r="CO324" t="s">
        <v>3379</v>
      </c>
      <c r="CP324" t="s">
        <v>3380</v>
      </c>
      <c r="CQ324" t="s">
        <v>2662</v>
      </c>
      <c r="CR324" t="s">
        <v>2663</v>
      </c>
      <c r="CS324" t="s">
        <v>3381</v>
      </c>
      <c r="CT324" t="s">
        <v>3382</v>
      </c>
      <c r="CV324">
        <v>9</v>
      </c>
      <c r="CW324">
        <v>9</v>
      </c>
      <c r="CX324">
        <v>7</v>
      </c>
      <c r="CY324">
        <v>8</v>
      </c>
      <c r="CZ324">
        <v>6</v>
      </c>
      <c r="DA324">
        <v>0.1</v>
      </c>
      <c r="DB324">
        <v>0.1</v>
      </c>
      <c r="DC324">
        <v>0.2</v>
      </c>
      <c r="DD324">
        <v>0.3</v>
      </c>
      <c r="DE324">
        <v>0.3</v>
      </c>
      <c r="DF324">
        <v>0.9</v>
      </c>
      <c r="DG324">
        <v>0.9</v>
      </c>
      <c r="DH324">
        <v>1.4</v>
      </c>
      <c r="DI324">
        <v>2.4</v>
      </c>
      <c r="DJ324">
        <v>1.8</v>
      </c>
      <c r="DK324">
        <v>7.4</v>
      </c>
      <c r="DL324">
        <v>0</v>
      </c>
      <c r="DM324">
        <v>7.4</v>
      </c>
      <c r="DN324">
        <v>8.4</v>
      </c>
      <c r="DO324">
        <f>AVERAGE(CV324:CZ324)</f>
        <v>7.8</v>
      </c>
      <c r="DQ324">
        <v>8</v>
      </c>
      <c r="DR324" t="s">
        <v>28</v>
      </c>
      <c r="DS324" t="s">
        <v>43</v>
      </c>
      <c r="DT324" t="s">
        <v>227</v>
      </c>
      <c r="DU324" t="s">
        <v>228</v>
      </c>
      <c r="DV324" t="s">
        <v>229</v>
      </c>
      <c r="DW324" t="s">
        <v>3769</v>
      </c>
      <c r="DX324" t="s">
        <v>3770</v>
      </c>
      <c r="DY324" t="s">
        <v>3771</v>
      </c>
      <c r="DZ324" t="s">
        <v>3772</v>
      </c>
      <c r="EA324" t="s">
        <v>3806</v>
      </c>
      <c r="EB324" t="s">
        <v>3807</v>
      </c>
      <c r="EC324" t="s">
        <v>3775</v>
      </c>
      <c r="ED324" t="s">
        <v>3776</v>
      </c>
      <c r="EE324" t="s">
        <v>4240</v>
      </c>
      <c r="EF324" t="s">
        <v>3809</v>
      </c>
      <c r="EG324" t="s">
        <v>3810</v>
      </c>
      <c r="EH324" t="s">
        <v>3811</v>
      </c>
      <c r="EI324" t="s">
        <v>4468</v>
      </c>
      <c r="EJ324" t="s">
        <v>3813</v>
      </c>
      <c r="EK324" t="s">
        <v>4469</v>
      </c>
      <c r="EL324" t="s">
        <v>3815</v>
      </c>
      <c r="EM324" t="s">
        <v>4470</v>
      </c>
      <c r="EN324" t="s">
        <v>3809</v>
      </c>
      <c r="EO324" t="s">
        <v>4471</v>
      </c>
      <c r="EP324" t="s">
        <v>3818</v>
      </c>
      <c r="EQ324">
        <v>7</v>
      </c>
      <c r="ER324">
        <v>8</v>
      </c>
      <c r="ES324">
        <v>8</v>
      </c>
      <c r="ET324">
        <v>8</v>
      </c>
      <c r="EU324">
        <v>8</v>
      </c>
      <c r="EV324">
        <v>0.1</v>
      </c>
      <c r="EW324">
        <v>0.1</v>
      </c>
      <c r="EX324">
        <v>0.2</v>
      </c>
      <c r="EY324">
        <v>0.3</v>
      </c>
      <c r="EZ324">
        <v>0.3</v>
      </c>
      <c r="FA324">
        <f>EV324*EQ324</f>
        <v>0.70000000000000007</v>
      </c>
      <c r="FB324">
        <f>EW324*ER324</f>
        <v>0.8</v>
      </c>
      <c r="FC324">
        <f>EX324*ES324</f>
        <v>1.6</v>
      </c>
      <c r="FD324">
        <f>EY324*ET324</f>
        <v>2.4</v>
      </c>
      <c r="FE324">
        <f>EZ324*EU324</f>
        <v>2.4</v>
      </c>
      <c r="FF324">
        <v>15</v>
      </c>
      <c r="FG324">
        <v>0</v>
      </c>
      <c r="FH324">
        <v>15</v>
      </c>
      <c r="FI324">
        <f>FA324+FB324+FC324+FD324+FE324</f>
        <v>7.9</v>
      </c>
      <c r="FJ324">
        <f>MEDIAN(EQ324:EU324)</f>
        <v>8</v>
      </c>
      <c r="FL324">
        <v>45.26</v>
      </c>
      <c r="FM324">
        <v>8.4</v>
      </c>
      <c r="FN324" t="s">
        <v>2338</v>
      </c>
      <c r="FO324" t="s">
        <v>2339</v>
      </c>
      <c r="FP324" t="s">
        <v>2340</v>
      </c>
      <c r="FQ324" t="s">
        <v>2341</v>
      </c>
      <c r="FR324" t="s">
        <v>2342</v>
      </c>
      <c r="FS324">
        <v>10</v>
      </c>
      <c r="FT324">
        <v>9</v>
      </c>
      <c r="FU324">
        <v>8</v>
      </c>
      <c r="FV324">
        <v>7</v>
      </c>
      <c r="FW324">
        <v>6</v>
      </c>
      <c r="FX324">
        <v>0.1</v>
      </c>
      <c r="FY324">
        <v>0.1</v>
      </c>
      <c r="FZ324">
        <v>0.2</v>
      </c>
      <c r="GA324">
        <v>0.3</v>
      </c>
      <c r="GB324">
        <v>0.3</v>
      </c>
      <c r="GC324">
        <f>FS324*FX324</f>
        <v>1</v>
      </c>
      <c r="GD324">
        <f>FT324*FY324</f>
        <v>0.9</v>
      </c>
      <c r="GE324">
        <f>FU324*FZ324</f>
        <v>1.6</v>
      </c>
      <c r="GF324">
        <f>FV324*GA324</f>
        <v>2.1</v>
      </c>
      <c r="GG324">
        <f>FW324*GB324</f>
        <v>1.7999999999999998</v>
      </c>
      <c r="GH324">
        <v>8.4</v>
      </c>
      <c r="GJ324">
        <v>8.4</v>
      </c>
      <c r="GK324">
        <f>GC324+GD324+GE324+GF324+GG324</f>
        <v>7.3999999999999995</v>
      </c>
      <c r="GL324">
        <f>MEDIAN(FS324:FW324)</f>
        <v>8</v>
      </c>
    </row>
    <row r="325" spans="1:194" x14ac:dyDescent="0.25">
      <c r="A325">
        <v>188</v>
      </c>
      <c r="B325" t="s">
        <v>2</v>
      </c>
      <c r="C325" s="4">
        <v>77.400000000000006</v>
      </c>
      <c r="D325">
        <v>3.6</v>
      </c>
      <c r="E325" s="1">
        <f>C325/3/D325</f>
        <v>7.166666666666667</v>
      </c>
      <c r="G325">
        <v>36.75</v>
      </c>
      <c r="H325">
        <v>8</v>
      </c>
      <c r="I325">
        <f>H325*D325*3</f>
        <v>86.4</v>
      </c>
      <c r="J325">
        <v>14.54</v>
      </c>
      <c r="K325">
        <v>9</v>
      </c>
      <c r="L325" s="3">
        <f>K325*3*D325</f>
        <v>97.2</v>
      </c>
      <c r="M325">
        <v>16.64</v>
      </c>
      <c r="O325">
        <f>N325*D325*3</f>
        <v>0</v>
      </c>
      <c r="P325" s="5">
        <v>9</v>
      </c>
      <c r="Q325" s="5">
        <f>P325*D325*3</f>
        <v>97.199999999999989</v>
      </c>
      <c r="S325" t="s">
        <v>6320</v>
      </c>
      <c r="T325">
        <v>4.0999999999999996</v>
      </c>
      <c r="U325" s="8">
        <f>T325*D325*3</f>
        <v>44.28</v>
      </c>
      <c r="V325">
        <v>31.27</v>
      </c>
      <c r="W325">
        <v>8.6999999999999993</v>
      </c>
      <c r="X325" s="5">
        <f>W325*D325*3</f>
        <v>93.96</v>
      </c>
      <c r="Y325">
        <v>10.95</v>
      </c>
      <c r="Z325">
        <v>7.6</v>
      </c>
      <c r="AA325">
        <f>Z325*D325*3</f>
        <v>82.08</v>
      </c>
      <c r="AC325">
        <v>48.12</v>
      </c>
      <c r="AD325">
        <v>8</v>
      </c>
      <c r="AE325" s="1">
        <f>AD325*3*D325</f>
        <v>86.4</v>
      </c>
      <c r="AF325">
        <v>12.31</v>
      </c>
      <c r="AG325" s="5">
        <v>7</v>
      </c>
      <c r="AH325" s="5">
        <f>AG325*D325*3</f>
        <v>75.599999999999994</v>
      </c>
      <c r="AI325" s="13"/>
      <c r="AJ325">
        <v>7.2</v>
      </c>
      <c r="AK325" s="8">
        <f>AJ325*D325*3</f>
        <v>77.760000000000005</v>
      </c>
      <c r="AL325" s="13"/>
      <c r="AM325">
        <v>30.31</v>
      </c>
      <c r="AN325">
        <v>7</v>
      </c>
      <c r="AO325" s="8">
        <f>AN325*D325*3</f>
        <v>75.599999999999994</v>
      </c>
      <c r="AP325">
        <v>14.81</v>
      </c>
      <c r="AQ325">
        <v>9.5</v>
      </c>
      <c r="AR325">
        <f>AQ325*D325*3</f>
        <v>102.60000000000001</v>
      </c>
      <c r="AT325">
        <v>8.6</v>
      </c>
      <c r="AU325">
        <f>AT325*D325*3</f>
        <v>92.88</v>
      </c>
      <c r="AW325">
        <v>24.22</v>
      </c>
      <c r="AX325">
        <v>9.1</v>
      </c>
      <c r="AY325">
        <f>AX325*D325*3</f>
        <v>98.28</v>
      </c>
      <c r="AZ325">
        <v>24.22</v>
      </c>
      <c r="BA325">
        <v>9.1</v>
      </c>
      <c r="BB325">
        <f>BA325*D325*3</f>
        <v>98.28</v>
      </c>
      <c r="BD325">
        <v>9</v>
      </c>
      <c r="BE325">
        <f>BD325*D325*3</f>
        <v>97.199999999999989</v>
      </c>
      <c r="BG325" s="10"/>
      <c r="BH325" s="1">
        <f>CHOOSE(MATCH(MIN(ABS(BP325-C325),ABS(BQ325-C325),ABS(BR325-C325)),CHOOSE({1;2;3},ABS(BP325-C325),ABS(BQ325-C325),ABS(BR325-C325)),0),BP325,BQ325,BR325)</f>
        <v>86.4</v>
      </c>
      <c r="BJ325" s="1" cm="1">
        <f t="array" ref="BJ325">(INDEX(_xlfn._xlws.SORT(CHOOSE({1;2;3;4;5;6},BQ325,BR325,L325,AE325,BO325,BP325)),3) + INDEX(_xlfn._xlws.SORT(CHOOSE({1;2;3;4;5;6},BQ325,BR325,L325,AE325,BO325,BP325)),4))/2</f>
        <v>86.4</v>
      </c>
      <c r="BK325">
        <v>8.3508301409040495</v>
      </c>
      <c r="BL325" s="11" t="s">
        <v>6116</v>
      </c>
      <c r="BM325" s="1">
        <f>BK325*3*D325</f>
        <v>90.188965521763734</v>
      </c>
      <c r="BN325" s="1">
        <f>BM325-C325</f>
        <v>12.788965521763728</v>
      </c>
      <c r="BO325" s="1">
        <f>GK325*3*D325</f>
        <v>49.140000000000008</v>
      </c>
      <c r="BP325" s="1">
        <f>DO325*3*D325</f>
        <v>97.2</v>
      </c>
      <c r="BQ325" s="1">
        <f>FJ325*3*D325</f>
        <v>86.4</v>
      </c>
      <c r="BR325" s="1">
        <f>GL325*3*D325</f>
        <v>54</v>
      </c>
      <c r="BT325">
        <v>36.75</v>
      </c>
      <c r="BU325">
        <v>8</v>
      </c>
      <c r="BV325" t="s">
        <v>5607</v>
      </c>
      <c r="BW325" t="s">
        <v>5608</v>
      </c>
      <c r="BX325" t="s">
        <v>5609</v>
      </c>
      <c r="BY325" t="s">
        <v>5610</v>
      </c>
      <c r="BZ325" t="s">
        <v>5611</v>
      </c>
      <c r="CA325" t="s">
        <v>2437</v>
      </c>
      <c r="CC325" t="s">
        <v>2438</v>
      </c>
      <c r="CD325" t="s">
        <v>2439</v>
      </c>
      <c r="CE325" t="s">
        <v>2440</v>
      </c>
      <c r="CG325" t="s">
        <v>2441</v>
      </c>
      <c r="CH325" t="s">
        <v>2442</v>
      </c>
      <c r="CI325" t="s">
        <v>2535</v>
      </c>
      <c r="CK325" t="s">
        <v>2444</v>
      </c>
      <c r="CL325" t="s">
        <v>2445</v>
      </c>
      <c r="CM325" t="s">
        <v>2446</v>
      </c>
      <c r="CO325" t="s">
        <v>2447</v>
      </c>
      <c r="CP325" t="s">
        <v>2448</v>
      </c>
      <c r="CQ325" t="s">
        <v>2666</v>
      </c>
      <c r="CS325" t="s">
        <v>2450</v>
      </c>
      <c r="CT325" t="s">
        <v>2451</v>
      </c>
      <c r="CV325">
        <v>9</v>
      </c>
      <c r="CW325">
        <v>9</v>
      </c>
      <c r="CX325">
        <v>9</v>
      </c>
      <c r="CY325">
        <v>9</v>
      </c>
      <c r="CZ325">
        <v>9</v>
      </c>
      <c r="DA325">
        <v>0.1</v>
      </c>
      <c r="DB325">
        <v>0.1</v>
      </c>
      <c r="DC325">
        <v>0.2</v>
      </c>
      <c r="DD325">
        <v>0.3</v>
      </c>
      <c r="DE325">
        <v>0.3</v>
      </c>
      <c r="DF325">
        <v>0.9</v>
      </c>
      <c r="DG325">
        <v>0.9</v>
      </c>
      <c r="DH325">
        <v>1.8</v>
      </c>
      <c r="DI325">
        <v>2.7</v>
      </c>
      <c r="DJ325">
        <v>2.7</v>
      </c>
      <c r="DK325">
        <v>8</v>
      </c>
      <c r="DL325">
        <v>0</v>
      </c>
      <c r="DM325">
        <v>8</v>
      </c>
      <c r="DN325">
        <v>9</v>
      </c>
      <c r="DO325">
        <f>AVERAGE(CV325:CZ325)</f>
        <v>9</v>
      </c>
      <c r="DQ325">
        <v>8</v>
      </c>
      <c r="DR325" t="s">
        <v>33</v>
      </c>
      <c r="DS325" t="s">
        <v>375</v>
      </c>
      <c r="DT325" t="s">
        <v>376</v>
      </c>
      <c r="DU325" t="s">
        <v>377</v>
      </c>
      <c r="DV325" t="s">
        <v>378</v>
      </c>
      <c r="DW325" t="s">
        <v>3788</v>
      </c>
      <c r="DX325" t="s">
        <v>3789</v>
      </c>
      <c r="DY325" t="s">
        <v>4004</v>
      </c>
      <c r="DZ325" t="s">
        <v>4005</v>
      </c>
      <c r="EA325" t="s">
        <v>4006</v>
      </c>
      <c r="EB325" t="s">
        <v>3793</v>
      </c>
      <c r="EC325" t="s">
        <v>4007</v>
      </c>
      <c r="ED325" t="s">
        <v>4005</v>
      </c>
      <c r="EE325" t="s">
        <v>4592</v>
      </c>
      <c r="EF325" t="s">
        <v>3797</v>
      </c>
      <c r="EG325" t="s">
        <v>4593</v>
      </c>
      <c r="EH325" t="s">
        <v>4005</v>
      </c>
      <c r="EI325" t="s">
        <v>4594</v>
      </c>
      <c r="EJ325" t="s">
        <v>3800</v>
      </c>
      <c r="EK325" t="s">
        <v>4595</v>
      </c>
      <c r="EL325" t="s">
        <v>4005</v>
      </c>
      <c r="EM325" t="s">
        <v>4596</v>
      </c>
      <c r="EN325" t="s">
        <v>3803</v>
      </c>
      <c r="EO325" t="s">
        <v>4597</v>
      </c>
      <c r="EP325" t="s">
        <v>4005</v>
      </c>
      <c r="EQ325">
        <v>8</v>
      </c>
      <c r="ER325">
        <v>8</v>
      </c>
      <c r="ES325">
        <v>8</v>
      </c>
      <c r="ET325">
        <v>8</v>
      </c>
      <c r="EU325">
        <v>8</v>
      </c>
      <c r="EV325">
        <v>0.1</v>
      </c>
      <c r="EW325">
        <v>0.1</v>
      </c>
      <c r="EX325">
        <v>0.2</v>
      </c>
      <c r="EY325">
        <v>0.3</v>
      </c>
      <c r="EZ325">
        <v>0.3</v>
      </c>
      <c r="FA325">
        <f>EV325*EQ325</f>
        <v>0.8</v>
      </c>
      <c r="FB325">
        <f>EW325*ER325</f>
        <v>0.8</v>
      </c>
      <c r="FC325">
        <f>EX325*ES325</f>
        <v>1.6</v>
      </c>
      <c r="FD325">
        <f>EY325*ET325</f>
        <v>2.4</v>
      </c>
      <c r="FE325">
        <f>EZ325*EU325</f>
        <v>2.4</v>
      </c>
      <c r="FF325">
        <v>16</v>
      </c>
      <c r="FG325">
        <v>0</v>
      </c>
      <c r="FH325">
        <v>8</v>
      </c>
      <c r="FI325">
        <f>FA325+FB325+FC325+FD325+FE325</f>
        <v>8</v>
      </c>
      <c r="FJ325">
        <f>MEDIAN(EQ325:EU325)</f>
        <v>8</v>
      </c>
      <c r="FL325">
        <v>40.68</v>
      </c>
      <c r="FM325">
        <v>4.5999999999999996</v>
      </c>
      <c r="FN325" t="s">
        <v>1492</v>
      </c>
      <c r="FO325" t="s">
        <v>1493</v>
      </c>
      <c r="FP325" t="s">
        <v>1494</v>
      </c>
      <c r="FQ325" t="s">
        <v>1495</v>
      </c>
      <c r="FR325" t="s">
        <v>1496</v>
      </c>
      <c r="FS325">
        <v>5</v>
      </c>
      <c r="FT325">
        <v>7.5</v>
      </c>
      <c r="FU325">
        <v>6</v>
      </c>
      <c r="FV325">
        <v>4</v>
      </c>
      <c r="FW325">
        <v>3</v>
      </c>
      <c r="FX325">
        <v>0.1</v>
      </c>
      <c r="FY325">
        <v>0.1</v>
      </c>
      <c r="FZ325">
        <v>0.2</v>
      </c>
      <c r="GA325">
        <v>0.3</v>
      </c>
      <c r="GB325">
        <v>0.3</v>
      </c>
      <c r="GC325">
        <f>FS325*FX325</f>
        <v>0.5</v>
      </c>
      <c r="GD325">
        <f>FT325*FY325</f>
        <v>0.75</v>
      </c>
      <c r="GE325">
        <f>FU325*FZ325</f>
        <v>1.2000000000000002</v>
      </c>
      <c r="GF325">
        <f>FV325*GA325</f>
        <v>1.2</v>
      </c>
      <c r="GG325">
        <f>FW325*GB325</f>
        <v>0.89999999999999991</v>
      </c>
      <c r="GH325">
        <v>4.8</v>
      </c>
      <c r="GI325">
        <v>-0.2</v>
      </c>
      <c r="GJ325">
        <v>4.5999999999999996</v>
      </c>
      <c r="GK325">
        <f>GC325+GD325+GE325+GF325+GG325</f>
        <v>4.5500000000000007</v>
      </c>
      <c r="GL325">
        <f>MEDIAN(FS325:FW325)</f>
        <v>5</v>
      </c>
    </row>
    <row r="326" spans="1:194" hidden="1" x14ac:dyDescent="0.25">
      <c r="A326">
        <v>325</v>
      </c>
      <c r="B326" t="s">
        <v>2</v>
      </c>
      <c r="C326" s="4">
        <v>49.5</v>
      </c>
      <c r="D326">
        <v>3.3</v>
      </c>
      <c r="E326" s="1">
        <f>C326/3/D326</f>
        <v>5</v>
      </c>
      <c r="G326">
        <v>35.119999999999997</v>
      </c>
      <c r="H326">
        <v>8.65</v>
      </c>
      <c r="I326">
        <f>H326*D326*3</f>
        <v>85.634999999999991</v>
      </c>
      <c r="J326">
        <v>17.57</v>
      </c>
      <c r="K326">
        <v>8.4</v>
      </c>
      <c r="L326" s="3">
        <f>K326*3*D326</f>
        <v>83.160000000000011</v>
      </c>
      <c r="M326">
        <v>4.63</v>
      </c>
      <c r="N326">
        <v>3</v>
      </c>
      <c r="O326">
        <f>N326*D326*3</f>
        <v>29.699999999999996</v>
      </c>
      <c r="P326" s="5">
        <v>6.5</v>
      </c>
      <c r="Q326" s="5">
        <f>P326*D326*3</f>
        <v>64.349999999999994</v>
      </c>
      <c r="S326" t="s">
        <v>6450</v>
      </c>
      <c r="T326">
        <v>5.5</v>
      </c>
      <c r="U326" s="8">
        <f>T326*D326*3</f>
        <v>54.449999999999996</v>
      </c>
      <c r="V326">
        <v>37.770000000000003</v>
      </c>
      <c r="W326">
        <v>8.4</v>
      </c>
      <c r="X326" s="5">
        <f>W326*D326*3</f>
        <v>83.16</v>
      </c>
      <c r="Y326">
        <v>8.8800000000000008</v>
      </c>
      <c r="Z326">
        <v>6</v>
      </c>
      <c r="AA326">
        <f>Z326*D326*3</f>
        <v>59.399999999999991</v>
      </c>
      <c r="AC326">
        <v>127.52</v>
      </c>
      <c r="AD326">
        <v>8</v>
      </c>
      <c r="AE326" s="1">
        <f>AD326*3*D326</f>
        <v>79.199999999999989</v>
      </c>
      <c r="AF326">
        <v>11.79</v>
      </c>
      <c r="AG326" s="5">
        <v>4</v>
      </c>
      <c r="AH326" s="5">
        <f>AG326*D326*3</f>
        <v>39.599999999999994</v>
      </c>
      <c r="AI326" s="13"/>
      <c r="AK326" s="8">
        <f>AJ326*D326*3</f>
        <v>0</v>
      </c>
      <c r="AL326" s="13"/>
      <c r="AM326">
        <v>30.7</v>
      </c>
      <c r="AN326">
        <v>5.0999999999999996</v>
      </c>
      <c r="AO326" s="8">
        <f>AN326*D326*3</f>
        <v>50.489999999999995</v>
      </c>
      <c r="AP326">
        <v>14.59</v>
      </c>
      <c r="AQ326">
        <v>10</v>
      </c>
      <c r="AR326">
        <f>AQ326*D326*3</f>
        <v>99</v>
      </c>
      <c r="AT326">
        <v>9</v>
      </c>
      <c r="AU326">
        <f>AT326*D326*3</f>
        <v>89.1</v>
      </c>
      <c r="AX326">
        <v>9.9</v>
      </c>
      <c r="AY326">
        <f>AX326*D326*3</f>
        <v>98.01</v>
      </c>
      <c r="BA326">
        <v>8.6999999999999993</v>
      </c>
      <c r="BB326">
        <f>BA326*D326*3</f>
        <v>86.13</v>
      </c>
      <c r="BD326">
        <v>8.9</v>
      </c>
      <c r="BE326">
        <f>BD326*D326*3</f>
        <v>88.11</v>
      </c>
      <c r="BG326" s="10"/>
      <c r="BH326" s="1">
        <f>CHOOSE(MATCH(MIN(ABS(BP326-C326),ABS(BQ326-C326),ABS(BR326-C326)),CHOOSE({1;2;3},ABS(BP326-C326),ABS(BQ326-C326),ABS(BR326-C326)),0),BP326,BQ326,BR326)</f>
        <v>29.7</v>
      </c>
      <c r="BJ326" s="1" cm="1">
        <f t="array" ref="BJ326">(INDEX(_xlfn._xlws.SORT(CHOOSE({1;2;3;4;5;6},BQ326,BR326,L326,AE326,BO326,BP326)),3) + INDEX(_xlfn._xlws.SORT(CHOOSE({1;2;3;4;5;6},BQ326,BR326,L326,AE326,BO326,BP326)),4))/2</f>
        <v>79.199999999999989</v>
      </c>
      <c r="BK326">
        <v>5.0457118337804596</v>
      </c>
      <c r="BL326" t="s">
        <v>6117</v>
      </c>
      <c r="BM326" s="1">
        <f>BK326*3*D326</f>
        <v>49.952547154426547</v>
      </c>
      <c r="BN326" s="1">
        <f>BM326-C326</f>
        <v>0.45254715442654714</v>
      </c>
      <c r="BO326" s="1">
        <f>GK326*3*D326</f>
        <v>38.114999999999995</v>
      </c>
      <c r="BP326" s="1">
        <f>DO326*3*D326</f>
        <v>88.11</v>
      </c>
      <c r="BQ326" s="1">
        <f>FJ326*3*D326</f>
        <v>79.199999999999989</v>
      </c>
      <c r="BR326" s="1">
        <f>GL326*3*D326</f>
        <v>29.7</v>
      </c>
      <c r="BT326">
        <v>35.119999999999997</v>
      </c>
      <c r="BU326">
        <v>8.65</v>
      </c>
      <c r="BV326" t="s">
        <v>5046</v>
      </c>
      <c r="BW326" t="s">
        <v>5989</v>
      </c>
      <c r="BX326" t="s">
        <v>5140</v>
      </c>
      <c r="BY326" t="s">
        <v>5092</v>
      </c>
      <c r="BZ326" t="s">
        <v>5007</v>
      </c>
      <c r="CA326" t="s">
        <v>3570</v>
      </c>
      <c r="CC326" t="s">
        <v>2634</v>
      </c>
      <c r="CD326" t="s">
        <v>3608</v>
      </c>
      <c r="CE326" t="s">
        <v>2440</v>
      </c>
      <c r="CG326" t="s">
        <v>3609</v>
      </c>
      <c r="CH326" t="s">
        <v>3610</v>
      </c>
      <c r="CI326" t="s">
        <v>2937</v>
      </c>
      <c r="CK326" t="s">
        <v>2669</v>
      </c>
      <c r="CL326" t="s">
        <v>3611</v>
      </c>
      <c r="CM326" t="s">
        <v>3307</v>
      </c>
      <c r="CO326" t="s">
        <v>2869</v>
      </c>
      <c r="CP326" t="s">
        <v>3612</v>
      </c>
      <c r="CQ326" t="s">
        <v>2666</v>
      </c>
      <c r="CR326" t="s">
        <v>3146</v>
      </c>
      <c r="CS326" t="s">
        <v>3613</v>
      </c>
      <c r="CT326" t="s">
        <v>3614</v>
      </c>
      <c r="CV326">
        <v>9</v>
      </c>
      <c r="CW326">
        <v>9</v>
      </c>
      <c r="CX326">
        <v>9</v>
      </c>
      <c r="CY326">
        <v>9</v>
      </c>
      <c r="CZ326">
        <v>8.5</v>
      </c>
      <c r="DA326">
        <v>0.1</v>
      </c>
      <c r="DB326">
        <v>0.1</v>
      </c>
      <c r="DC326">
        <v>0.2</v>
      </c>
      <c r="DD326">
        <v>0.3</v>
      </c>
      <c r="DE326">
        <v>0.3</v>
      </c>
      <c r="DF326">
        <v>0.9</v>
      </c>
      <c r="DG326">
        <v>0.9</v>
      </c>
      <c r="DH326">
        <v>1.8</v>
      </c>
      <c r="DI326">
        <v>2.7</v>
      </c>
      <c r="DJ326">
        <v>2.5499999999999998</v>
      </c>
      <c r="DK326">
        <v>8.65</v>
      </c>
      <c r="DL326">
        <v>0</v>
      </c>
      <c r="DM326">
        <v>8.65</v>
      </c>
      <c r="DN326">
        <v>8.4</v>
      </c>
      <c r="DO326">
        <f>AVERAGE(CV326:CZ326)</f>
        <v>8.9</v>
      </c>
      <c r="DQ326" t="s">
        <v>27</v>
      </c>
      <c r="DR326" t="s">
        <v>33</v>
      </c>
      <c r="DS326" t="s">
        <v>93</v>
      </c>
      <c r="DT326" t="s">
        <v>94</v>
      </c>
      <c r="DU326" t="s">
        <v>95</v>
      </c>
      <c r="DV326" t="s">
        <v>528</v>
      </c>
      <c r="DW326" t="s">
        <v>3788</v>
      </c>
      <c r="DX326" t="s">
        <v>3789</v>
      </c>
      <c r="DY326" t="s">
        <v>3974</v>
      </c>
      <c r="DZ326" t="s">
        <v>3975</v>
      </c>
      <c r="EA326" t="s">
        <v>3934</v>
      </c>
      <c r="EB326" t="s">
        <v>3793</v>
      </c>
      <c r="EC326" t="s">
        <v>3976</v>
      </c>
      <c r="ED326" t="s">
        <v>3977</v>
      </c>
      <c r="EE326" t="s">
        <v>3978</v>
      </c>
      <c r="EF326" t="s">
        <v>3797</v>
      </c>
      <c r="EG326" t="s">
        <v>3979</v>
      </c>
      <c r="EH326" t="s">
        <v>3980</v>
      </c>
      <c r="EI326" t="s">
        <v>3981</v>
      </c>
      <c r="EJ326" t="s">
        <v>3800</v>
      </c>
      <c r="EK326" t="s">
        <v>3982</v>
      </c>
      <c r="EL326" t="s">
        <v>3983</v>
      </c>
      <c r="EM326" t="s">
        <v>3984</v>
      </c>
      <c r="EN326" t="s">
        <v>3803</v>
      </c>
      <c r="EO326" t="s">
        <v>3985</v>
      </c>
      <c r="EP326" t="s">
        <v>3986</v>
      </c>
      <c r="EQ326">
        <v>8</v>
      </c>
      <c r="ER326">
        <v>8</v>
      </c>
      <c r="ES326">
        <v>8</v>
      </c>
      <c r="ET326">
        <v>8</v>
      </c>
      <c r="EU326">
        <v>8</v>
      </c>
      <c r="EV326">
        <v>0.1</v>
      </c>
      <c r="EW326">
        <v>0.1</v>
      </c>
      <c r="EX326">
        <v>0.2</v>
      </c>
      <c r="EY326">
        <v>0.3</v>
      </c>
      <c r="EZ326">
        <v>0.3</v>
      </c>
      <c r="FA326">
        <f>EV326*EQ326</f>
        <v>0.8</v>
      </c>
      <c r="FB326">
        <f>EW326*ER326</f>
        <v>0.8</v>
      </c>
      <c r="FC326">
        <f>EX326*ES326</f>
        <v>1.6</v>
      </c>
      <c r="FD326">
        <f>EY326*ET326</f>
        <v>2.4</v>
      </c>
      <c r="FE326">
        <f>EZ326*EU326</f>
        <v>2.4</v>
      </c>
      <c r="FF326">
        <v>16</v>
      </c>
      <c r="FG326">
        <v>0</v>
      </c>
      <c r="FH326">
        <v>8</v>
      </c>
      <c r="FI326">
        <f>FA326+FB326+FC326+FD326+FE326</f>
        <v>8</v>
      </c>
      <c r="FJ326">
        <f>MEDIAN(EQ326:EU326)</f>
        <v>8</v>
      </c>
      <c r="FL326">
        <v>42.53</v>
      </c>
      <c r="FM326">
        <v>7.5</v>
      </c>
      <c r="FN326" t="s">
        <v>2143</v>
      </c>
      <c r="FO326" t="s">
        <v>2144</v>
      </c>
      <c r="FP326" t="s">
        <v>2145</v>
      </c>
      <c r="FQ326" t="s">
        <v>2146</v>
      </c>
      <c r="FR326" t="s">
        <v>2147</v>
      </c>
      <c r="FS326">
        <v>2.5</v>
      </c>
      <c r="FT326">
        <v>3</v>
      </c>
      <c r="FU326">
        <v>1.5</v>
      </c>
      <c r="FV326">
        <v>4</v>
      </c>
      <c r="FW326">
        <v>6</v>
      </c>
      <c r="FX326">
        <v>0.1</v>
      </c>
      <c r="FY326">
        <v>0.1</v>
      </c>
      <c r="FZ326">
        <v>0.2</v>
      </c>
      <c r="GA326">
        <v>0.3</v>
      </c>
      <c r="GB326">
        <v>0.3</v>
      </c>
      <c r="GC326">
        <f>FS326*FX326</f>
        <v>0.25</v>
      </c>
      <c r="GD326">
        <f>FT326*FY326</f>
        <v>0.30000000000000004</v>
      </c>
      <c r="GE326">
        <f>FU326*FZ326</f>
        <v>0.30000000000000004</v>
      </c>
      <c r="GF326">
        <f>FV326*GA326</f>
        <v>1.2</v>
      </c>
      <c r="GG326">
        <f>FW326*GB326</f>
        <v>1.7999999999999998</v>
      </c>
      <c r="GH326">
        <v>7.5</v>
      </c>
      <c r="GI326">
        <v>0</v>
      </c>
      <c r="GJ326">
        <v>7.5</v>
      </c>
      <c r="GK326">
        <f>GC326+GD326+GE326+GF326+GG326</f>
        <v>3.8499999999999996</v>
      </c>
      <c r="GL326">
        <f>MEDIAN(FS326:FW326)</f>
        <v>3</v>
      </c>
    </row>
    <row r="327" spans="1:194" hidden="1" x14ac:dyDescent="0.25">
      <c r="A327">
        <v>326</v>
      </c>
      <c r="B327" t="s">
        <v>2</v>
      </c>
      <c r="C327" s="4">
        <v>96.35</v>
      </c>
      <c r="D327">
        <v>4.0999999999999996</v>
      </c>
      <c r="E327" s="1">
        <f>C327/3/D327</f>
        <v>7.8333333333333339</v>
      </c>
      <c r="G327">
        <v>36.08</v>
      </c>
      <c r="H327">
        <v>8.1999999999999993</v>
      </c>
      <c r="I327">
        <f>H327*D327*3</f>
        <v>100.85999999999999</v>
      </c>
      <c r="J327">
        <v>16.53</v>
      </c>
      <c r="K327">
        <v>8.4</v>
      </c>
      <c r="L327" s="3">
        <f>K327*3*D327</f>
        <v>103.32000000000001</v>
      </c>
      <c r="M327">
        <v>4.82</v>
      </c>
      <c r="N327">
        <v>5</v>
      </c>
      <c r="O327">
        <f>N327*D327*3</f>
        <v>61.5</v>
      </c>
      <c r="P327" s="5">
        <v>6.8</v>
      </c>
      <c r="Q327" s="5">
        <f>P327*D327*3</f>
        <v>83.639999999999986</v>
      </c>
      <c r="S327" t="s">
        <v>6451</v>
      </c>
      <c r="T327">
        <v>5</v>
      </c>
      <c r="U327" s="8">
        <f>T327*D327*3</f>
        <v>61.5</v>
      </c>
      <c r="V327">
        <v>35.57</v>
      </c>
      <c r="W327">
        <v>8.4</v>
      </c>
      <c r="X327" s="5">
        <f>W327*D327*3</f>
        <v>103.32</v>
      </c>
      <c r="Y327">
        <v>12.18</v>
      </c>
      <c r="Z327">
        <v>7.6</v>
      </c>
      <c r="AA327">
        <f>Z327*D327*3</f>
        <v>93.47999999999999</v>
      </c>
      <c r="AC327">
        <v>133.94999999999999</v>
      </c>
      <c r="AD327">
        <v>7.9</v>
      </c>
      <c r="AE327" s="1">
        <f>AD327*3*D327</f>
        <v>97.17</v>
      </c>
      <c r="AF327">
        <v>11.85</v>
      </c>
      <c r="AG327" s="5">
        <v>7</v>
      </c>
      <c r="AH327" s="5">
        <f>AG327*D327*3</f>
        <v>86.1</v>
      </c>
      <c r="AI327" s="13"/>
      <c r="AJ327">
        <v>32.5</v>
      </c>
      <c r="AK327" s="8">
        <f>AJ327*D327*3</f>
        <v>399.75</v>
      </c>
      <c r="AL327" s="13"/>
      <c r="AM327">
        <v>31.34</v>
      </c>
      <c r="AN327">
        <v>7.2</v>
      </c>
      <c r="AO327" s="8">
        <f>AN327*D327*3</f>
        <v>88.56</v>
      </c>
      <c r="AP327">
        <v>12.56</v>
      </c>
      <c r="AQ327">
        <v>9.1999999999999993</v>
      </c>
      <c r="AR327">
        <f>AQ327*D327*3</f>
        <v>113.15999999999997</v>
      </c>
      <c r="AT327">
        <v>8.5</v>
      </c>
      <c r="AU327">
        <f>AT327*D327*3</f>
        <v>104.54999999999998</v>
      </c>
      <c r="AX327">
        <v>9.3000000000000007</v>
      </c>
      <c r="AY327">
        <f>AX327*D327*3</f>
        <v>114.39000000000001</v>
      </c>
      <c r="BA327">
        <v>9.4</v>
      </c>
      <c r="BB327">
        <f>BA327*D327*3</f>
        <v>115.62</v>
      </c>
      <c r="BD327">
        <v>8.9</v>
      </c>
      <c r="BE327">
        <f>BD327*D327*3</f>
        <v>109.46999999999998</v>
      </c>
      <c r="BG327" s="10"/>
      <c r="BH327" s="1">
        <f>CHOOSE(MATCH(MIN(ABS(BP327-C327),ABS(BQ327-C327),ABS(BR327-C327)),CHOOSE({1;2;3},ABS(BP327-C327),ABS(BQ327-C327),ABS(BR327-C327)),0),BP327,BQ327,BR327)</f>
        <v>98.399999999999991</v>
      </c>
      <c r="BJ327" s="1" cm="1">
        <f t="array" ref="BJ327">(INDEX(_xlfn._xlws.SORT(CHOOSE({1;2;3;4;5;6},BQ327,BR327,L327,AE327,BO327,BP327)),3) + INDEX(_xlfn._xlws.SORT(CHOOSE({1;2;3;4;5;6},BQ327,BR327,L327,AE327,BO327,BP327)),4))/2</f>
        <v>107.00999999999999</v>
      </c>
      <c r="BK327">
        <v>7.7896256997888704</v>
      </c>
      <c r="BL327" t="s">
        <v>6117</v>
      </c>
      <c r="BM327" s="1">
        <f>BK327*3*D327</f>
        <v>95.812396107403089</v>
      </c>
      <c r="BN327" s="1">
        <f>BM327-C327</f>
        <v>-0.53760389259690555</v>
      </c>
      <c r="BO327" s="1">
        <f>GK327*3*D327</f>
        <v>119.30999999999997</v>
      </c>
      <c r="BP327" s="1">
        <f>DO327*3*D327</f>
        <v>110.69999999999999</v>
      </c>
      <c r="BQ327" s="1">
        <f>FJ327*3*D327</f>
        <v>98.399999999999991</v>
      </c>
      <c r="BR327" s="1">
        <f>GL327*3*D327</f>
        <v>122.99999999999999</v>
      </c>
      <c r="BT327">
        <v>36.08</v>
      </c>
      <c r="BU327">
        <v>8.1999999999999993</v>
      </c>
      <c r="BV327" t="s">
        <v>5055</v>
      </c>
      <c r="BW327" t="s">
        <v>5056</v>
      </c>
      <c r="BX327" t="s">
        <v>5057</v>
      </c>
      <c r="BY327" t="s">
        <v>5990</v>
      </c>
      <c r="BZ327" t="s">
        <v>4985</v>
      </c>
      <c r="CA327" t="s">
        <v>2437</v>
      </c>
      <c r="CC327" t="s">
        <v>2507</v>
      </c>
      <c r="CD327" t="s">
        <v>2508</v>
      </c>
      <c r="CE327" t="s">
        <v>2440</v>
      </c>
      <c r="CG327" t="s">
        <v>2509</v>
      </c>
      <c r="CH327" t="s">
        <v>2510</v>
      </c>
      <c r="CI327" t="s">
        <v>2443</v>
      </c>
      <c r="CK327" t="s">
        <v>2511</v>
      </c>
      <c r="CL327" t="s">
        <v>2512</v>
      </c>
      <c r="CM327" t="s">
        <v>2446</v>
      </c>
      <c r="CO327" t="s">
        <v>2513</v>
      </c>
      <c r="CP327" t="s">
        <v>2514</v>
      </c>
      <c r="CQ327" t="s">
        <v>2449</v>
      </c>
      <c r="CS327" t="s">
        <v>2523</v>
      </c>
      <c r="CT327" t="s">
        <v>2524</v>
      </c>
      <c r="CV327">
        <v>9</v>
      </c>
      <c r="CW327">
        <v>9</v>
      </c>
      <c r="CX327">
        <v>9</v>
      </c>
      <c r="CY327">
        <v>9</v>
      </c>
      <c r="CZ327">
        <v>9</v>
      </c>
      <c r="DA327">
        <v>0.1</v>
      </c>
      <c r="DB327">
        <v>0.1</v>
      </c>
      <c r="DC327">
        <v>0.2</v>
      </c>
      <c r="DD327">
        <v>0.3</v>
      </c>
      <c r="DE327">
        <v>0.3</v>
      </c>
      <c r="DF327">
        <v>0.9</v>
      </c>
      <c r="DG327">
        <v>0.9</v>
      </c>
      <c r="DH327">
        <v>1.8</v>
      </c>
      <c r="DI327">
        <v>2.7</v>
      </c>
      <c r="DJ327">
        <v>2.7</v>
      </c>
      <c r="DK327">
        <v>8.1999999999999993</v>
      </c>
      <c r="DL327">
        <v>0</v>
      </c>
      <c r="DM327">
        <v>8.1999999999999993</v>
      </c>
      <c r="DN327">
        <v>8.4</v>
      </c>
      <c r="DO327">
        <f>AVERAGE(CV327:CZ327)</f>
        <v>9</v>
      </c>
      <c r="DQ327">
        <v>8</v>
      </c>
      <c r="DR327" t="s">
        <v>529</v>
      </c>
      <c r="DS327" t="s">
        <v>530</v>
      </c>
      <c r="DT327" t="s">
        <v>531</v>
      </c>
      <c r="DU327" t="s">
        <v>532</v>
      </c>
      <c r="DV327" t="s">
        <v>533</v>
      </c>
      <c r="DW327" t="s">
        <v>3788</v>
      </c>
      <c r="DX327" t="s">
        <v>4071</v>
      </c>
      <c r="DY327" t="s">
        <v>4887</v>
      </c>
      <c r="DZ327" t="s">
        <v>4888</v>
      </c>
      <c r="EA327" t="s">
        <v>3952</v>
      </c>
      <c r="EB327" t="s">
        <v>4889</v>
      </c>
      <c r="EC327" t="s">
        <v>4890</v>
      </c>
      <c r="ED327" t="s">
        <v>4891</v>
      </c>
      <c r="EE327" t="s">
        <v>4450</v>
      </c>
      <c r="EF327" t="s">
        <v>4889</v>
      </c>
      <c r="EG327" t="s">
        <v>4892</v>
      </c>
      <c r="EH327" t="s">
        <v>4891</v>
      </c>
      <c r="EI327" t="s">
        <v>4453</v>
      </c>
      <c r="EJ327" t="s">
        <v>4889</v>
      </c>
      <c r="EK327" t="s">
        <v>4893</v>
      </c>
      <c r="EL327" t="s">
        <v>4891</v>
      </c>
      <c r="EM327" t="s">
        <v>4894</v>
      </c>
      <c r="EN327" t="s">
        <v>4889</v>
      </c>
      <c r="EO327" t="s">
        <v>4895</v>
      </c>
      <c r="EP327" t="s">
        <v>4891</v>
      </c>
      <c r="EQ327">
        <v>7</v>
      </c>
      <c r="ER327">
        <v>8</v>
      </c>
      <c r="ES327">
        <v>8</v>
      </c>
      <c r="ET327">
        <v>8</v>
      </c>
      <c r="EU327">
        <v>8</v>
      </c>
      <c r="EV327">
        <v>0.1</v>
      </c>
      <c r="EW327">
        <v>0.1</v>
      </c>
      <c r="EX327">
        <v>0.2</v>
      </c>
      <c r="EY327">
        <v>0.3</v>
      </c>
      <c r="EZ327">
        <v>0.3</v>
      </c>
      <c r="FA327">
        <f>EV327*EQ327</f>
        <v>0.70000000000000007</v>
      </c>
      <c r="FB327">
        <f>EW327*ER327</f>
        <v>0.8</v>
      </c>
      <c r="FC327">
        <f>EX327*ES327</f>
        <v>1.6</v>
      </c>
      <c r="FD327">
        <f>EY327*ET327</f>
        <v>2.4</v>
      </c>
      <c r="FE327">
        <f>EZ327*EU327</f>
        <v>2.4</v>
      </c>
      <c r="FF327">
        <v>16</v>
      </c>
      <c r="FG327">
        <v>0</v>
      </c>
      <c r="FH327">
        <v>8</v>
      </c>
      <c r="FI327">
        <f>FA327+FB327+FC327+FD327+FE327</f>
        <v>7.9</v>
      </c>
      <c r="FJ327">
        <f>MEDIAN(EQ327:EU327)</f>
        <v>8</v>
      </c>
      <c r="FL327">
        <v>63.74</v>
      </c>
      <c r="FM327">
        <v>7</v>
      </c>
      <c r="FN327" t="s">
        <v>2148</v>
      </c>
      <c r="FO327" t="s">
        <v>2149</v>
      </c>
      <c r="FP327" t="s">
        <v>2150</v>
      </c>
      <c r="FQ327" t="s">
        <v>2151</v>
      </c>
      <c r="FR327" t="s">
        <v>2152</v>
      </c>
      <c r="FS327">
        <v>10</v>
      </c>
      <c r="FT327">
        <v>10</v>
      </c>
      <c r="FU327">
        <v>10</v>
      </c>
      <c r="FV327">
        <v>10</v>
      </c>
      <c r="FW327">
        <v>9</v>
      </c>
      <c r="FX327">
        <v>0.1</v>
      </c>
      <c r="FY327">
        <v>0.1</v>
      </c>
      <c r="FZ327">
        <v>0.2</v>
      </c>
      <c r="GA327">
        <v>0.3</v>
      </c>
      <c r="GB327">
        <v>0.3</v>
      </c>
      <c r="GC327">
        <f>FS327*FX327</f>
        <v>1</v>
      </c>
      <c r="GD327">
        <f>FT327*FY327</f>
        <v>1</v>
      </c>
      <c r="GE327">
        <f>FU327*FZ327</f>
        <v>2</v>
      </c>
      <c r="GF327">
        <f>FV327*GA327</f>
        <v>3</v>
      </c>
      <c r="GG327">
        <f>FW327*GB327</f>
        <v>2.6999999999999997</v>
      </c>
      <c r="GH327">
        <v>7</v>
      </c>
      <c r="GI327">
        <v>0</v>
      </c>
      <c r="GJ327">
        <v>7</v>
      </c>
      <c r="GK327">
        <f>GC327+GD327+GE327+GF327+GG327</f>
        <v>9.6999999999999993</v>
      </c>
      <c r="GL327">
        <f>MEDIAN(FS327:FW327)</f>
        <v>10</v>
      </c>
    </row>
    <row r="328" spans="1:194" hidden="1" x14ac:dyDescent="0.25">
      <c r="A328">
        <v>327</v>
      </c>
      <c r="B328" t="s">
        <v>2</v>
      </c>
      <c r="C328" s="4">
        <v>85.8</v>
      </c>
      <c r="D328">
        <v>3.3</v>
      </c>
      <c r="E328" s="1">
        <f>C328/3/D328</f>
        <v>8.6666666666666661</v>
      </c>
      <c r="G328">
        <v>36.75</v>
      </c>
      <c r="H328">
        <v>8.1999999999999993</v>
      </c>
      <c r="I328">
        <f>H328*D328*3</f>
        <v>81.179999999999978</v>
      </c>
      <c r="J328">
        <v>16.579999999999998</v>
      </c>
      <c r="K328">
        <v>8.6999999999999993</v>
      </c>
      <c r="L328" s="3">
        <f>K328*3*D328</f>
        <v>86.129999999999981</v>
      </c>
      <c r="M328">
        <v>5.66</v>
      </c>
      <c r="N328">
        <v>9</v>
      </c>
      <c r="O328">
        <f>N328*D328*3</f>
        <v>89.1</v>
      </c>
      <c r="P328" s="5">
        <v>7</v>
      </c>
      <c r="Q328" s="5">
        <f>P328*D328*3</f>
        <v>69.3</v>
      </c>
      <c r="S328" t="s">
        <v>6452</v>
      </c>
      <c r="T328">
        <v>4.7</v>
      </c>
      <c r="U328" s="8">
        <f>T328*D328*3</f>
        <v>46.53</v>
      </c>
      <c r="V328">
        <v>35.74</v>
      </c>
      <c r="W328">
        <v>8.4</v>
      </c>
      <c r="X328" s="5">
        <f>W328*D328*3</f>
        <v>83.16</v>
      </c>
      <c r="Y328">
        <v>9.76</v>
      </c>
      <c r="Z328">
        <v>6.8</v>
      </c>
      <c r="AA328">
        <f>Z328*D328*3</f>
        <v>67.319999999999993</v>
      </c>
      <c r="AC328">
        <v>137</v>
      </c>
      <c r="AD328">
        <v>7.9</v>
      </c>
      <c r="AE328" s="1">
        <f>AD328*3*D328</f>
        <v>78.210000000000008</v>
      </c>
      <c r="AF328">
        <v>12.32</v>
      </c>
      <c r="AG328" s="5">
        <v>7</v>
      </c>
      <c r="AH328" s="5">
        <f>AG328*D328*3</f>
        <v>69.3</v>
      </c>
      <c r="AI328" s="13"/>
      <c r="AJ328">
        <v>9.8000000000000007</v>
      </c>
      <c r="AK328" s="8">
        <f>AJ328*D328*3</f>
        <v>97.02000000000001</v>
      </c>
      <c r="AL328" s="13"/>
      <c r="AM328">
        <v>31.66</v>
      </c>
      <c r="AN328">
        <v>6.1</v>
      </c>
      <c r="AO328" s="8">
        <f>AN328*D328*3</f>
        <v>60.39</v>
      </c>
      <c r="AP328">
        <v>14.39</v>
      </c>
      <c r="AQ328">
        <v>9.5</v>
      </c>
      <c r="AR328">
        <f>AQ328*D328*3</f>
        <v>94.05</v>
      </c>
      <c r="AT328">
        <v>8.5</v>
      </c>
      <c r="AU328">
        <f>AT328*D328*3</f>
        <v>84.149999999999991</v>
      </c>
      <c r="AX328">
        <v>9.9</v>
      </c>
      <c r="AY328">
        <f>AX328*D328*3</f>
        <v>98.01</v>
      </c>
      <c r="BA328">
        <v>9.1999999999999993</v>
      </c>
      <c r="BB328">
        <f>BA328*D328*3</f>
        <v>91.079999999999984</v>
      </c>
      <c r="BD328">
        <v>9</v>
      </c>
      <c r="BE328">
        <f>BD328*D328*3</f>
        <v>89.1</v>
      </c>
      <c r="BG328" s="10"/>
      <c r="BH328" s="1">
        <f>CHOOSE(MATCH(MIN(ABS(BP328-C328),ABS(BQ328-C328),ABS(BR328-C328)),CHOOSE({1;2;3},ABS(BP328-C328),ABS(BQ328-C328),ABS(BR328-C328)),0),BP328,BQ328,BR328)</f>
        <v>89.1</v>
      </c>
      <c r="BJ328" s="1" cm="1">
        <f t="array" ref="BJ328">(INDEX(_xlfn._xlws.SORT(CHOOSE({1;2;3;4;5;6},BQ328,BR328,L328,AE328,BO328,BP328)),3) + INDEX(_xlfn._xlws.SORT(CHOOSE({1;2;3;4;5;6},BQ328,BR328,L328,AE328,BO328,BP328)),4))/2</f>
        <v>78.704999999999998</v>
      </c>
      <c r="BK328">
        <v>8.6522193888591303</v>
      </c>
      <c r="BL328" t="s">
        <v>6117</v>
      </c>
      <c r="BM328" s="1">
        <f>BK328*3*D328</f>
        <v>85.65697194970538</v>
      </c>
      <c r="BN328" s="1">
        <f>BM328-C328</f>
        <v>-0.14302805029461751</v>
      </c>
      <c r="BO328" s="1">
        <f>GK328*3*D328</f>
        <v>66.825000000000003</v>
      </c>
      <c r="BP328" s="1">
        <f>DO328*3*D328</f>
        <v>89.1</v>
      </c>
      <c r="BQ328" s="1">
        <f>FJ328*3*D328</f>
        <v>79.199999999999989</v>
      </c>
      <c r="BR328" s="1">
        <f>GL328*3*D328</f>
        <v>69.3</v>
      </c>
      <c r="BT328">
        <v>36.75</v>
      </c>
      <c r="BU328">
        <v>8.1999999999999993</v>
      </c>
      <c r="BV328" t="s">
        <v>5269</v>
      </c>
      <c r="BW328" t="s">
        <v>5056</v>
      </c>
      <c r="BX328" t="s">
        <v>5450</v>
      </c>
      <c r="BY328" t="s">
        <v>5481</v>
      </c>
      <c r="BZ328" t="s">
        <v>5991</v>
      </c>
      <c r="CA328" t="s">
        <v>2550</v>
      </c>
      <c r="CC328" t="s">
        <v>2551</v>
      </c>
      <c r="CD328" t="s">
        <v>2552</v>
      </c>
      <c r="CE328" t="s">
        <v>2553</v>
      </c>
      <c r="CG328" t="s">
        <v>2424</v>
      </c>
      <c r="CH328" t="s">
        <v>2554</v>
      </c>
      <c r="CI328" t="s">
        <v>2555</v>
      </c>
      <c r="CK328" t="s">
        <v>2556</v>
      </c>
      <c r="CL328" t="s">
        <v>2557</v>
      </c>
      <c r="CM328" t="s">
        <v>2558</v>
      </c>
      <c r="CO328" t="s">
        <v>2431</v>
      </c>
      <c r="CP328" t="s">
        <v>2559</v>
      </c>
      <c r="CQ328" t="s">
        <v>2560</v>
      </c>
      <c r="CR328" t="s">
        <v>2561</v>
      </c>
      <c r="CS328" t="s">
        <v>2435</v>
      </c>
      <c r="CT328" t="s">
        <v>2562</v>
      </c>
      <c r="CV328">
        <v>9</v>
      </c>
      <c r="CW328">
        <v>9</v>
      </c>
      <c r="CX328">
        <v>9</v>
      </c>
      <c r="CY328">
        <v>9</v>
      </c>
      <c r="CZ328">
        <v>9</v>
      </c>
      <c r="DA328">
        <v>0.1</v>
      </c>
      <c r="DB328">
        <v>0.1</v>
      </c>
      <c r="DC328">
        <v>0.2</v>
      </c>
      <c r="DD328">
        <v>0.3</v>
      </c>
      <c r="DE328">
        <v>0.3</v>
      </c>
      <c r="DF328">
        <v>0.9</v>
      </c>
      <c r="DG328">
        <v>0.9</v>
      </c>
      <c r="DH328">
        <v>1.8</v>
      </c>
      <c r="DI328">
        <v>2.7</v>
      </c>
      <c r="DJ328">
        <v>2.7</v>
      </c>
      <c r="DK328">
        <v>8.1999999999999993</v>
      </c>
      <c r="DL328">
        <v>0</v>
      </c>
      <c r="DM328">
        <v>8.1999999999999993</v>
      </c>
      <c r="DN328">
        <v>8.6999999999999993</v>
      </c>
      <c r="DO328">
        <f>AVERAGE(CV328:CZ328)</f>
        <v>9</v>
      </c>
      <c r="DQ328">
        <v>15</v>
      </c>
      <c r="DR328" t="s">
        <v>28</v>
      </c>
      <c r="DS328" t="s">
        <v>29</v>
      </c>
      <c r="DT328" t="s">
        <v>57</v>
      </c>
      <c r="DU328" t="s">
        <v>58</v>
      </c>
      <c r="DV328" t="s">
        <v>59</v>
      </c>
      <c r="DW328" t="s">
        <v>3769</v>
      </c>
      <c r="DX328" t="s">
        <v>3770</v>
      </c>
      <c r="DY328" t="s">
        <v>3771</v>
      </c>
      <c r="DZ328" t="s">
        <v>3772</v>
      </c>
      <c r="EA328" t="s">
        <v>3806</v>
      </c>
      <c r="EB328" t="s">
        <v>3807</v>
      </c>
      <c r="EC328" t="s">
        <v>3775</v>
      </c>
      <c r="ED328" t="s">
        <v>3776</v>
      </c>
      <c r="EE328" t="s">
        <v>3819</v>
      </c>
      <c r="EF328" t="s">
        <v>3809</v>
      </c>
      <c r="EG328" t="s">
        <v>3810</v>
      </c>
      <c r="EH328" t="s">
        <v>3811</v>
      </c>
      <c r="EI328" t="s">
        <v>3820</v>
      </c>
      <c r="EJ328" t="s">
        <v>3813</v>
      </c>
      <c r="EK328" t="s">
        <v>3855</v>
      </c>
      <c r="EL328" t="s">
        <v>3856</v>
      </c>
      <c r="EM328" t="s">
        <v>3816</v>
      </c>
      <c r="EN328" t="s">
        <v>3823</v>
      </c>
      <c r="EO328" t="s">
        <v>3824</v>
      </c>
      <c r="EP328" t="s">
        <v>3857</v>
      </c>
      <c r="EQ328">
        <v>7</v>
      </c>
      <c r="ER328">
        <v>8</v>
      </c>
      <c r="ES328">
        <v>8</v>
      </c>
      <c r="ET328">
        <v>8</v>
      </c>
      <c r="EU328">
        <v>8</v>
      </c>
      <c r="EV328">
        <v>0.1</v>
      </c>
      <c r="EW328">
        <v>0.1</v>
      </c>
      <c r="EX328">
        <v>0.2</v>
      </c>
      <c r="EY328">
        <v>0.3</v>
      </c>
      <c r="EZ328">
        <v>0.3</v>
      </c>
      <c r="FA328">
        <f>EV328*EQ328</f>
        <v>0.70000000000000007</v>
      </c>
      <c r="FB328">
        <f>EW328*ER328</f>
        <v>0.8</v>
      </c>
      <c r="FC328">
        <f>EX328*ES328</f>
        <v>1.6</v>
      </c>
      <c r="FD328">
        <f>EY328*ET328</f>
        <v>2.4</v>
      </c>
      <c r="FE328">
        <f>EZ328*EU328</f>
        <v>2.4</v>
      </c>
      <c r="FF328">
        <v>15</v>
      </c>
      <c r="FG328">
        <v>0</v>
      </c>
      <c r="FH328">
        <v>15</v>
      </c>
      <c r="FI328">
        <f>FA328+FB328+FC328+FD328+FE328</f>
        <v>7.9</v>
      </c>
      <c r="FJ328">
        <f>MEDIAN(EQ328:EU328)</f>
        <v>8</v>
      </c>
      <c r="FL328">
        <v>39.299999999999997</v>
      </c>
      <c r="FM328">
        <v>4.8</v>
      </c>
      <c r="FN328" t="s">
        <v>2153</v>
      </c>
      <c r="FO328" t="s">
        <v>2154</v>
      </c>
      <c r="FP328" t="s">
        <v>2155</v>
      </c>
      <c r="FQ328" t="s">
        <v>2156</v>
      </c>
      <c r="FR328" t="s">
        <v>2157</v>
      </c>
      <c r="FS328">
        <v>7</v>
      </c>
      <c r="FT328">
        <v>8</v>
      </c>
      <c r="FU328">
        <v>7.5</v>
      </c>
      <c r="FV328">
        <v>6.5</v>
      </c>
      <c r="FW328">
        <v>6</v>
      </c>
      <c r="FX328">
        <v>0.1</v>
      </c>
      <c r="FY328">
        <v>0.1</v>
      </c>
      <c r="FZ328">
        <v>0.2</v>
      </c>
      <c r="GA328">
        <v>0.3</v>
      </c>
      <c r="GB328">
        <v>0.3</v>
      </c>
      <c r="GC328">
        <f>FS328*FX328</f>
        <v>0.70000000000000007</v>
      </c>
      <c r="GD328">
        <f>FT328*FY328</f>
        <v>0.8</v>
      </c>
      <c r="GE328">
        <f>FU328*FZ328</f>
        <v>1.5</v>
      </c>
      <c r="GF328">
        <f>FV328*GA328</f>
        <v>1.95</v>
      </c>
      <c r="GG328">
        <f>FW328*GB328</f>
        <v>1.7999999999999998</v>
      </c>
      <c r="GH328">
        <v>4.95</v>
      </c>
      <c r="GI328">
        <v>-0.15</v>
      </c>
      <c r="GJ328">
        <v>4.8</v>
      </c>
      <c r="GK328">
        <f>GC328+GD328+GE328+GF328+GG328</f>
        <v>6.75</v>
      </c>
      <c r="GL328">
        <f>MEDIAN(FS328:FW328)</f>
        <v>7</v>
      </c>
    </row>
    <row r="329" spans="1:194" hidden="1" x14ac:dyDescent="0.25">
      <c r="A329">
        <v>328</v>
      </c>
      <c r="B329" t="s">
        <v>2</v>
      </c>
      <c r="C329" s="4">
        <v>79.2</v>
      </c>
      <c r="D329">
        <v>3.3</v>
      </c>
      <c r="E329" s="1">
        <f>C329/3/D329</f>
        <v>8.0000000000000018</v>
      </c>
      <c r="G329">
        <v>87.8</v>
      </c>
      <c r="H329">
        <v>6.7</v>
      </c>
      <c r="I329">
        <f>H329*D329*3</f>
        <v>66.33</v>
      </c>
      <c r="J329">
        <v>18.53</v>
      </c>
      <c r="K329">
        <v>9</v>
      </c>
      <c r="L329" s="3">
        <f>K329*3*D329</f>
        <v>89.1</v>
      </c>
      <c r="M329">
        <v>4.6100000000000003</v>
      </c>
      <c r="N329">
        <v>5</v>
      </c>
      <c r="O329">
        <f>N329*D329*3</f>
        <v>49.5</v>
      </c>
      <c r="P329" s="5">
        <v>8.8000000000000007</v>
      </c>
      <c r="Q329" s="5">
        <f>P329*D329*3</f>
        <v>87.12</v>
      </c>
      <c r="S329" t="s">
        <v>6181</v>
      </c>
      <c r="T329">
        <v>8.1999999999999993</v>
      </c>
      <c r="U329" s="8">
        <f>T329*D329*3</f>
        <v>81.179999999999978</v>
      </c>
      <c r="V329">
        <v>36.159999999999997</v>
      </c>
      <c r="W329">
        <v>8.4</v>
      </c>
      <c r="X329" s="5">
        <f>W329*D329*3</f>
        <v>83.16</v>
      </c>
      <c r="Y329">
        <v>11.75</v>
      </c>
      <c r="Z329">
        <v>7.6</v>
      </c>
      <c r="AA329">
        <f>Z329*D329*3</f>
        <v>75.239999999999995</v>
      </c>
      <c r="AC329">
        <v>141.22</v>
      </c>
      <c r="AD329">
        <v>7.9</v>
      </c>
      <c r="AE329" s="1">
        <f>AD329*3*D329</f>
        <v>78.210000000000008</v>
      </c>
      <c r="AF329">
        <v>11.91</v>
      </c>
      <c r="AG329" s="5">
        <v>7</v>
      </c>
      <c r="AH329" s="5">
        <f>AG329*D329*3</f>
        <v>69.3</v>
      </c>
      <c r="AI329" s="13"/>
      <c r="AJ329">
        <v>8.6999999999999993</v>
      </c>
      <c r="AK329" s="8">
        <f>AJ329*D329*3</f>
        <v>86.13</v>
      </c>
      <c r="AL329" s="13"/>
      <c r="AM329">
        <v>29.64</v>
      </c>
      <c r="AN329">
        <v>7.3</v>
      </c>
      <c r="AO329" s="8">
        <f>AN329*D329*3</f>
        <v>72.27</v>
      </c>
      <c r="AP329">
        <v>11.41</v>
      </c>
      <c r="AQ329">
        <v>8.5</v>
      </c>
      <c r="AR329">
        <f>AQ329*D329*3</f>
        <v>84.149999999999991</v>
      </c>
      <c r="AT329">
        <v>8.8000000000000007</v>
      </c>
      <c r="AU329">
        <f>AT329*D329*3</f>
        <v>87.12</v>
      </c>
      <c r="AX329">
        <v>8.8000000000000007</v>
      </c>
      <c r="AY329">
        <f>AX329*D329*3</f>
        <v>87.12</v>
      </c>
      <c r="BA329">
        <v>8.6999999999999993</v>
      </c>
      <c r="BB329">
        <f>BA329*D329*3</f>
        <v>86.13</v>
      </c>
      <c r="BD329">
        <v>8.9</v>
      </c>
      <c r="BE329">
        <f>BD329*D329*3</f>
        <v>88.11</v>
      </c>
      <c r="BG329" s="10"/>
      <c r="BH329" s="1">
        <f>CHOOSE(MATCH(MIN(ABS(BP329-C329),ABS(BQ329-C329),ABS(BR329-C329)),CHOOSE({1;2;3},ABS(BP329-C329),ABS(BQ329-C329),ABS(BR329-C329)),0),BP329,BQ329,BR329)</f>
        <v>79.199999999999989</v>
      </c>
      <c r="BJ329" s="1" cm="1">
        <f t="array" ref="BJ329">(INDEX(_xlfn._xlws.SORT(CHOOSE({1;2;3;4;5;6},BQ329,BR329,L329,AE329,BO329,BP329)),3) + INDEX(_xlfn._xlws.SORT(CHOOSE({1;2;3;4;5;6},BQ329,BR329,L329,AE329,BO329,BP329)),4))/2</f>
        <v>75.735000000000014</v>
      </c>
      <c r="BK329">
        <v>8.0156361694852301</v>
      </c>
      <c r="BL329" t="s">
        <v>6117</v>
      </c>
      <c r="BM329" s="1">
        <f>BK329*3*D329</f>
        <v>79.35479807790378</v>
      </c>
      <c r="BN329" s="1">
        <f>BM329-C329</f>
        <v>0.1547980779037772</v>
      </c>
      <c r="BO329" s="1">
        <f>GK329*3*D329</f>
        <v>53.460000000000008</v>
      </c>
      <c r="BP329" s="1">
        <f>DO329*3*D329</f>
        <v>73.260000000000005</v>
      </c>
      <c r="BQ329" s="1">
        <f>FJ329*3*D329</f>
        <v>79.199999999999989</v>
      </c>
      <c r="BR329" s="1">
        <f>GL329*3*D329</f>
        <v>49.5</v>
      </c>
      <c r="BT329">
        <v>87.8</v>
      </c>
      <c r="BU329">
        <v>6.7</v>
      </c>
      <c r="BV329" t="s">
        <v>5013</v>
      </c>
      <c r="BW329" t="s">
        <v>5992</v>
      </c>
      <c r="BX329" t="s">
        <v>5993</v>
      </c>
      <c r="BY329" t="s">
        <v>5994</v>
      </c>
      <c r="BZ329" t="s">
        <v>5995</v>
      </c>
      <c r="CA329" t="s">
        <v>2420</v>
      </c>
      <c r="CC329" t="s">
        <v>2491</v>
      </c>
      <c r="CD329" t="s">
        <v>2492</v>
      </c>
      <c r="CE329" t="s">
        <v>2572</v>
      </c>
      <c r="CG329" t="s">
        <v>2573</v>
      </c>
      <c r="CH329" t="s">
        <v>2574</v>
      </c>
      <c r="CI329" t="s">
        <v>2575</v>
      </c>
      <c r="CJ329" t="s">
        <v>2427</v>
      </c>
      <c r="CK329" t="s">
        <v>2576</v>
      </c>
      <c r="CL329" t="s">
        <v>2729</v>
      </c>
      <c r="CM329" t="s">
        <v>3615</v>
      </c>
      <c r="CN329" t="s">
        <v>3616</v>
      </c>
      <c r="CO329" t="s">
        <v>3617</v>
      </c>
      <c r="CP329" t="s">
        <v>3618</v>
      </c>
      <c r="CQ329" t="s">
        <v>3619</v>
      </c>
      <c r="CR329" t="s">
        <v>3620</v>
      </c>
      <c r="CS329" t="s">
        <v>3621</v>
      </c>
      <c r="CT329" t="s">
        <v>3622</v>
      </c>
      <c r="CV329">
        <v>9</v>
      </c>
      <c r="CW329">
        <v>9</v>
      </c>
      <c r="CX329">
        <v>8</v>
      </c>
      <c r="CY329">
        <v>6</v>
      </c>
      <c r="CZ329">
        <v>5</v>
      </c>
      <c r="DA329">
        <v>0.1</v>
      </c>
      <c r="DB329">
        <v>0.1</v>
      </c>
      <c r="DC329">
        <v>0.2</v>
      </c>
      <c r="DD329">
        <v>0.3</v>
      </c>
      <c r="DE329">
        <v>0.3</v>
      </c>
      <c r="DF329">
        <v>0.9</v>
      </c>
      <c r="DG329">
        <v>0.9</v>
      </c>
      <c r="DH329">
        <v>1.6</v>
      </c>
      <c r="DI329">
        <v>1.8</v>
      </c>
      <c r="DJ329">
        <v>1.5</v>
      </c>
      <c r="DK329">
        <v>6.7</v>
      </c>
      <c r="DL329">
        <v>0</v>
      </c>
      <c r="DM329">
        <v>6.7</v>
      </c>
      <c r="DN329">
        <v>9</v>
      </c>
      <c r="DO329">
        <f>AVERAGE(CV329:CZ329)</f>
        <v>7.4</v>
      </c>
      <c r="DQ329">
        <v>8</v>
      </c>
      <c r="DR329" t="s">
        <v>38</v>
      </c>
      <c r="DS329" t="s">
        <v>29</v>
      </c>
      <c r="DT329" t="s">
        <v>214</v>
      </c>
      <c r="DU329" t="s">
        <v>215</v>
      </c>
      <c r="DV329" t="s">
        <v>216</v>
      </c>
      <c r="DW329" t="s">
        <v>3805</v>
      </c>
      <c r="DX329" t="s">
        <v>3770</v>
      </c>
      <c r="DY329" t="s">
        <v>3771</v>
      </c>
      <c r="DZ329" t="s">
        <v>3772</v>
      </c>
      <c r="EA329" t="s">
        <v>3806</v>
      </c>
      <c r="EB329" t="s">
        <v>3807</v>
      </c>
      <c r="EC329" t="s">
        <v>3775</v>
      </c>
      <c r="ED329" t="s">
        <v>3776</v>
      </c>
      <c r="EE329" t="s">
        <v>4240</v>
      </c>
      <c r="EF329" t="s">
        <v>3809</v>
      </c>
      <c r="EG329" t="s">
        <v>3810</v>
      </c>
      <c r="EH329" t="s">
        <v>3811</v>
      </c>
      <c r="EI329" t="s">
        <v>4468</v>
      </c>
      <c r="EJ329" t="s">
        <v>3813</v>
      </c>
      <c r="EK329" t="s">
        <v>4469</v>
      </c>
      <c r="EL329" t="s">
        <v>3815</v>
      </c>
      <c r="EM329" t="s">
        <v>4470</v>
      </c>
      <c r="EN329" t="s">
        <v>3809</v>
      </c>
      <c r="EO329" t="s">
        <v>4589</v>
      </c>
      <c r="EP329" t="s">
        <v>3818</v>
      </c>
      <c r="EQ329">
        <v>7</v>
      </c>
      <c r="ER329">
        <v>8</v>
      </c>
      <c r="ES329">
        <v>8</v>
      </c>
      <c r="ET329">
        <v>8</v>
      </c>
      <c r="EU329">
        <v>8</v>
      </c>
      <c r="EV329">
        <v>0.1</v>
      </c>
      <c r="EW329">
        <v>0.1</v>
      </c>
      <c r="EX329">
        <v>0.2</v>
      </c>
      <c r="EY329">
        <v>0.3</v>
      </c>
      <c r="EZ329">
        <v>0.3</v>
      </c>
      <c r="FA329">
        <f>EV329*EQ329</f>
        <v>0.70000000000000007</v>
      </c>
      <c r="FB329">
        <f>EW329*ER329</f>
        <v>0.8</v>
      </c>
      <c r="FC329">
        <f>EX329*ES329</f>
        <v>1.6</v>
      </c>
      <c r="FD329">
        <f>EY329*ET329</f>
        <v>2.4</v>
      </c>
      <c r="FE329">
        <f>EZ329*EU329</f>
        <v>2.4</v>
      </c>
      <c r="FF329">
        <v>15</v>
      </c>
      <c r="FG329">
        <v>0</v>
      </c>
      <c r="FH329">
        <v>8</v>
      </c>
      <c r="FI329">
        <f>FA329+FB329+FC329+FD329+FE329</f>
        <v>7.9</v>
      </c>
      <c r="FJ329">
        <f>MEDIAN(EQ329:EU329)</f>
        <v>8</v>
      </c>
      <c r="FL329">
        <v>72.28</v>
      </c>
      <c r="FM329">
        <v>7</v>
      </c>
      <c r="FN329" t="s">
        <v>2158</v>
      </c>
      <c r="FO329" t="s">
        <v>2159</v>
      </c>
      <c r="FP329" t="s">
        <v>2160</v>
      </c>
      <c r="FQ329" t="s">
        <v>2161</v>
      </c>
      <c r="FR329" t="s">
        <v>2162</v>
      </c>
      <c r="FS329">
        <v>5</v>
      </c>
      <c r="FT329">
        <v>4</v>
      </c>
      <c r="FU329">
        <v>3</v>
      </c>
      <c r="FV329">
        <v>6</v>
      </c>
      <c r="FW329">
        <v>7</v>
      </c>
      <c r="FX329">
        <v>0.1</v>
      </c>
      <c r="FY329">
        <v>0.1</v>
      </c>
      <c r="FZ329">
        <v>0.2</v>
      </c>
      <c r="GA329">
        <v>0.3</v>
      </c>
      <c r="GB329">
        <v>0.3</v>
      </c>
      <c r="GC329">
        <f>FS329*FX329</f>
        <v>0.5</v>
      </c>
      <c r="GD329">
        <f>FT329*FY329</f>
        <v>0.4</v>
      </c>
      <c r="GE329">
        <f>FU329*FZ329</f>
        <v>0.60000000000000009</v>
      </c>
      <c r="GF329">
        <f>FV329*GA329</f>
        <v>1.7999999999999998</v>
      </c>
      <c r="GG329">
        <f>FW329*GB329</f>
        <v>2.1</v>
      </c>
      <c r="GH329">
        <v>7</v>
      </c>
      <c r="GI329">
        <v>0</v>
      </c>
      <c r="GJ329">
        <v>7</v>
      </c>
      <c r="GK329">
        <f>GC329+GD329+GE329+GF329+GG329</f>
        <v>5.4</v>
      </c>
      <c r="GL329">
        <f>MEDIAN(FS329:FW329)</f>
        <v>5</v>
      </c>
    </row>
    <row r="330" spans="1:194" hidden="1" x14ac:dyDescent="0.25">
      <c r="A330">
        <v>329</v>
      </c>
      <c r="B330" t="s">
        <v>2</v>
      </c>
      <c r="C330" s="4">
        <v>79.2</v>
      </c>
      <c r="D330">
        <v>3.3</v>
      </c>
      <c r="E330" s="1">
        <f>C330/3/D330</f>
        <v>8.0000000000000018</v>
      </c>
      <c r="G330">
        <v>35.44</v>
      </c>
      <c r="H330">
        <v>7.4</v>
      </c>
      <c r="I330">
        <f>H330*D330*3</f>
        <v>73.259999999999991</v>
      </c>
      <c r="J330">
        <v>15.85</v>
      </c>
      <c r="K330">
        <v>9</v>
      </c>
      <c r="L330" s="3">
        <f>K330*3*D330</f>
        <v>89.1</v>
      </c>
      <c r="M330">
        <v>4.8600000000000003</v>
      </c>
      <c r="N330">
        <v>5.7</v>
      </c>
      <c r="O330">
        <f>N330*D330*3</f>
        <v>56.429999999999993</v>
      </c>
      <c r="P330" s="5">
        <v>7.9</v>
      </c>
      <c r="Q330" s="5">
        <f>P330*D330*3</f>
        <v>78.210000000000008</v>
      </c>
      <c r="S330" t="s">
        <v>6453</v>
      </c>
      <c r="T330">
        <v>8.1999999999999993</v>
      </c>
      <c r="U330" s="8">
        <f>T330*D330*3</f>
        <v>81.179999999999978</v>
      </c>
      <c r="V330">
        <v>34.97</v>
      </c>
      <c r="W330">
        <v>8.6</v>
      </c>
      <c r="X330" s="5">
        <f>W330*D330*3</f>
        <v>85.14</v>
      </c>
      <c r="Y330">
        <v>12.17</v>
      </c>
      <c r="Z330">
        <v>7.8</v>
      </c>
      <c r="AA330">
        <f>Z330*D330*3</f>
        <v>77.22</v>
      </c>
      <c r="AC330">
        <v>143.69</v>
      </c>
      <c r="AD330">
        <v>8</v>
      </c>
      <c r="AE330" s="1">
        <f>AD330*3*D330</f>
        <v>79.199999999999989</v>
      </c>
      <c r="AF330">
        <v>11.99</v>
      </c>
      <c r="AG330" s="5">
        <v>7</v>
      </c>
      <c r="AH330" s="5">
        <f>AG330*D330*3</f>
        <v>69.3</v>
      </c>
      <c r="AI330" s="13"/>
      <c r="AK330" s="8">
        <f>AJ330*D330*3</f>
        <v>0</v>
      </c>
      <c r="AL330" s="13"/>
      <c r="AM330">
        <v>29.71</v>
      </c>
      <c r="AN330">
        <v>7.2</v>
      </c>
      <c r="AO330" s="8">
        <f>AN330*D330*3</f>
        <v>71.28</v>
      </c>
      <c r="AP330">
        <v>13.27</v>
      </c>
      <c r="AQ330">
        <v>10</v>
      </c>
      <c r="AR330">
        <f>AQ330*D330*3</f>
        <v>99</v>
      </c>
      <c r="AT330">
        <v>8.6999999999999993</v>
      </c>
      <c r="AU330">
        <f>AT330*D330*3</f>
        <v>86.13</v>
      </c>
      <c r="AX330">
        <v>9.3000000000000007</v>
      </c>
      <c r="AY330">
        <f>AX330*D330*3</f>
        <v>92.070000000000007</v>
      </c>
      <c r="BA330">
        <v>9</v>
      </c>
      <c r="BB330">
        <f>BA330*D330*3</f>
        <v>89.1</v>
      </c>
      <c r="BD330">
        <v>7.3</v>
      </c>
      <c r="BE330">
        <f>BD330*D330*3</f>
        <v>72.27</v>
      </c>
      <c r="BG330" s="10"/>
      <c r="BH330" s="1">
        <f>CHOOSE(MATCH(MIN(ABS(BP330-C330),ABS(BQ330-C330),ABS(BR330-C330)),CHOOSE({1;2;3},ABS(BP330-C330),ABS(BQ330-C330),ABS(BR330-C330)),0),BP330,BQ330,BR330)</f>
        <v>79.199999999999989</v>
      </c>
      <c r="BJ330" s="1" cm="1">
        <f t="array" ref="BJ330">(INDEX(_xlfn._xlws.SORT(CHOOSE({1;2;3;4;5;6},BQ330,BR330,L330,AE330,BO330,BP330)),3) + INDEX(_xlfn._xlws.SORT(CHOOSE({1;2;3;4;5;6},BQ330,BR330,L330,AE330,BO330,BP330)),4))/2</f>
        <v>81.674999999999983</v>
      </c>
      <c r="BK330">
        <v>8.0310522817817702</v>
      </c>
      <c r="BL330" t="s">
        <v>6117</v>
      </c>
      <c r="BM330" s="1">
        <f>BK330*3*D330</f>
        <v>79.50741758963953</v>
      </c>
      <c r="BN330" s="1">
        <f>BM330-C330</f>
        <v>0.30741758963952748</v>
      </c>
      <c r="BO330" s="1">
        <f>GK330*3*D330</f>
        <v>77.219999999999985</v>
      </c>
      <c r="BP330" s="1">
        <f>DO330*3*D330</f>
        <v>85.139999999999986</v>
      </c>
      <c r="BQ330" s="1">
        <f>FJ330*3*D330</f>
        <v>79.199999999999989</v>
      </c>
      <c r="BR330" s="1">
        <f>GL330*3*D330</f>
        <v>84.149999999999991</v>
      </c>
      <c r="BT330">
        <v>35.44</v>
      </c>
      <c r="BU330">
        <v>7.4</v>
      </c>
      <c r="BV330" t="s">
        <v>5195</v>
      </c>
      <c r="BW330" t="s">
        <v>5996</v>
      </c>
      <c r="BX330" t="s">
        <v>5997</v>
      </c>
      <c r="CA330" t="s">
        <v>2550</v>
      </c>
      <c r="CC330" t="s">
        <v>2634</v>
      </c>
      <c r="CD330" t="s">
        <v>2635</v>
      </c>
      <c r="CE330" t="s">
        <v>2553</v>
      </c>
      <c r="CG330" t="s">
        <v>2634</v>
      </c>
      <c r="CH330" t="s">
        <v>2773</v>
      </c>
      <c r="CI330" t="s">
        <v>2774</v>
      </c>
      <c r="CK330" t="s">
        <v>2634</v>
      </c>
      <c r="CL330" t="s">
        <v>2775</v>
      </c>
      <c r="CM330" t="s">
        <v>3136</v>
      </c>
      <c r="CO330" t="s">
        <v>2634</v>
      </c>
      <c r="CP330" t="s">
        <v>2776</v>
      </c>
      <c r="CQ330" t="s">
        <v>2926</v>
      </c>
      <c r="CR330" t="s">
        <v>3184</v>
      </c>
      <c r="CS330" t="s">
        <v>3185</v>
      </c>
      <c r="CT330" t="s">
        <v>3623</v>
      </c>
      <c r="CV330">
        <v>9</v>
      </c>
      <c r="CW330">
        <v>9</v>
      </c>
      <c r="CX330">
        <v>9</v>
      </c>
      <c r="CY330">
        <v>9</v>
      </c>
      <c r="CZ330">
        <v>7</v>
      </c>
      <c r="DA330">
        <v>0.1</v>
      </c>
      <c r="DB330">
        <v>0.1</v>
      </c>
      <c r="DC330">
        <v>0.2</v>
      </c>
      <c r="DD330">
        <v>0.3</v>
      </c>
      <c r="DE330">
        <v>0.3</v>
      </c>
      <c r="DF330">
        <v>0.9</v>
      </c>
      <c r="DG330">
        <v>0.9</v>
      </c>
      <c r="DH330">
        <v>1.8</v>
      </c>
      <c r="DI330">
        <v>2.7</v>
      </c>
      <c r="DJ330">
        <v>2.1</v>
      </c>
      <c r="DK330">
        <v>7.4</v>
      </c>
      <c r="DL330">
        <v>0</v>
      </c>
      <c r="DM330">
        <v>7.4</v>
      </c>
      <c r="DN330">
        <v>9</v>
      </c>
      <c r="DO330">
        <f>AVERAGE(CV330:CZ330)</f>
        <v>8.6</v>
      </c>
      <c r="DQ330" t="s">
        <v>27</v>
      </c>
      <c r="DR330" t="s">
        <v>52</v>
      </c>
      <c r="DS330" t="s">
        <v>204</v>
      </c>
      <c r="DT330" t="s">
        <v>534</v>
      </c>
      <c r="DU330" t="s">
        <v>535</v>
      </c>
      <c r="DV330" t="s">
        <v>536</v>
      </c>
      <c r="DW330" t="s">
        <v>3836</v>
      </c>
      <c r="DX330" t="s">
        <v>3858</v>
      </c>
      <c r="DY330" t="s">
        <v>4119</v>
      </c>
      <c r="DZ330" t="s">
        <v>4120</v>
      </c>
      <c r="EA330" t="s">
        <v>3860</v>
      </c>
      <c r="EB330" t="s">
        <v>4121</v>
      </c>
      <c r="EC330" t="s">
        <v>4122</v>
      </c>
      <c r="ED330" t="s">
        <v>4123</v>
      </c>
      <c r="EE330" t="s">
        <v>3966</v>
      </c>
      <c r="EF330" t="s">
        <v>4896</v>
      </c>
      <c r="EG330" t="s">
        <v>4897</v>
      </c>
      <c r="EH330" t="s">
        <v>4898</v>
      </c>
      <c r="EI330" t="s">
        <v>3246</v>
      </c>
      <c r="EJ330" t="s">
        <v>4899</v>
      </c>
      <c r="EK330" t="s">
        <v>4900</v>
      </c>
      <c r="EL330" t="s">
        <v>4901</v>
      </c>
      <c r="EM330" t="s">
        <v>4024</v>
      </c>
      <c r="EN330" t="s">
        <v>4902</v>
      </c>
      <c r="EO330" t="s">
        <v>4903</v>
      </c>
      <c r="EP330" t="s">
        <v>4904</v>
      </c>
      <c r="EQ330">
        <v>8</v>
      </c>
      <c r="ER330">
        <v>8</v>
      </c>
      <c r="ES330">
        <v>8</v>
      </c>
      <c r="ET330">
        <v>8</v>
      </c>
      <c r="EU330">
        <v>8</v>
      </c>
      <c r="EV330">
        <v>0.1</v>
      </c>
      <c r="EW330">
        <v>0.1</v>
      </c>
      <c r="EX330">
        <v>0.2</v>
      </c>
      <c r="EY330">
        <v>0.3</v>
      </c>
      <c r="EZ330">
        <v>0.3</v>
      </c>
      <c r="FA330">
        <f>EV330*EQ330</f>
        <v>0.8</v>
      </c>
      <c r="FB330">
        <f>EW330*ER330</f>
        <v>0.8</v>
      </c>
      <c r="FC330">
        <f>EX330*ES330</f>
        <v>1.6</v>
      </c>
      <c r="FD330">
        <f>EY330*ET330</f>
        <v>2.4</v>
      </c>
      <c r="FE330">
        <f>EZ330*EU330</f>
        <v>2.4</v>
      </c>
      <c r="FF330">
        <v>16</v>
      </c>
      <c r="FG330">
        <v>0</v>
      </c>
      <c r="FH330">
        <v>9</v>
      </c>
      <c r="FI330">
        <f>FA330+FB330+FC330+FD330+FE330</f>
        <v>8</v>
      </c>
      <c r="FJ330">
        <f>MEDIAN(EQ330:EU330)</f>
        <v>8</v>
      </c>
      <c r="FL330">
        <v>42.37</v>
      </c>
      <c r="FM330">
        <v>7</v>
      </c>
      <c r="FN330" t="s">
        <v>2163</v>
      </c>
      <c r="FO330" t="s">
        <v>2164</v>
      </c>
      <c r="FP330" t="s">
        <v>2165</v>
      </c>
      <c r="FQ330" t="s">
        <v>2166</v>
      </c>
      <c r="FR330" t="s">
        <v>2167</v>
      </c>
      <c r="FS330">
        <v>7</v>
      </c>
      <c r="FT330">
        <v>9</v>
      </c>
      <c r="FU330">
        <v>8.5</v>
      </c>
      <c r="FV330">
        <v>8.5</v>
      </c>
      <c r="FW330">
        <v>6.5</v>
      </c>
      <c r="FX330">
        <v>0.1</v>
      </c>
      <c r="FY330">
        <v>0.1</v>
      </c>
      <c r="FZ330">
        <v>0.2</v>
      </c>
      <c r="GA330">
        <v>0.3</v>
      </c>
      <c r="GB330">
        <v>0.3</v>
      </c>
      <c r="GC330">
        <f>FS330*FX330</f>
        <v>0.70000000000000007</v>
      </c>
      <c r="GD330">
        <f>FT330*FY330</f>
        <v>0.9</v>
      </c>
      <c r="GE330">
        <f>FU330*FZ330</f>
        <v>1.7000000000000002</v>
      </c>
      <c r="GF330">
        <f>FV330*GA330</f>
        <v>2.5499999999999998</v>
      </c>
      <c r="GG330">
        <f>FW330*GB330</f>
        <v>1.95</v>
      </c>
      <c r="GH330">
        <v>7</v>
      </c>
      <c r="GI330">
        <v>0</v>
      </c>
      <c r="GJ330">
        <v>7</v>
      </c>
      <c r="GK330">
        <f>GC330+GD330+GE330+GF330+GG330</f>
        <v>7.8</v>
      </c>
      <c r="GL330">
        <f>MEDIAN(FS330:FW330)</f>
        <v>8.5</v>
      </c>
    </row>
    <row r="331" spans="1:194" hidden="1" x14ac:dyDescent="0.25">
      <c r="A331">
        <v>330</v>
      </c>
      <c r="B331" t="s">
        <v>2</v>
      </c>
      <c r="C331" s="4">
        <v>80.849999999999994</v>
      </c>
      <c r="D331">
        <v>3.3</v>
      </c>
      <c r="E331" s="1">
        <f>C331/3/D331</f>
        <v>8.1666666666666661</v>
      </c>
      <c r="G331">
        <v>39.86</v>
      </c>
      <c r="H331">
        <v>8.4</v>
      </c>
      <c r="I331">
        <f>H331*D331*3</f>
        <v>83.16</v>
      </c>
      <c r="J331">
        <v>16.59</v>
      </c>
      <c r="K331">
        <v>9</v>
      </c>
      <c r="L331" s="3">
        <f>K331*3*D331</f>
        <v>89.1</v>
      </c>
      <c r="M331">
        <v>4.72</v>
      </c>
      <c r="N331">
        <v>5</v>
      </c>
      <c r="O331">
        <f>N331*D331*3</f>
        <v>49.5</v>
      </c>
      <c r="P331" s="5">
        <v>6.5</v>
      </c>
      <c r="Q331" s="5">
        <f>P331*D331*3</f>
        <v>64.349999999999994</v>
      </c>
      <c r="S331" t="s">
        <v>6454</v>
      </c>
      <c r="T331">
        <v>6.7</v>
      </c>
      <c r="U331" s="8">
        <f>T331*D331*3</f>
        <v>66.33</v>
      </c>
      <c r="V331">
        <v>37.94</v>
      </c>
      <c r="W331">
        <v>6</v>
      </c>
      <c r="X331" s="5">
        <f>W331*D331*3</f>
        <v>59.399999999999991</v>
      </c>
      <c r="Y331">
        <v>11.86</v>
      </c>
      <c r="Z331">
        <v>7.5</v>
      </c>
      <c r="AA331">
        <f>Z331*D331*3</f>
        <v>74.25</v>
      </c>
      <c r="AC331">
        <v>120.04</v>
      </c>
      <c r="AD331">
        <v>7.1</v>
      </c>
      <c r="AE331" s="1">
        <f>AD331*3*D331</f>
        <v>70.289999999999992</v>
      </c>
      <c r="AF331">
        <v>15.46</v>
      </c>
      <c r="AH331" s="5">
        <f>AG331*D331*3</f>
        <v>0</v>
      </c>
      <c r="AI331" s="13"/>
      <c r="AK331" s="8">
        <f>AJ331*D331*3</f>
        <v>0</v>
      </c>
      <c r="AL331" s="13"/>
      <c r="AM331">
        <v>30.55</v>
      </c>
      <c r="AN331">
        <v>7.2</v>
      </c>
      <c r="AO331" s="8">
        <f>AN331*D331*3</f>
        <v>71.28</v>
      </c>
      <c r="AP331">
        <v>15.34</v>
      </c>
      <c r="AQ331">
        <v>10</v>
      </c>
      <c r="AR331">
        <f>AQ331*D331*3</f>
        <v>99</v>
      </c>
      <c r="AT331">
        <v>9</v>
      </c>
      <c r="AU331">
        <f>AT331*D331*3</f>
        <v>89.1</v>
      </c>
      <c r="AX331">
        <v>7.7</v>
      </c>
      <c r="AY331">
        <f>AX331*D331*3</f>
        <v>76.23</v>
      </c>
      <c r="BA331">
        <v>8.4</v>
      </c>
      <c r="BB331">
        <f>BA331*D331*3</f>
        <v>83.16</v>
      </c>
      <c r="BD331">
        <v>9</v>
      </c>
      <c r="BE331">
        <f>BD331*D331*3</f>
        <v>89.1</v>
      </c>
      <c r="BG331" s="10"/>
      <c r="BH331" s="1">
        <f>CHOOSE(MATCH(MIN(ABS(BP331-C331),ABS(BQ331-C331),ABS(BR331-C331)),CHOOSE({1;2;3},ABS(BP331-C331),ABS(BQ331-C331),ABS(BR331-C331)),0),BP331,BQ331,BR331)</f>
        <v>85.139999999999986</v>
      </c>
      <c r="BJ331" s="1" cm="1">
        <f t="array" ref="BJ331">(INDEX(_xlfn._xlws.SORT(CHOOSE({1;2;3;4;5;6},BQ331,BR331,L331,AE331,BO331,BP331)),3) + INDEX(_xlfn._xlws.SORT(CHOOSE({1;2;3;4;5;6},BQ331,BR331,L331,AE331,BO331,BP331)),4))/2</f>
        <v>69.794999999999987</v>
      </c>
      <c r="BK331">
        <v>8.1298194185450701</v>
      </c>
      <c r="BL331" t="s">
        <v>6117</v>
      </c>
      <c r="BM331" s="1">
        <f>BK331*3*D331</f>
        <v>80.485212243596195</v>
      </c>
      <c r="BN331" s="1">
        <f>BM331-C331</f>
        <v>-0.36478775640379979</v>
      </c>
      <c r="BO331" s="1">
        <f>GK331*3*D331</f>
        <v>66.329999999999984</v>
      </c>
      <c r="BP331" s="1">
        <f>DO331*3*D331</f>
        <v>85.139999999999986</v>
      </c>
      <c r="BQ331" s="1">
        <f>FJ331*3*D331</f>
        <v>69.3</v>
      </c>
      <c r="BR331" s="1">
        <f>GL331*3*D331</f>
        <v>69.3</v>
      </c>
      <c r="BT331">
        <v>39.86</v>
      </c>
      <c r="BU331">
        <v>8.4</v>
      </c>
      <c r="BV331" t="s">
        <v>5998</v>
      </c>
      <c r="BW331" t="s">
        <v>5999</v>
      </c>
      <c r="BX331" t="s">
        <v>6000</v>
      </c>
      <c r="BY331" t="s">
        <v>6001</v>
      </c>
      <c r="BZ331" t="s">
        <v>6002</v>
      </c>
      <c r="CA331" t="s">
        <v>3624</v>
      </c>
      <c r="CB331" t="s">
        <v>3625</v>
      </c>
      <c r="CC331" t="s">
        <v>3626</v>
      </c>
      <c r="CD331" t="s">
        <v>3627</v>
      </c>
      <c r="CE331" t="s">
        <v>3628</v>
      </c>
      <c r="CF331" t="s">
        <v>3629</v>
      </c>
      <c r="CG331" t="s">
        <v>3630</v>
      </c>
      <c r="CH331" t="s">
        <v>3631</v>
      </c>
      <c r="CI331" t="s">
        <v>3632</v>
      </c>
      <c r="CJ331" t="s">
        <v>3633</v>
      </c>
      <c r="CK331" t="s">
        <v>3634</v>
      </c>
      <c r="CL331" t="s">
        <v>3635</v>
      </c>
      <c r="CM331" t="s">
        <v>3636</v>
      </c>
      <c r="CN331" t="s">
        <v>3637</v>
      </c>
      <c r="CO331" t="s">
        <v>3638</v>
      </c>
      <c r="CP331" t="s">
        <v>3639</v>
      </c>
      <c r="CQ331" t="s">
        <v>3640</v>
      </c>
      <c r="CR331" t="s">
        <v>2890</v>
      </c>
      <c r="CS331" t="s">
        <v>3641</v>
      </c>
      <c r="CT331" t="s">
        <v>3642</v>
      </c>
      <c r="CV331">
        <v>9</v>
      </c>
      <c r="CW331">
        <v>9</v>
      </c>
      <c r="CX331">
        <v>9</v>
      </c>
      <c r="CY331">
        <v>8.5</v>
      </c>
      <c r="CZ331">
        <v>7.5</v>
      </c>
      <c r="DA331">
        <v>0.1</v>
      </c>
      <c r="DB331">
        <v>0.1</v>
      </c>
      <c r="DC331">
        <v>0.2</v>
      </c>
      <c r="DD331">
        <v>0.3</v>
      </c>
      <c r="DE331">
        <v>0.3</v>
      </c>
      <c r="DF331">
        <v>0.9</v>
      </c>
      <c r="DG331">
        <v>0.9</v>
      </c>
      <c r="DH331">
        <v>1.8</v>
      </c>
      <c r="DI331">
        <v>2.5499999999999998</v>
      </c>
      <c r="DJ331">
        <v>2.25</v>
      </c>
      <c r="DK331">
        <v>8.4</v>
      </c>
      <c r="DL331">
        <v>0</v>
      </c>
      <c r="DM331">
        <v>8.4</v>
      </c>
      <c r="DN331">
        <v>9</v>
      </c>
      <c r="DO331">
        <f>AVERAGE(CV331:CZ331)</f>
        <v>8.6</v>
      </c>
      <c r="DQ331">
        <v>17</v>
      </c>
      <c r="DR331" t="s">
        <v>28</v>
      </c>
      <c r="DS331" t="s">
        <v>108</v>
      </c>
      <c r="DT331" t="s">
        <v>109</v>
      </c>
      <c r="DU331" t="s">
        <v>537</v>
      </c>
      <c r="DV331" t="s">
        <v>395</v>
      </c>
      <c r="DW331" t="s">
        <v>3769</v>
      </c>
      <c r="DX331" t="s">
        <v>3770</v>
      </c>
      <c r="DY331" t="s">
        <v>3771</v>
      </c>
      <c r="DZ331" t="s">
        <v>3772</v>
      </c>
      <c r="EA331" t="s">
        <v>3828</v>
      </c>
      <c r="EB331" t="s">
        <v>3774</v>
      </c>
      <c r="EC331" t="s">
        <v>3775</v>
      </c>
      <c r="ED331" t="s">
        <v>3776</v>
      </c>
      <c r="EE331" t="s">
        <v>3777</v>
      </c>
      <c r="EF331" t="s">
        <v>3778</v>
      </c>
      <c r="EG331" t="s">
        <v>4014</v>
      </c>
      <c r="EH331" t="s">
        <v>4015</v>
      </c>
      <c r="EI331" t="s">
        <v>4016</v>
      </c>
      <c r="EJ331" t="s">
        <v>4174</v>
      </c>
      <c r="EK331" t="s">
        <v>4014</v>
      </c>
      <c r="EL331" t="s">
        <v>3815</v>
      </c>
      <c r="EM331" t="s">
        <v>4622</v>
      </c>
      <c r="EN331" t="s">
        <v>3786</v>
      </c>
      <c r="EO331" t="s">
        <v>4501</v>
      </c>
      <c r="EP331" t="s">
        <v>3818</v>
      </c>
      <c r="EQ331">
        <v>7</v>
      </c>
      <c r="ER331">
        <v>8</v>
      </c>
      <c r="ES331">
        <v>7</v>
      </c>
      <c r="ET331">
        <v>7</v>
      </c>
      <c r="EU331">
        <v>7</v>
      </c>
      <c r="EV331">
        <v>0.1</v>
      </c>
      <c r="EW331">
        <v>0.1</v>
      </c>
      <c r="EX331">
        <v>0.2</v>
      </c>
      <c r="EY331">
        <v>0.3</v>
      </c>
      <c r="EZ331">
        <v>0.3</v>
      </c>
      <c r="FA331">
        <f>EV331*EQ331</f>
        <v>0.70000000000000007</v>
      </c>
      <c r="FB331">
        <f>EW331*ER331</f>
        <v>0.8</v>
      </c>
      <c r="FC331">
        <f>EX331*ES331</f>
        <v>1.4000000000000001</v>
      </c>
      <c r="FD331">
        <f>EY331*ET331</f>
        <v>2.1</v>
      </c>
      <c r="FE331">
        <f>EZ331*EU331</f>
        <v>2.1</v>
      </c>
      <c r="FF331">
        <v>17</v>
      </c>
      <c r="FG331">
        <v>0</v>
      </c>
      <c r="FH331">
        <v>17</v>
      </c>
      <c r="FI331">
        <f>FA331+FB331+FC331+FD331+FE331</f>
        <v>7.1</v>
      </c>
      <c r="FJ331">
        <f>MEDIAN(EQ331:EU331)</f>
        <v>7</v>
      </c>
      <c r="FL331">
        <v>37.5</v>
      </c>
      <c r="FM331">
        <v>9.1</v>
      </c>
      <c r="FN331" t="s">
        <v>2168</v>
      </c>
      <c r="FO331" t="s">
        <v>2169</v>
      </c>
      <c r="FP331" t="s">
        <v>2170</v>
      </c>
      <c r="FQ331" t="s">
        <v>2171</v>
      </c>
      <c r="FR331" t="s">
        <v>2172</v>
      </c>
      <c r="FS331">
        <v>8</v>
      </c>
      <c r="FT331">
        <v>6</v>
      </c>
      <c r="FU331">
        <v>7</v>
      </c>
      <c r="FV331">
        <v>6</v>
      </c>
      <c r="FW331">
        <v>7</v>
      </c>
      <c r="FX331">
        <v>0.1</v>
      </c>
      <c r="FY331">
        <v>0.1</v>
      </c>
      <c r="FZ331">
        <v>0.2</v>
      </c>
      <c r="GA331">
        <v>0.3</v>
      </c>
      <c r="GB331">
        <v>0.3</v>
      </c>
      <c r="GC331">
        <f>FS331*FX331</f>
        <v>0.8</v>
      </c>
      <c r="GD331">
        <f>FT331*FY331</f>
        <v>0.60000000000000009</v>
      </c>
      <c r="GE331">
        <f>FU331*FZ331</f>
        <v>1.4000000000000001</v>
      </c>
      <c r="GF331">
        <f>FV331*GA331</f>
        <v>1.7999999999999998</v>
      </c>
      <c r="GG331">
        <f>FW331*GB331</f>
        <v>2.1</v>
      </c>
      <c r="GH331">
        <v>9.1</v>
      </c>
      <c r="GI331">
        <v>0</v>
      </c>
      <c r="GJ331">
        <v>9.1</v>
      </c>
      <c r="GK331">
        <f>GC331+GD331+GE331+GF331+GG331</f>
        <v>6.6999999999999993</v>
      </c>
      <c r="GL331">
        <f>MEDIAN(FS331:FW331)</f>
        <v>7</v>
      </c>
    </row>
    <row r="332" spans="1:194" hidden="1" x14ac:dyDescent="0.25">
      <c r="A332">
        <v>331</v>
      </c>
      <c r="B332" t="s">
        <v>2</v>
      </c>
      <c r="C332" s="4">
        <v>81</v>
      </c>
      <c r="D332">
        <v>3.6</v>
      </c>
      <c r="E332" s="1">
        <f>C332/3/D332</f>
        <v>7.5</v>
      </c>
      <c r="G332">
        <v>34.950000000000003</v>
      </c>
      <c r="H332">
        <v>8.1999999999999993</v>
      </c>
      <c r="I332">
        <f>H332*D332*3</f>
        <v>88.56</v>
      </c>
      <c r="J332">
        <v>16.690000000000001</v>
      </c>
      <c r="K332">
        <v>9</v>
      </c>
      <c r="L332" s="3">
        <f>K332*3*D332</f>
        <v>97.2</v>
      </c>
      <c r="M332">
        <v>4.6900000000000004</v>
      </c>
      <c r="N332">
        <v>3</v>
      </c>
      <c r="O332">
        <f>N332*D332*3</f>
        <v>32.400000000000006</v>
      </c>
      <c r="P332" s="5">
        <v>8</v>
      </c>
      <c r="Q332" s="5">
        <f>P332*D332*3</f>
        <v>86.4</v>
      </c>
      <c r="S332" t="s">
        <v>6455</v>
      </c>
      <c r="T332">
        <v>8.5</v>
      </c>
      <c r="U332" s="8">
        <f>T332*D332*3</f>
        <v>91.800000000000011</v>
      </c>
      <c r="V332">
        <v>34.46</v>
      </c>
      <c r="W332">
        <v>8.4</v>
      </c>
      <c r="X332" s="5">
        <f>W332*D332*3</f>
        <v>90.72</v>
      </c>
      <c r="Y332">
        <v>12.09</v>
      </c>
      <c r="Z332">
        <v>7.6</v>
      </c>
      <c r="AA332">
        <f>Z332*D332*3</f>
        <v>82.08</v>
      </c>
      <c r="AC332">
        <v>128.25</v>
      </c>
      <c r="AD332">
        <v>8</v>
      </c>
      <c r="AE332" s="1">
        <f>AD332*3*D332</f>
        <v>86.4</v>
      </c>
      <c r="AF332">
        <v>11.96</v>
      </c>
      <c r="AG332" s="5">
        <v>7</v>
      </c>
      <c r="AH332" s="5">
        <f>AG332*D332*3</f>
        <v>75.599999999999994</v>
      </c>
      <c r="AI332" s="13"/>
      <c r="AK332" s="8">
        <f>AJ332*D332*3</f>
        <v>0</v>
      </c>
      <c r="AL332" s="13"/>
      <c r="AM332">
        <v>31.22</v>
      </c>
      <c r="AN332">
        <v>5.0999999999999996</v>
      </c>
      <c r="AO332" s="8">
        <f>AN332*D332*3</f>
        <v>55.08</v>
      </c>
      <c r="AP332">
        <v>13.45</v>
      </c>
      <c r="AQ332">
        <v>10</v>
      </c>
      <c r="AR332">
        <f>AQ332*D332*3</f>
        <v>108</v>
      </c>
      <c r="AT332">
        <v>8.8000000000000007</v>
      </c>
      <c r="AU332">
        <f>AT332*D332*3</f>
        <v>95.04</v>
      </c>
      <c r="AX332">
        <v>9.3000000000000007</v>
      </c>
      <c r="AY332">
        <f>AX332*D332*3</f>
        <v>100.44000000000001</v>
      </c>
      <c r="BA332">
        <v>9</v>
      </c>
      <c r="BB332">
        <f>BA332*D332*3</f>
        <v>97.199999999999989</v>
      </c>
      <c r="BD332">
        <v>8.9</v>
      </c>
      <c r="BE332">
        <f>BD332*D332*3</f>
        <v>96.12</v>
      </c>
      <c r="BG332" s="10"/>
      <c r="BH332" s="1">
        <f>CHOOSE(MATCH(MIN(ABS(BP332-C332),ABS(BQ332-C332),ABS(BR332-C332)),CHOOSE({1;2;3},ABS(BP332-C332),ABS(BQ332-C332),ABS(BR332-C332)),0),BP332,BQ332,BR332)</f>
        <v>86.4</v>
      </c>
      <c r="BJ332" s="1" cm="1">
        <f t="array" ref="BJ332">(INDEX(_xlfn._xlws.SORT(CHOOSE({1;2;3;4;5;6},BQ332,BR332,L332,AE332,BO332,BP332)),3) + INDEX(_xlfn._xlws.SORT(CHOOSE({1;2;3;4;5;6},BQ332,BR332,L332,AE332,BO332,BP332)),4))/2</f>
        <v>86.4</v>
      </c>
      <c r="BK332">
        <v>7.5887252948934796</v>
      </c>
      <c r="BL332" t="s">
        <v>6117</v>
      </c>
      <c r="BM332" s="1">
        <f>BK332*3*D332</f>
        <v>81.95823318484959</v>
      </c>
      <c r="BN332" s="1">
        <f>BM332-C332</f>
        <v>0.95823318484958975</v>
      </c>
      <c r="BO332" s="1">
        <f>GK332*3*D332</f>
        <v>56.16</v>
      </c>
      <c r="BP332" s="1">
        <f>DO332*3*D332</f>
        <v>97.2</v>
      </c>
      <c r="BQ332" s="1">
        <f>FJ332*3*D332</f>
        <v>86.4</v>
      </c>
      <c r="BR332" s="1">
        <f>GL332*3*D332</f>
        <v>43.2</v>
      </c>
      <c r="BT332">
        <v>34.950000000000003</v>
      </c>
      <c r="BU332">
        <v>8.1999999999999993</v>
      </c>
      <c r="BV332" t="s">
        <v>5534</v>
      </c>
      <c r="BW332" t="s">
        <v>5139</v>
      </c>
      <c r="BX332" t="s">
        <v>6003</v>
      </c>
      <c r="BY332" t="s">
        <v>6004</v>
      </c>
      <c r="BZ332" t="s">
        <v>6005</v>
      </c>
      <c r="CA332" t="s">
        <v>2723</v>
      </c>
      <c r="CC332" t="s">
        <v>2758</v>
      </c>
      <c r="CD332" t="s">
        <v>2873</v>
      </c>
      <c r="CE332" t="s">
        <v>2440</v>
      </c>
      <c r="CG332" t="s">
        <v>2761</v>
      </c>
      <c r="CH332" t="s">
        <v>2874</v>
      </c>
      <c r="CI332" t="s">
        <v>2443</v>
      </c>
      <c r="CK332" t="s">
        <v>2795</v>
      </c>
      <c r="CL332" t="s">
        <v>2875</v>
      </c>
      <c r="CM332" t="s">
        <v>2446</v>
      </c>
      <c r="CO332" t="s">
        <v>2796</v>
      </c>
      <c r="CP332" t="s">
        <v>2876</v>
      </c>
      <c r="CQ332" t="s">
        <v>2449</v>
      </c>
      <c r="CS332" t="s">
        <v>2679</v>
      </c>
      <c r="CT332" t="s">
        <v>2877</v>
      </c>
      <c r="CV332">
        <v>9</v>
      </c>
      <c r="CW332">
        <v>9</v>
      </c>
      <c r="CX332">
        <v>9</v>
      </c>
      <c r="CY332">
        <v>9</v>
      </c>
      <c r="CZ332">
        <v>9</v>
      </c>
      <c r="DA332">
        <v>0.1</v>
      </c>
      <c r="DB332">
        <v>0.1</v>
      </c>
      <c r="DC332">
        <v>0.2</v>
      </c>
      <c r="DD332">
        <v>0.3</v>
      </c>
      <c r="DE332">
        <v>0.3</v>
      </c>
      <c r="DF332">
        <v>0.9</v>
      </c>
      <c r="DG332">
        <v>0.9</v>
      </c>
      <c r="DH332">
        <v>1.8</v>
      </c>
      <c r="DI332">
        <v>2.7</v>
      </c>
      <c r="DJ332">
        <v>2.7</v>
      </c>
      <c r="DK332">
        <v>8.1999999999999993</v>
      </c>
      <c r="DL332">
        <v>0</v>
      </c>
      <c r="DM332">
        <v>8.1999999999999993</v>
      </c>
      <c r="DN332">
        <v>9</v>
      </c>
      <c r="DO332">
        <f>AVERAGE(CV332:CZ332)</f>
        <v>9</v>
      </c>
      <c r="DQ332" t="s">
        <v>27</v>
      </c>
      <c r="DR332" t="s">
        <v>52</v>
      </c>
      <c r="DS332" t="s">
        <v>204</v>
      </c>
      <c r="DT332" t="s">
        <v>70</v>
      </c>
      <c r="DU332" t="s">
        <v>71</v>
      </c>
      <c r="DV332" t="s">
        <v>56</v>
      </c>
      <c r="DW332" t="s">
        <v>3836</v>
      </c>
      <c r="DX332" t="s">
        <v>3858</v>
      </c>
      <c r="DY332" t="s">
        <v>3883</v>
      </c>
      <c r="DZ332" t="s">
        <v>3884</v>
      </c>
      <c r="EA332" t="s">
        <v>3860</v>
      </c>
      <c r="EB332" t="s">
        <v>3840</v>
      </c>
      <c r="EC332" t="s">
        <v>3885</v>
      </c>
      <c r="ED332" t="s">
        <v>4244</v>
      </c>
      <c r="EE332" t="s">
        <v>3886</v>
      </c>
      <c r="EF332" t="s">
        <v>4245</v>
      </c>
      <c r="EG332" t="s">
        <v>3888</v>
      </c>
      <c r="EH332" t="s">
        <v>4246</v>
      </c>
      <c r="EI332" t="s">
        <v>3879</v>
      </c>
      <c r="EJ332" t="s">
        <v>4247</v>
      </c>
      <c r="EK332" t="s">
        <v>3891</v>
      </c>
      <c r="EL332" t="s">
        <v>4249</v>
      </c>
      <c r="EM332" t="s">
        <v>3851</v>
      </c>
      <c r="EN332" t="s">
        <v>4250</v>
      </c>
      <c r="EO332" t="s">
        <v>4905</v>
      </c>
      <c r="EP332" t="s">
        <v>4132</v>
      </c>
      <c r="EQ332">
        <v>8</v>
      </c>
      <c r="ER332">
        <v>8</v>
      </c>
      <c r="ES332">
        <v>8</v>
      </c>
      <c r="ET332">
        <v>8</v>
      </c>
      <c r="EU332">
        <v>8</v>
      </c>
      <c r="EV332">
        <v>0.1</v>
      </c>
      <c r="EW332">
        <v>0.1</v>
      </c>
      <c r="EX332">
        <v>0.2</v>
      </c>
      <c r="EY332">
        <v>0.3</v>
      </c>
      <c r="EZ332">
        <v>0.3</v>
      </c>
      <c r="FA332">
        <f>EV332*EQ332</f>
        <v>0.8</v>
      </c>
      <c r="FB332">
        <f>EW332*ER332</f>
        <v>0.8</v>
      </c>
      <c r="FC332">
        <f>EX332*ES332</f>
        <v>1.6</v>
      </c>
      <c r="FD332">
        <f>EY332*ET332</f>
        <v>2.4</v>
      </c>
      <c r="FE332">
        <f>EZ332*EU332</f>
        <v>2.4</v>
      </c>
      <c r="FF332">
        <v>16</v>
      </c>
      <c r="FG332">
        <v>0</v>
      </c>
      <c r="FH332">
        <v>9</v>
      </c>
      <c r="FI332">
        <f>FA332+FB332+FC332+FD332+FE332</f>
        <v>8</v>
      </c>
      <c r="FJ332">
        <f>MEDIAN(EQ332:EU332)</f>
        <v>8</v>
      </c>
      <c r="FL332">
        <v>37.61</v>
      </c>
      <c r="FM332">
        <v>9</v>
      </c>
      <c r="FN332" t="s">
        <v>2173</v>
      </c>
      <c r="FO332" t="s">
        <v>2174</v>
      </c>
      <c r="FP332" t="s">
        <v>2175</v>
      </c>
      <c r="FQ332" t="s">
        <v>2176</v>
      </c>
      <c r="FR332" t="s">
        <v>2177</v>
      </c>
      <c r="FS332">
        <v>2</v>
      </c>
      <c r="FT332">
        <v>3</v>
      </c>
      <c r="FU332">
        <v>4</v>
      </c>
      <c r="FV332">
        <v>6</v>
      </c>
      <c r="FW332">
        <v>7</v>
      </c>
      <c r="FX332">
        <v>0.1</v>
      </c>
      <c r="FY332">
        <v>0.1</v>
      </c>
      <c r="FZ332">
        <v>0.2</v>
      </c>
      <c r="GA332">
        <v>0.3</v>
      </c>
      <c r="GB332">
        <v>0.3</v>
      </c>
      <c r="GC332">
        <f>FS332*FX332</f>
        <v>0.2</v>
      </c>
      <c r="GD332">
        <f>FT332*FY332</f>
        <v>0.30000000000000004</v>
      </c>
      <c r="GE332">
        <f>FU332*FZ332</f>
        <v>0.8</v>
      </c>
      <c r="GF332">
        <f>FV332*GA332</f>
        <v>1.7999999999999998</v>
      </c>
      <c r="GG332">
        <f>FW332*GB332</f>
        <v>2.1</v>
      </c>
      <c r="GH332">
        <v>9</v>
      </c>
      <c r="GI332">
        <v>0</v>
      </c>
      <c r="GJ332">
        <v>9</v>
      </c>
      <c r="GK332">
        <f>GC332+GD332+GE332+GF332+GG332</f>
        <v>5.1999999999999993</v>
      </c>
      <c r="GL332">
        <f>MEDIAN(FS332:FW332)</f>
        <v>4</v>
      </c>
    </row>
    <row r="333" spans="1:194" hidden="1" x14ac:dyDescent="0.25">
      <c r="A333">
        <v>332</v>
      </c>
      <c r="B333" t="s">
        <v>2</v>
      </c>
      <c r="C333" s="4">
        <v>99.9</v>
      </c>
      <c r="D333">
        <v>3.7</v>
      </c>
      <c r="E333" s="1">
        <f>C333/3/D333</f>
        <v>9</v>
      </c>
      <c r="G333">
        <v>95.23</v>
      </c>
      <c r="H333">
        <v>8.1999999999999993</v>
      </c>
      <c r="I333">
        <f>H333*D333*3</f>
        <v>91.02</v>
      </c>
      <c r="J333">
        <v>16.87</v>
      </c>
      <c r="K333">
        <v>8.4</v>
      </c>
      <c r="L333" s="3">
        <f>K333*3*D333</f>
        <v>93.240000000000009</v>
      </c>
      <c r="M333">
        <v>5.4</v>
      </c>
      <c r="N333">
        <v>4</v>
      </c>
      <c r="O333">
        <f>N333*D333*3</f>
        <v>44.400000000000006</v>
      </c>
      <c r="P333" s="5">
        <v>8.6</v>
      </c>
      <c r="Q333" s="5">
        <f>P333*D333*3</f>
        <v>95.460000000000008</v>
      </c>
      <c r="S333" t="s">
        <v>6456</v>
      </c>
      <c r="T333">
        <v>6</v>
      </c>
      <c r="U333" s="8">
        <f>T333*D333*3</f>
        <v>66.600000000000009</v>
      </c>
      <c r="V333">
        <v>42.16</v>
      </c>
      <c r="W333">
        <v>8</v>
      </c>
      <c r="X333" s="5">
        <f>W333*D333*3</f>
        <v>88.800000000000011</v>
      </c>
      <c r="Y333">
        <v>9.23</v>
      </c>
      <c r="Z333">
        <v>8.5</v>
      </c>
      <c r="AA333">
        <f>Z333*D333*3</f>
        <v>94.350000000000009</v>
      </c>
      <c r="AC333">
        <v>139.35</v>
      </c>
      <c r="AD333">
        <v>7</v>
      </c>
      <c r="AE333" s="1">
        <f>AD333*3*D333</f>
        <v>77.7</v>
      </c>
      <c r="AF333">
        <v>12</v>
      </c>
      <c r="AG333" s="5">
        <v>7</v>
      </c>
      <c r="AH333" s="5">
        <f>AG333*D333*3</f>
        <v>77.7</v>
      </c>
      <c r="AI333" s="13"/>
      <c r="AJ333">
        <v>29</v>
      </c>
      <c r="AK333" s="8">
        <f>AJ333*D333*3</f>
        <v>321.90000000000003</v>
      </c>
      <c r="AL333" s="13"/>
      <c r="AM333">
        <v>30.31</v>
      </c>
      <c r="AN333">
        <v>7.2</v>
      </c>
      <c r="AO333" s="8">
        <f>AN333*D333*3</f>
        <v>79.92</v>
      </c>
      <c r="AP333">
        <v>13.55</v>
      </c>
      <c r="AQ333">
        <v>10</v>
      </c>
      <c r="AR333">
        <f>AQ333*D333*3</f>
        <v>111</v>
      </c>
      <c r="AT333">
        <v>9</v>
      </c>
      <c r="AU333">
        <f>AT333*D333*3</f>
        <v>99.9</v>
      </c>
      <c r="AX333">
        <v>9.9</v>
      </c>
      <c r="AY333">
        <f>AX333*D333*3</f>
        <v>109.89000000000001</v>
      </c>
      <c r="BA333">
        <v>9.4</v>
      </c>
      <c r="BB333">
        <f>BA333*D333*3</f>
        <v>104.34</v>
      </c>
      <c r="BD333">
        <v>8.9</v>
      </c>
      <c r="BE333">
        <f>BD333*D333*3</f>
        <v>98.789999999999992</v>
      </c>
      <c r="BG333" s="10"/>
      <c r="BH333" s="1">
        <f>CHOOSE(MATCH(MIN(ABS(BP333-C333),ABS(BQ333-C333),ABS(BR333-C333)),CHOOSE({1;2;3},ABS(BP333-C333),ABS(BQ333-C333),ABS(BR333-C333)),0),BP333,BQ333,BR333)</f>
        <v>99.9</v>
      </c>
      <c r="BJ333" s="1" cm="1">
        <f t="array" ref="BJ333">(INDEX(_xlfn._xlws.SORT(CHOOSE({1;2;3;4;5;6},BQ333,BR333,L333,AE333,BO333,BP333)),3) + INDEX(_xlfn._xlws.SORT(CHOOSE({1;2;3;4;5;6},BQ333,BR333,L333,AE333,BO333,BP333)),4))/2</f>
        <v>90.465000000000003</v>
      </c>
      <c r="BK333">
        <v>8.9985157240716003</v>
      </c>
      <c r="BL333" t="s">
        <v>6117</v>
      </c>
      <c r="BM333" s="1">
        <f>BK333*3*D333</f>
        <v>99.883524537194759</v>
      </c>
      <c r="BN333" s="1">
        <f>BM333-C333</f>
        <v>-1.6475462805246366E-2</v>
      </c>
      <c r="BO333" s="1">
        <f>GK333*3*D333</f>
        <v>87.690000000000012</v>
      </c>
      <c r="BP333" s="1">
        <f>DO333*3*D333</f>
        <v>99.9</v>
      </c>
      <c r="BQ333" s="1">
        <f>FJ333*3*D333</f>
        <v>77.7</v>
      </c>
      <c r="BR333" s="1">
        <f>GL333*3*D333</f>
        <v>94.350000000000009</v>
      </c>
      <c r="BT333">
        <v>95.23</v>
      </c>
      <c r="BU333">
        <v>8.1999999999999993</v>
      </c>
      <c r="BV333" t="s">
        <v>4991</v>
      </c>
      <c r="BW333" t="s">
        <v>4992</v>
      </c>
      <c r="BX333" t="s">
        <v>4993</v>
      </c>
      <c r="BY333" t="s">
        <v>4994</v>
      </c>
      <c r="BZ333" t="s">
        <v>5227</v>
      </c>
      <c r="CA333" t="s">
        <v>2550</v>
      </c>
      <c r="CC333" t="s">
        <v>2634</v>
      </c>
      <c r="CD333" t="s">
        <v>2635</v>
      </c>
      <c r="CE333" t="s">
        <v>2667</v>
      </c>
      <c r="CG333" t="s">
        <v>2634</v>
      </c>
      <c r="CH333" t="s">
        <v>2637</v>
      </c>
      <c r="CI333" t="s">
        <v>3043</v>
      </c>
      <c r="CK333" t="s">
        <v>2634</v>
      </c>
      <c r="CL333" t="s">
        <v>2669</v>
      </c>
      <c r="CM333" t="s">
        <v>2670</v>
      </c>
      <c r="CO333" t="s">
        <v>2634</v>
      </c>
      <c r="CP333" t="s">
        <v>2671</v>
      </c>
      <c r="CQ333" t="s">
        <v>3643</v>
      </c>
      <c r="CS333" t="s">
        <v>2634</v>
      </c>
      <c r="CT333" t="s">
        <v>2645</v>
      </c>
      <c r="CV333">
        <v>9</v>
      </c>
      <c r="CW333">
        <v>9</v>
      </c>
      <c r="CX333">
        <v>9</v>
      </c>
      <c r="CY333">
        <v>9</v>
      </c>
      <c r="CZ333">
        <v>9</v>
      </c>
      <c r="DA333">
        <v>0.1</v>
      </c>
      <c r="DB333">
        <v>0.1</v>
      </c>
      <c r="DC333">
        <v>0.2</v>
      </c>
      <c r="DD333">
        <v>0.3</v>
      </c>
      <c r="DE333">
        <v>0.3</v>
      </c>
      <c r="DF333">
        <v>0.9</v>
      </c>
      <c r="DG333">
        <v>0.9</v>
      </c>
      <c r="DH333">
        <v>1.8</v>
      </c>
      <c r="DI333">
        <v>2.7</v>
      </c>
      <c r="DJ333">
        <v>2.7</v>
      </c>
      <c r="DK333">
        <v>8.1999999999999993</v>
      </c>
      <c r="DL333">
        <v>0</v>
      </c>
      <c r="DM333">
        <v>8.1999999999999993</v>
      </c>
      <c r="DN333">
        <v>8.4</v>
      </c>
      <c r="DO333">
        <f>AVERAGE(CV333:CZ333)</f>
        <v>9</v>
      </c>
      <c r="DQ333" t="s">
        <v>27</v>
      </c>
      <c r="DR333" t="s">
        <v>47</v>
      </c>
      <c r="DS333" t="s">
        <v>53</v>
      </c>
      <c r="DT333" t="s">
        <v>538</v>
      </c>
      <c r="DU333" t="s">
        <v>539</v>
      </c>
      <c r="DV333" t="s">
        <v>540</v>
      </c>
      <c r="DW333" t="s">
        <v>3805</v>
      </c>
      <c r="DX333" t="s">
        <v>3770</v>
      </c>
      <c r="DY333" t="s">
        <v>3771</v>
      </c>
      <c r="DZ333" t="s">
        <v>3772</v>
      </c>
      <c r="EA333" t="s">
        <v>3806</v>
      </c>
      <c r="EB333" t="s">
        <v>3774</v>
      </c>
      <c r="EC333" t="s">
        <v>3775</v>
      </c>
      <c r="ED333" t="s">
        <v>3776</v>
      </c>
      <c r="EE333" t="s">
        <v>3886</v>
      </c>
      <c r="EF333" t="s">
        <v>4020</v>
      </c>
      <c r="EG333" t="s">
        <v>4906</v>
      </c>
      <c r="EH333" t="s">
        <v>4015</v>
      </c>
      <c r="EI333" t="s">
        <v>4907</v>
      </c>
      <c r="EJ333" t="s">
        <v>3928</v>
      </c>
      <c r="EK333" t="s">
        <v>4908</v>
      </c>
      <c r="EL333" t="s">
        <v>3815</v>
      </c>
      <c r="EM333" t="s">
        <v>4544</v>
      </c>
      <c r="EN333" t="s">
        <v>3823</v>
      </c>
      <c r="EO333" t="s">
        <v>4909</v>
      </c>
      <c r="EP333" t="s">
        <v>3818</v>
      </c>
      <c r="EQ333">
        <v>7</v>
      </c>
      <c r="ER333">
        <v>7</v>
      </c>
      <c r="ES333">
        <v>7</v>
      </c>
      <c r="ET333">
        <v>7</v>
      </c>
      <c r="EU333">
        <v>7</v>
      </c>
      <c r="EV333">
        <v>0.1</v>
      </c>
      <c r="EW333">
        <v>0.1</v>
      </c>
      <c r="EX333">
        <v>0.2</v>
      </c>
      <c r="EY333">
        <v>0.3</v>
      </c>
      <c r="EZ333">
        <v>0.3</v>
      </c>
      <c r="FA333">
        <f>EV333*EQ333</f>
        <v>0.70000000000000007</v>
      </c>
      <c r="FB333">
        <f>EW333*ER333</f>
        <v>0.70000000000000007</v>
      </c>
      <c r="FC333">
        <f>EX333*ES333</f>
        <v>1.4000000000000001</v>
      </c>
      <c r="FD333">
        <f>EY333*ET333</f>
        <v>2.1</v>
      </c>
      <c r="FE333">
        <f>EZ333*EU333</f>
        <v>2.1</v>
      </c>
      <c r="FF333">
        <v>19</v>
      </c>
      <c r="FG333">
        <v>0</v>
      </c>
      <c r="FH333">
        <v>19</v>
      </c>
      <c r="FI333">
        <f>FA333+FB333+FC333+FD333+FE333</f>
        <v>7</v>
      </c>
      <c r="FJ333">
        <f>MEDIAN(EQ333:EU333)</f>
        <v>7</v>
      </c>
      <c r="FL333">
        <v>88.39</v>
      </c>
      <c r="FM333">
        <v>8.4</v>
      </c>
      <c r="FN333" t="s">
        <v>2178</v>
      </c>
      <c r="FO333" t="s">
        <v>2179</v>
      </c>
      <c r="FP333" t="s">
        <v>2180</v>
      </c>
      <c r="FQ333" t="s">
        <v>2181</v>
      </c>
      <c r="FR333" t="s">
        <v>2182</v>
      </c>
      <c r="FS333">
        <v>10</v>
      </c>
      <c r="FT333">
        <v>10</v>
      </c>
      <c r="FU333">
        <v>8.5</v>
      </c>
      <c r="FV333">
        <v>7.5</v>
      </c>
      <c r="FW333">
        <v>6.5</v>
      </c>
      <c r="FX333">
        <v>0.1</v>
      </c>
      <c r="FY333">
        <v>0.1</v>
      </c>
      <c r="FZ333">
        <v>0.2</v>
      </c>
      <c r="GA333">
        <v>0.3</v>
      </c>
      <c r="GB333">
        <v>0.3</v>
      </c>
      <c r="GC333">
        <f>FS333*FX333</f>
        <v>1</v>
      </c>
      <c r="GD333">
        <f>FT333*FY333</f>
        <v>1</v>
      </c>
      <c r="GE333">
        <f>FU333*FZ333</f>
        <v>1.7000000000000002</v>
      </c>
      <c r="GF333">
        <f>FV333*GA333</f>
        <v>2.25</v>
      </c>
      <c r="GG333">
        <f>FW333*GB333</f>
        <v>1.95</v>
      </c>
      <c r="GH333">
        <v>8.4</v>
      </c>
      <c r="GJ333">
        <v>8.4</v>
      </c>
      <c r="GK333">
        <f>GC333+GD333+GE333+GF333+GG333</f>
        <v>7.9</v>
      </c>
      <c r="GL333">
        <f>MEDIAN(FS333:FW333)</f>
        <v>8.5</v>
      </c>
    </row>
    <row r="334" spans="1:194" hidden="1" x14ac:dyDescent="0.25">
      <c r="A334">
        <v>333</v>
      </c>
      <c r="B334" t="s">
        <v>2</v>
      </c>
      <c r="C334" s="4">
        <v>89.1</v>
      </c>
      <c r="D334">
        <v>3.3</v>
      </c>
      <c r="E334" s="1">
        <f>C334/3/D334</f>
        <v>9</v>
      </c>
      <c r="G334">
        <v>86.06</v>
      </c>
      <c r="H334">
        <v>8</v>
      </c>
      <c r="I334">
        <f>H334*D334*3</f>
        <v>79.199999999999989</v>
      </c>
      <c r="J334">
        <v>17.27</v>
      </c>
      <c r="K334">
        <v>9</v>
      </c>
      <c r="L334" s="3">
        <f>K334*3*D334</f>
        <v>89.1</v>
      </c>
      <c r="M334">
        <v>4.6500000000000004</v>
      </c>
      <c r="N334">
        <v>5.5</v>
      </c>
      <c r="O334">
        <f>N334*D334*3</f>
        <v>54.449999999999996</v>
      </c>
      <c r="P334" s="5">
        <v>7</v>
      </c>
      <c r="Q334" s="5">
        <f>P334*D334*3</f>
        <v>69.3</v>
      </c>
      <c r="S334" t="s">
        <v>6457</v>
      </c>
      <c r="T334">
        <v>5.2</v>
      </c>
      <c r="U334" s="8">
        <f>T334*D334*3</f>
        <v>51.480000000000004</v>
      </c>
      <c r="V334">
        <v>36.82</v>
      </c>
      <c r="W334">
        <v>8</v>
      </c>
      <c r="X334" s="5">
        <f>W334*D334*3</f>
        <v>79.199999999999989</v>
      </c>
      <c r="Y334">
        <v>9.68</v>
      </c>
      <c r="Z334">
        <v>8</v>
      </c>
      <c r="AA334">
        <f>Z334*D334*3</f>
        <v>79.199999999999989</v>
      </c>
      <c r="AC334">
        <v>138.19999999999999</v>
      </c>
      <c r="AD334">
        <v>7.9</v>
      </c>
      <c r="AE334" s="1">
        <f>AD334*3*D334</f>
        <v>78.210000000000008</v>
      </c>
      <c r="AF334">
        <v>11.89</v>
      </c>
      <c r="AG334" s="5">
        <v>7</v>
      </c>
      <c r="AH334" s="5">
        <f>AG334*D334*3</f>
        <v>69.3</v>
      </c>
      <c r="AI334" s="13"/>
      <c r="AJ334">
        <v>23</v>
      </c>
      <c r="AK334" s="8">
        <f>AJ334*D334*3</f>
        <v>227.7</v>
      </c>
      <c r="AL334" s="13"/>
      <c r="AM334">
        <v>30.9</v>
      </c>
      <c r="AN334">
        <v>7.6</v>
      </c>
      <c r="AO334" s="8">
        <f>AN334*D334*3</f>
        <v>75.239999999999995</v>
      </c>
      <c r="AP334">
        <v>13.62</v>
      </c>
      <c r="AQ334">
        <v>10</v>
      </c>
      <c r="AR334">
        <f>AQ334*D334*3</f>
        <v>99</v>
      </c>
      <c r="AT334">
        <v>8.6</v>
      </c>
      <c r="AU334">
        <f>AT334*D334*3</f>
        <v>85.14</v>
      </c>
      <c r="AX334">
        <v>9.9</v>
      </c>
      <c r="AY334">
        <f>AX334*D334*3</f>
        <v>98.01</v>
      </c>
      <c r="BA334">
        <v>8.4</v>
      </c>
      <c r="BB334">
        <f>BA334*D334*3</f>
        <v>83.16</v>
      </c>
      <c r="BD334">
        <v>7.3</v>
      </c>
      <c r="BE334">
        <f>BD334*D334*3</f>
        <v>72.27</v>
      </c>
      <c r="BG334" s="10"/>
      <c r="BH334" s="1">
        <f>CHOOSE(MATCH(MIN(ABS(BP334-C334),ABS(BQ334-C334),ABS(BR334-C334)),CHOOSE({1;2;3},ABS(BP334-C334),ABS(BQ334-C334),ABS(BR334-C334)),0),BP334,BQ334,BR334)</f>
        <v>89.1</v>
      </c>
      <c r="BJ334" s="1" cm="1">
        <f t="array" ref="BJ334">(INDEX(_xlfn._xlws.SORT(CHOOSE({1;2;3;4;5;6},BQ334,BR334,L334,AE334,BO334,BP334)),3) + INDEX(_xlfn._xlws.SORT(CHOOSE({1;2;3;4;5;6},BQ334,BR334,L334,AE334,BO334,BP334)),4))/2</f>
        <v>78.704999999999998</v>
      </c>
      <c r="BK334">
        <v>8.9435440403759205</v>
      </c>
      <c r="BL334" t="s">
        <v>6117</v>
      </c>
      <c r="BM334" s="1">
        <f>BK334*3*D334</f>
        <v>88.541085999721616</v>
      </c>
      <c r="BN334" s="1">
        <f>BM334-C334</f>
        <v>-0.5589140002783779</v>
      </c>
      <c r="BO334" s="1">
        <f>GK334*3*D334</f>
        <v>54.449999999999996</v>
      </c>
      <c r="BP334" s="1">
        <f>DO334*3*D334</f>
        <v>89.1</v>
      </c>
      <c r="BQ334" s="1">
        <f>FJ334*3*D334</f>
        <v>79.199999999999989</v>
      </c>
      <c r="BR334" s="1">
        <f>GL334*3*D334</f>
        <v>59.4</v>
      </c>
      <c r="BT334">
        <v>86.06</v>
      </c>
      <c r="BU334">
        <v>8</v>
      </c>
      <c r="BV334" t="s">
        <v>4991</v>
      </c>
      <c r="BW334" t="s">
        <v>5043</v>
      </c>
      <c r="BX334" t="s">
        <v>4993</v>
      </c>
      <c r="BY334" t="s">
        <v>5061</v>
      </c>
      <c r="BZ334" t="s">
        <v>6006</v>
      </c>
      <c r="CA334" t="s">
        <v>3580</v>
      </c>
      <c r="CC334" t="s">
        <v>2438</v>
      </c>
      <c r="CD334" t="s">
        <v>2453</v>
      </c>
      <c r="CE334" t="s">
        <v>3020</v>
      </c>
      <c r="CG334" t="s">
        <v>2881</v>
      </c>
      <c r="CH334" t="s">
        <v>2593</v>
      </c>
      <c r="CI334" t="s">
        <v>2858</v>
      </c>
      <c r="CK334" t="s">
        <v>3644</v>
      </c>
      <c r="CL334" t="s">
        <v>3645</v>
      </c>
      <c r="CM334" t="s">
        <v>3298</v>
      </c>
      <c r="CO334" t="s">
        <v>3340</v>
      </c>
      <c r="CP334" t="s">
        <v>2863</v>
      </c>
      <c r="CQ334" t="s">
        <v>3646</v>
      </c>
      <c r="CS334" t="s">
        <v>3041</v>
      </c>
      <c r="CT334" t="s">
        <v>3647</v>
      </c>
      <c r="CV334">
        <v>9</v>
      </c>
      <c r="CW334">
        <v>9</v>
      </c>
      <c r="CX334">
        <v>9</v>
      </c>
      <c r="CY334">
        <v>9</v>
      </c>
      <c r="CZ334">
        <v>9</v>
      </c>
      <c r="DA334">
        <v>0.1</v>
      </c>
      <c r="DB334">
        <v>0.1</v>
      </c>
      <c r="DC334">
        <v>0.2</v>
      </c>
      <c r="DD334">
        <v>0.3</v>
      </c>
      <c r="DE334">
        <v>0.3</v>
      </c>
      <c r="DF334">
        <v>0.9</v>
      </c>
      <c r="DG334">
        <v>0.9</v>
      </c>
      <c r="DH334">
        <v>1.8</v>
      </c>
      <c r="DI334">
        <v>2.7</v>
      </c>
      <c r="DJ334">
        <v>2.7</v>
      </c>
      <c r="DK334">
        <v>8</v>
      </c>
      <c r="DL334">
        <v>0</v>
      </c>
      <c r="DM334">
        <v>8</v>
      </c>
      <c r="DN334">
        <v>9</v>
      </c>
      <c r="DO334">
        <f>AVERAGE(CV334:CZ334)</f>
        <v>9</v>
      </c>
      <c r="DQ334">
        <v>8</v>
      </c>
      <c r="DR334" t="s">
        <v>28</v>
      </c>
      <c r="DS334" t="s">
        <v>29</v>
      </c>
      <c r="DT334" t="s">
        <v>350</v>
      </c>
      <c r="DU334" t="s">
        <v>45</v>
      </c>
      <c r="DV334" t="s">
        <v>495</v>
      </c>
      <c r="DW334" t="s">
        <v>3769</v>
      </c>
      <c r="DX334" t="s">
        <v>3770</v>
      </c>
      <c r="DY334" t="s">
        <v>3771</v>
      </c>
      <c r="DZ334" t="s">
        <v>3772</v>
      </c>
      <c r="EA334" t="s">
        <v>3860</v>
      </c>
      <c r="EB334" t="s">
        <v>3807</v>
      </c>
      <c r="EC334" t="s">
        <v>3775</v>
      </c>
      <c r="ED334" t="s">
        <v>3776</v>
      </c>
      <c r="EE334" t="s">
        <v>3819</v>
      </c>
      <c r="EF334" t="s">
        <v>3809</v>
      </c>
      <c r="EG334" t="s">
        <v>3810</v>
      </c>
      <c r="EH334" t="s">
        <v>3811</v>
      </c>
      <c r="EI334" t="s">
        <v>3820</v>
      </c>
      <c r="EJ334" t="s">
        <v>3813</v>
      </c>
      <c r="EK334" t="s">
        <v>3925</v>
      </c>
      <c r="EL334" t="s">
        <v>3926</v>
      </c>
      <c r="EM334" t="s">
        <v>3816</v>
      </c>
      <c r="EN334" t="s">
        <v>3823</v>
      </c>
      <c r="EO334" t="s">
        <v>3824</v>
      </c>
      <c r="EP334" t="s">
        <v>3857</v>
      </c>
      <c r="EQ334">
        <v>7</v>
      </c>
      <c r="ER334">
        <v>8</v>
      </c>
      <c r="ES334">
        <v>8</v>
      </c>
      <c r="ET334">
        <v>8</v>
      </c>
      <c r="EU334">
        <v>8</v>
      </c>
      <c r="EV334">
        <v>0.1</v>
      </c>
      <c r="EW334">
        <v>0.1</v>
      </c>
      <c r="EX334">
        <v>0.2</v>
      </c>
      <c r="EY334">
        <v>0.3</v>
      </c>
      <c r="EZ334">
        <v>0.3</v>
      </c>
      <c r="FA334">
        <f>EV334*EQ334</f>
        <v>0.70000000000000007</v>
      </c>
      <c r="FB334">
        <f>EW334*ER334</f>
        <v>0.8</v>
      </c>
      <c r="FC334">
        <f>EX334*ES334</f>
        <v>1.6</v>
      </c>
      <c r="FD334">
        <f>EY334*ET334</f>
        <v>2.4</v>
      </c>
      <c r="FE334">
        <f>EZ334*EU334</f>
        <v>2.4</v>
      </c>
      <c r="FF334">
        <v>15</v>
      </c>
      <c r="FG334">
        <v>0</v>
      </c>
      <c r="FH334">
        <v>15</v>
      </c>
      <c r="FI334">
        <f>FA334+FB334+FC334+FD334+FE334</f>
        <v>7.9</v>
      </c>
      <c r="FJ334">
        <f>MEDIAN(EQ334:EU334)</f>
        <v>8</v>
      </c>
      <c r="FL334">
        <v>78.67</v>
      </c>
      <c r="FM334">
        <v>6</v>
      </c>
      <c r="FN334" t="s">
        <v>2183</v>
      </c>
      <c r="FO334" t="s">
        <v>2184</v>
      </c>
      <c r="FP334" t="s">
        <v>2185</v>
      </c>
      <c r="FQ334" t="s">
        <v>2186</v>
      </c>
      <c r="FR334" t="s">
        <v>2187</v>
      </c>
      <c r="FS334">
        <v>6</v>
      </c>
      <c r="FT334">
        <v>7</v>
      </c>
      <c r="FU334">
        <v>6</v>
      </c>
      <c r="FV334">
        <v>4</v>
      </c>
      <c r="FW334">
        <v>6</v>
      </c>
      <c r="FX334">
        <v>0.1</v>
      </c>
      <c r="FY334">
        <v>0.1</v>
      </c>
      <c r="FZ334">
        <v>0.2</v>
      </c>
      <c r="GA334">
        <v>0.3</v>
      </c>
      <c r="GB334">
        <v>0.3</v>
      </c>
      <c r="GC334">
        <f>FS334*FX334</f>
        <v>0.60000000000000009</v>
      </c>
      <c r="GD334">
        <f>FT334*FY334</f>
        <v>0.70000000000000007</v>
      </c>
      <c r="GE334">
        <f>FU334*FZ334</f>
        <v>1.2000000000000002</v>
      </c>
      <c r="GF334">
        <f>FV334*GA334</f>
        <v>1.2</v>
      </c>
      <c r="GG334">
        <f>FW334*GB334</f>
        <v>1.7999999999999998</v>
      </c>
      <c r="GH334">
        <v>6</v>
      </c>
      <c r="GI334">
        <v>0</v>
      </c>
      <c r="GJ334">
        <v>6</v>
      </c>
      <c r="GK334">
        <f>GC334+GD334+GE334+GF334+GG334</f>
        <v>5.5</v>
      </c>
      <c r="GL334">
        <f>MEDIAN(FS334:FW334)</f>
        <v>6</v>
      </c>
    </row>
    <row r="335" spans="1:194" hidden="1" x14ac:dyDescent="0.25">
      <c r="A335">
        <v>334</v>
      </c>
      <c r="B335" t="s">
        <v>2</v>
      </c>
      <c r="C335" s="4">
        <v>61.05</v>
      </c>
      <c r="D335">
        <v>3.3</v>
      </c>
      <c r="E335" s="1">
        <f>C335/3/D335</f>
        <v>6.1666666666666661</v>
      </c>
      <c r="G335">
        <v>87.3</v>
      </c>
      <c r="H335">
        <v>8</v>
      </c>
      <c r="I335">
        <f>H335*D335*3</f>
        <v>79.199999999999989</v>
      </c>
      <c r="J335">
        <v>17.64</v>
      </c>
      <c r="K335">
        <v>9</v>
      </c>
      <c r="L335" s="3">
        <f>K335*3*D335</f>
        <v>89.1</v>
      </c>
      <c r="M335">
        <v>4.6500000000000004</v>
      </c>
      <c r="N335">
        <v>6.8</v>
      </c>
      <c r="O335">
        <f>N335*D335*3</f>
        <v>67.319999999999993</v>
      </c>
      <c r="P335" s="5">
        <v>8.5</v>
      </c>
      <c r="Q335" s="5">
        <f>P335*D335*3</f>
        <v>84.149999999999991</v>
      </c>
      <c r="S335" t="s">
        <v>6458</v>
      </c>
      <c r="T335">
        <v>6.4</v>
      </c>
      <c r="U335" s="8">
        <f>T335*D335*3</f>
        <v>63.36</v>
      </c>
      <c r="V335">
        <v>36.07</v>
      </c>
      <c r="W335">
        <v>8.4</v>
      </c>
      <c r="X335" s="5">
        <f>W335*D335*3</f>
        <v>83.16</v>
      </c>
      <c r="Y335">
        <v>11.88</v>
      </c>
      <c r="Z335">
        <v>7.8</v>
      </c>
      <c r="AA335">
        <f>Z335*D335*3</f>
        <v>77.22</v>
      </c>
      <c r="AC335">
        <v>141.76</v>
      </c>
      <c r="AD335">
        <v>7.9</v>
      </c>
      <c r="AE335" s="1">
        <f>AD335*3*D335</f>
        <v>78.210000000000008</v>
      </c>
      <c r="AF335">
        <v>11.93</v>
      </c>
      <c r="AG335" s="5">
        <v>7</v>
      </c>
      <c r="AH335" s="5">
        <f>AG335*D335*3</f>
        <v>69.3</v>
      </c>
      <c r="AI335" s="13"/>
      <c r="AJ335">
        <v>2.7</v>
      </c>
      <c r="AK335" s="8">
        <f>AJ335*D335*3</f>
        <v>26.73</v>
      </c>
      <c r="AL335" s="13"/>
      <c r="AM335">
        <v>31.75</v>
      </c>
      <c r="AN335">
        <v>7</v>
      </c>
      <c r="AO335" s="8">
        <f>AN335*D335*3</f>
        <v>69.3</v>
      </c>
      <c r="AP335">
        <v>13.32</v>
      </c>
      <c r="AQ335">
        <v>10</v>
      </c>
      <c r="AR335">
        <f>AQ335*D335*3</f>
        <v>99</v>
      </c>
      <c r="AT335">
        <v>9</v>
      </c>
      <c r="AU335">
        <f>AT335*D335*3</f>
        <v>89.1</v>
      </c>
      <c r="AX335">
        <v>9.1</v>
      </c>
      <c r="AY335">
        <f>AX335*D335*3</f>
        <v>90.089999999999989</v>
      </c>
      <c r="BA335">
        <v>9.1</v>
      </c>
      <c r="BB335">
        <f>BA335*D335*3</f>
        <v>90.089999999999989</v>
      </c>
      <c r="BC335">
        <v>30.95</v>
      </c>
      <c r="BD335">
        <v>8.9</v>
      </c>
      <c r="BE335">
        <f>BD335*D335*3</f>
        <v>88.11</v>
      </c>
      <c r="BG335" s="10"/>
      <c r="BH335" s="1">
        <f>CHOOSE(MATCH(MIN(ABS(BP335-C335),ABS(BQ335-C335),ABS(BR335-C335)),CHOOSE({1;2;3},ABS(BP335-C335),ABS(BQ335-C335),ABS(BR335-C335)),0),BP335,BQ335,BR335)</f>
        <v>79.199999999999989</v>
      </c>
      <c r="BJ335" s="1" cm="1">
        <f t="array" ref="BJ335">(INDEX(_xlfn._xlws.SORT(CHOOSE({1;2;3;4;5;6},BQ335,BR335,L335,AE335,BO335,BP335)),3) + INDEX(_xlfn._xlws.SORT(CHOOSE({1;2;3;4;5;6},BQ335,BR335,L335,AE335,BO335,BP335)),4))/2</f>
        <v>78.704999999999998</v>
      </c>
      <c r="BK335">
        <v>6.1934837634375102</v>
      </c>
      <c r="BL335" t="s">
        <v>6117</v>
      </c>
      <c r="BM335" s="1">
        <f>BK335*3*D335</f>
        <v>61.315489258031349</v>
      </c>
      <c r="BN335" s="1">
        <f>BM335-C335</f>
        <v>0.26548925803135148</v>
      </c>
      <c r="BO335" s="1">
        <f>GK335*3*D335</f>
        <v>9.8999999999999986</v>
      </c>
      <c r="BP335" s="1">
        <f>DO335*3*D335</f>
        <v>89.1</v>
      </c>
      <c r="BQ335" s="1">
        <f>FJ335*3*D335</f>
        <v>79.199999999999989</v>
      </c>
      <c r="BR335" s="1">
        <f>GL335*3*D335</f>
        <v>9.8999999999999986</v>
      </c>
      <c r="BT335">
        <v>87.3</v>
      </c>
      <c r="BU335">
        <v>8</v>
      </c>
      <c r="BV335" t="s">
        <v>5032</v>
      </c>
      <c r="BW335" t="s">
        <v>5321</v>
      </c>
      <c r="BX335" t="s">
        <v>5322</v>
      </c>
      <c r="BY335" t="s">
        <v>6007</v>
      </c>
      <c r="BZ335" t="s">
        <v>6008</v>
      </c>
      <c r="CA335" t="s">
        <v>2437</v>
      </c>
      <c r="CC335" t="s">
        <v>2438</v>
      </c>
      <c r="CD335" t="s">
        <v>2439</v>
      </c>
      <c r="CE335" t="s">
        <v>2440</v>
      </c>
      <c r="CG335" t="s">
        <v>2441</v>
      </c>
      <c r="CH335" t="s">
        <v>2442</v>
      </c>
      <c r="CI335" t="s">
        <v>2738</v>
      </c>
      <c r="CK335" t="s">
        <v>2444</v>
      </c>
      <c r="CL335" t="s">
        <v>2445</v>
      </c>
      <c r="CM335" t="s">
        <v>2446</v>
      </c>
      <c r="CO335" t="s">
        <v>2447</v>
      </c>
      <c r="CP335" t="s">
        <v>2448</v>
      </c>
      <c r="CQ335" t="s">
        <v>2449</v>
      </c>
      <c r="CS335" t="s">
        <v>2450</v>
      </c>
      <c r="CT335" t="s">
        <v>2451</v>
      </c>
      <c r="CV335">
        <v>9</v>
      </c>
      <c r="CW335">
        <v>9</v>
      </c>
      <c r="CX335">
        <v>9</v>
      </c>
      <c r="CY335">
        <v>9</v>
      </c>
      <c r="CZ335">
        <v>9</v>
      </c>
      <c r="DA335">
        <v>0.1</v>
      </c>
      <c r="DB335">
        <v>0.1</v>
      </c>
      <c r="DC335">
        <v>0.2</v>
      </c>
      <c r="DD335">
        <v>0.3</v>
      </c>
      <c r="DE335">
        <v>0.3</v>
      </c>
      <c r="DF335">
        <v>0.9</v>
      </c>
      <c r="DG335">
        <v>0.9</v>
      </c>
      <c r="DH335">
        <v>1.8</v>
      </c>
      <c r="DI335">
        <v>2.7</v>
      </c>
      <c r="DJ335">
        <v>2.7</v>
      </c>
      <c r="DK335">
        <v>8</v>
      </c>
      <c r="DL335">
        <v>0</v>
      </c>
      <c r="DM335">
        <v>8</v>
      </c>
      <c r="DN335">
        <v>9</v>
      </c>
      <c r="DO335">
        <f>AVERAGE(CV335:CZ335)</f>
        <v>9</v>
      </c>
      <c r="DQ335">
        <v>8</v>
      </c>
      <c r="DR335" t="s">
        <v>28</v>
      </c>
      <c r="DS335" t="s">
        <v>29</v>
      </c>
      <c r="DT335" t="s">
        <v>57</v>
      </c>
      <c r="DU335" t="s">
        <v>58</v>
      </c>
      <c r="DV335" t="s">
        <v>59</v>
      </c>
      <c r="DW335" t="s">
        <v>3769</v>
      </c>
      <c r="DX335" t="s">
        <v>3770</v>
      </c>
      <c r="DY335" t="s">
        <v>3771</v>
      </c>
      <c r="DZ335" t="s">
        <v>3772</v>
      </c>
      <c r="EA335" t="s">
        <v>3806</v>
      </c>
      <c r="EB335" t="s">
        <v>3807</v>
      </c>
      <c r="EC335" t="s">
        <v>3775</v>
      </c>
      <c r="ED335" t="s">
        <v>3776</v>
      </c>
      <c r="EE335" t="s">
        <v>3819</v>
      </c>
      <c r="EF335" t="s">
        <v>3809</v>
      </c>
      <c r="EG335" t="s">
        <v>3810</v>
      </c>
      <c r="EH335" t="s">
        <v>3811</v>
      </c>
      <c r="EI335" t="s">
        <v>3820</v>
      </c>
      <c r="EJ335" t="s">
        <v>3813</v>
      </c>
      <c r="EK335" t="s">
        <v>3855</v>
      </c>
      <c r="EL335" t="s">
        <v>3856</v>
      </c>
      <c r="EM335" t="s">
        <v>3816</v>
      </c>
      <c r="EN335" t="s">
        <v>3823</v>
      </c>
      <c r="EO335" t="s">
        <v>3824</v>
      </c>
      <c r="EP335" t="s">
        <v>3857</v>
      </c>
      <c r="EQ335">
        <v>7</v>
      </c>
      <c r="ER335">
        <v>8</v>
      </c>
      <c r="ES335">
        <v>8</v>
      </c>
      <c r="ET335">
        <v>8</v>
      </c>
      <c r="EU335">
        <v>8</v>
      </c>
      <c r="EV335">
        <v>0.1</v>
      </c>
      <c r="EW335">
        <v>0.1</v>
      </c>
      <c r="EX335">
        <v>0.2</v>
      </c>
      <c r="EY335">
        <v>0.3</v>
      </c>
      <c r="EZ335">
        <v>0.3</v>
      </c>
      <c r="FA335">
        <f>EV335*EQ335</f>
        <v>0.70000000000000007</v>
      </c>
      <c r="FB335">
        <f>EW335*ER335</f>
        <v>0.8</v>
      </c>
      <c r="FC335">
        <f>EX335*ES335</f>
        <v>1.6</v>
      </c>
      <c r="FD335">
        <f>EY335*ET335</f>
        <v>2.4</v>
      </c>
      <c r="FE335">
        <f>EZ335*EU335</f>
        <v>2.4</v>
      </c>
      <c r="FF335">
        <v>15</v>
      </c>
      <c r="FG335">
        <v>0</v>
      </c>
      <c r="FH335">
        <v>8</v>
      </c>
      <c r="FI335">
        <f>FA335+FB335+FC335+FD335+FE335</f>
        <v>7.9</v>
      </c>
      <c r="FJ335">
        <f>MEDIAN(EQ335:EU335)</f>
        <v>8</v>
      </c>
      <c r="FL335">
        <v>104.38</v>
      </c>
      <c r="FM335">
        <v>1</v>
      </c>
      <c r="FN335" t="s">
        <v>2188</v>
      </c>
      <c r="FO335" t="s">
        <v>2189</v>
      </c>
      <c r="FP335" t="s">
        <v>2190</v>
      </c>
      <c r="FQ335" t="s">
        <v>2191</v>
      </c>
      <c r="FR335" t="s">
        <v>2192</v>
      </c>
      <c r="FS335">
        <v>1</v>
      </c>
      <c r="FT335">
        <v>1</v>
      </c>
      <c r="FU335">
        <v>1</v>
      </c>
      <c r="FV335">
        <v>1</v>
      </c>
      <c r="FW335">
        <v>1</v>
      </c>
      <c r="FX335">
        <v>0.1</v>
      </c>
      <c r="FY335">
        <v>0.1</v>
      </c>
      <c r="FZ335">
        <v>0.2</v>
      </c>
      <c r="GA335">
        <v>0.3</v>
      </c>
      <c r="GB335">
        <v>0.3</v>
      </c>
      <c r="GC335">
        <f>FS335*FX335</f>
        <v>0.1</v>
      </c>
      <c r="GD335">
        <f>FT335*FY335</f>
        <v>0.1</v>
      </c>
      <c r="GE335">
        <f>FU335*FZ335</f>
        <v>0.2</v>
      </c>
      <c r="GF335">
        <f>FV335*GA335</f>
        <v>0.3</v>
      </c>
      <c r="GG335">
        <f>FW335*GB335</f>
        <v>0.3</v>
      </c>
      <c r="GH335">
        <v>1</v>
      </c>
      <c r="GI335">
        <v>0</v>
      </c>
      <c r="GJ335">
        <v>1</v>
      </c>
      <c r="GK335">
        <f>GC335+GD335+GE335+GF335+GG335</f>
        <v>1</v>
      </c>
      <c r="GL335">
        <f>MEDIAN(FS335:FW335)</f>
        <v>1</v>
      </c>
    </row>
    <row r="336" spans="1:194" hidden="1" x14ac:dyDescent="0.25">
      <c r="A336">
        <v>335</v>
      </c>
      <c r="B336" t="s">
        <v>2</v>
      </c>
      <c r="C336" s="4">
        <v>39.6</v>
      </c>
      <c r="D336">
        <v>3.6</v>
      </c>
      <c r="E336" s="1">
        <f>C336/3/D336</f>
        <v>3.666666666666667</v>
      </c>
      <c r="G336">
        <v>90.01</v>
      </c>
      <c r="H336">
        <v>6.1</v>
      </c>
      <c r="I336">
        <f>H336*D336*3</f>
        <v>65.88</v>
      </c>
      <c r="J336">
        <v>18.510000000000002</v>
      </c>
      <c r="K336">
        <v>9</v>
      </c>
      <c r="L336" s="3">
        <f>K336*3*D336</f>
        <v>97.2</v>
      </c>
      <c r="M336">
        <v>5.07</v>
      </c>
      <c r="N336">
        <v>5</v>
      </c>
      <c r="O336">
        <f>N336*D336*3</f>
        <v>54</v>
      </c>
      <c r="P336" s="5">
        <v>8.3000000000000007</v>
      </c>
      <c r="Q336" s="5">
        <f>P336*D336*3</f>
        <v>89.640000000000015</v>
      </c>
      <c r="S336" t="s">
        <v>6459</v>
      </c>
      <c r="T336">
        <v>5.5</v>
      </c>
      <c r="U336" s="8">
        <f>T336*D336*3</f>
        <v>59.400000000000006</v>
      </c>
      <c r="V336">
        <v>36.020000000000003</v>
      </c>
      <c r="W336">
        <v>8.4</v>
      </c>
      <c r="X336" s="5">
        <f>W336*D336*3</f>
        <v>90.72</v>
      </c>
      <c r="Y336">
        <v>9.91</v>
      </c>
      <c r="Z336">
        <v>7.6</v>
      </c>
      <c r="AA336">
        <f>Z336*D336*3</f>
        <v>82.08</v>
      </c>
      <c r="AC336">
        <v>140.1</v>
      </c>
      <c r="AD336">
        <v>6.5</v>
      </c>
      <c r="AE336" s="1">
        <f>AD336*3*D336</f>
        <v>70.2</v>
      </c>
      <c r="AF336">
        <v>9.61</v>
      </c>
      <c r="AH336" s="5">
        <f>AG336*D336*3</f>
        <v>0</v>
      </c>
      <c r="AI336" s="13"/>
      <c r="AJ336">
        <v>4.9000000000000004</v>
      </c>
      <c r="AK336" s="8">
        <f>AJ336*D336*3</f>
        <v>52.92</v>
      </c>
      <c r="AL336" s="13"/>
      <c r="AM336">
        <v>30.06</v>
      </c>
      <c r="AN336">
        <v>7.2</v>
      </c>
      <c r="AO336" s="8">
        <f>AN336*D336*3</f>
        <v>77.760000000000005</v>
      </c>
      <c r="AP336">
        <v>14.92</v>
      </c>
      <c r="AQ336">
        <v>10</v>
      </c>
      <c r="AR336">
        <f>AQ336*D336*3</f>
        <v>108</v>
      </c>
      <c r="AT336">
        <v>9</v>
      </c>
      <c r="AU336">
        <f>AT336*D336*3</f>
        <v>97.199999999999989</v>
      </c>
      <c r="AX336">
        <v>8.6</v>
      </c>
      <c r="AY336">
        <f>AX336*D336*3</f>
        <v>92.88</v>
      </c>
      <c r="BA336">
        <v>9.1</v>
      </c>
      <c r="BB336">
        <f>BA336*D336*3</f>
        <v>98.28</v>
      </c>
      <c r="BC336">
        <v>28.75</v>
      </c>
      <c r="BD336">
        <v>8.9</v>
      </c>
      <c r="BE336">
        <f>BD336*D336*3</f>
        <v>96.12</v>
      </c>
      <c r="BG336" s="10"/>
      <c r="BH336" s="1">
        <f>CHOOSE(MATCH(MIN(ABS(BP336-C336),ABS(BQ336-C336),ABS(BR336-C336)),CHOOSE({1;2;3},ABS(BP336-C336),ABS(BQ336-C336),ABS(BR336-C336)),0),BP336,BQ336,BR336)</f>
        <v>64.8</v>
      </c>
      <c r="BJ336" s="1" cm="1">
        <f t="array" ref="BJ336">(INDEX(_xlfn._xlws.SORT(CHOOSE({1;2;3;4;5;6},BQ336,BR336,L336,AE336,BO336,BP336)),3) + INDEX(_xlfn._xlws.SORT(CHOOSE({1;2;3;4;5;6},BQ336,BR336,L336,AE336,BO336,BP336)),4))/2</f>
        <v>70.2</v>
      </c>
      <c r="BK336">
        <v>3.7429439704115901</v>
      </c>
      <c r="BL336" t="s">
        <v>6117</v>
      </c>
      <c r="BM336" s="1">
        <f>BK336*3*D336</f>
        <v>40.423794880445179</v>
      </c>
      <c r="BN336" s="1">
        <f>BM336-C336</f>
        <v>0.82379488044517757</v>
      </c>
      <c r="BO336" s="1">
        <f>GK336*3*D336</f>
        <v>62.640000000000008</v>
      </c>
      <c r="BP336" s="1">
        <f>DO336*3*D336</f>
        <v>82.08</v>
      </c>
      <c r="BQ336" s="1">
        <f>FJ336*3*D336</f>
        <v>70.2</v>
      </c>
      <c r="BR336" s="1">
        <f>GL336*3*D336</f>
        <v>64.8</v>
      </c>
      <c r="BT336">
        <v>90.01</v>
      </c>
      <c r="BU336">
        <v>6.1</v>
      </c>
      <c r="BV336" t="s">
        <v>5114</v>
      </c>
      <c r="BW336" t="s">
        <v>6009</v>
      </c>
      <c r="BX336" t="s">
        <v>6010</v>
      </c>
      <c r="BY336" t="s">
        <v>6011</v>
      </c>
      <c r="BZ336" t="s">
        <v>6012</v>
      </c>
      <c r="CA336" t="s">
        <v>3192</v>
      </c>
      <c r="CC336" t="s">
        <v>2438</v>
      </c>
      <c r="CD336" t="s">
        <v>2453</v>
      </c>
      <c r="CE336" t="s">
        <v>3037</v>
      </c>
      <c r="CG336" t="s">
        <v>2441</v>
      </c>
      <c r="CH336" t="s">
        <v>2587</v>
      </c>
      <c r="CI336" t="s">
        <v>3648</v>
      </c>
      <c r="CJ336" t="s">
        <v>2458</v>
      </c>
      <c r="CK336" t="s">
        <v>3649</v>
      </c>
      <c r="CL336" t="s">
        <v>2588</v>
      </c>
      <c r="CM336" t="s">
        <v>3298</v>
      </c>
      <c r="CO336" t="s">
        <v>2447</v>
      </c>
      <c r="CP336" t="s">
        <v>2590</v>
      </c>
      <c r="CQ336" t="s">
        <v>3195</v>
      </c>
      <c r="CR336" t="s">
        <v>3195</v>
      </c>
      <c r="CS336" t="s">
        <v>3650</v>
      </c>
      <c r="CT336" t="s">
        <v>3651</v>
      </c>
      <c r="CV336">
        <v>9</v>
      </c>
      <c r="CW336">
        <v>9</v>
      </c>
      <c r="CX336">
        <v>7</v>
      </c>
      <c r="CY336">
        <v>8</v>
      </c>
      <c r="CZ336">
        <v>5</v>
      </c>
      <c r="DA336">
        <v>0.1</v>
      </c>
      <c r="DB336">
        <v>0.1</v>
      </c>
      <c r="DC336">
        <v>0.2</v>
      </c>
      <c r="DD336">
        <v>0.3</v>
      </c>
      <c r="DE336">
        <v>0.3</v>
      </c>
      <c r="DF336">
        <v>0.9</v>
      </c>
      <c r="DG336">
        <v>0.9</v>
      </c>
      <c r="DH336">
        <v>1.4</v>
      </c>
      <c r="DI336">
        <v>2.4</v>
      </c>
      <c r="DJ336">
        <v>1.5</v>
      </c>
      <c r="DK336">
        <v>6.1</v>
      </c>
      <c r="DL336">
        <v>0</v>
      </c>
      <c r="DM336">
        <v>6.1</v>
      </c>
      <c r="DN336">
        <v>9</v>
      </c>
      <c r="DO336">
        <f>AVERAGE(CV336:CZ336)</f>
        <v>7.6</v>
      </c>
      <c r="DQ336">
        <v>19.5</v>
      </c>
      <c r="DR336" t="s">
        <v>33</v>
      </c>
      <c r="DS336" t="s">
        <v>541</v>
      </c>
      <c r="DT336" t="s">
        <v>542</v>
      </c>
      <c r="DU336" t="s">
        <v>543</v>
      </c>
      <c r="DV336" t="s">
        <v>544</v>
      </c>
      <c r="DW336" t="s">
        <v>3788</v>
      </c>
      <c r="DX336" t="s">
        <v>4071</v>
      </c>
      <c r="DY336" t="s">
        <v>4072</v>
      </c>
      <c r="DZ336" t="s">
        <v>4910</v>
      </c>
      <c r="EA336" t="s">
        <v>4911</v>
      </c>
      <c r="EB336" t="s">
        <v>4634</v>
      </c>
      <c r="EC336" t="s">
        <v>4912</v>
      </c>
      <c r="ED336" t="s">
        <v>4913</v>
      </c>
      <c r="EE336" t="s">
        <v>4914</v>
      </c>
      <c r="EF336" t="s">
        <v>4915</v>
      </c>
      <c r="EG336" t="s">
        <v>4916</v>
      </c>
      <c r="EH336" t="s">
        <v>4917</v>
      </c>
      <c r="EI336" t="s">
        <v>4427</v>
      </c>
      <c r="EJ336" t="s">
        <v>4918</v>
      </c>
      <c r="EK336" t="s">
        <v>4919</v>
      </c>
      <c r="EL336" t="s">
        <v>4920</v>
      </c>
      <c r="EM336" t="s">
        <v>4921</v>
      </c>
      <c r="EN336" t="s">
        <v>4645</v>
      </c>
      <c r="EO336" t="s">
        <v>4922</v>
      </c>
      <c r="EP336" t="s">
        <v>4923</v>
      </c>
      <c r="EQ336">
        <v>7</v>
      </c>
      <c r="ER336">
        <v>6.5</v>
      </c>
      <c r="ES336">
        <v>7</v>
      </c>
      <c r="ET336">
        <v>6.5</v>
      </c>
      <c r="EU336">
        <v>6</v>
      </c>
      <c r="EV336">
        <v>0.1</v>
      </c>
      <c r="EW336">
        <v>0.1</v>
      </c>
      <c r="EX336">
        <v>0.2</v>
      </c>
      <c r="EY336">
        <v>0.3</v>
      </c>
      <c r="EZ336">
        <v>0.3</v>
      </c>
      <c r="FA336">
        <f>EV336*EQ336</f>
        <v>0.70000000000000007</v>
      </c>
      <c r="FB336">
        <f>EW336*ER336</f>
        <v>0.65</v>
      </c>
      <c r="FC336">
        <f>EX336*ES336</f>
        <v>1.4000000000000001</v>
      </c>
      <c r="FD336">
        <f>EY336*ET336</f>
        <v>1.95</v>
      </c>
      <c r="FE336">
        <f>EZ336*EU336</f>
        <v>1.7999999999999998</v>
      </c>
      <c r="FF336">
        <v>19.5</v>
      </c>
      <c r="FG336">
        <v>0</v>
      </c>
      <c r="FH336">
        <v>19.5</v>
      </c>
      <c r="FI336">
        <f>FA336+FB336+FC336+FD336+FE336</f>
        <v>6.5</v>
      </c>
      <c r="FJ336">
        <f>MEDIAN(EQ336:EU336)</f>
        <v>6.5</v>
      </c>
      <c r="FL336">
        <v>67</v>
      </c>
      <c r="FM336">
        <v>6.8</v>
      </c>
      <c r="FN336" t="s">
        <v>2193</v>
      </c>
      <c r="FO336" t="s">
        <v>2194</v>
      </c>
      <c r="FP336" t="s">
        <v>2195</v>
      </c>
      <c r="FQ336" t="s">
        <v>2196</v>
      </c>
      <c r="FR336" t="s">
        <v>2197</v>
      </c>
      <c r="FS336">
        <v>6</v>
      </c>
      <c r="FT336">
        <v>8</v>
      </c>
      <c r="FU336">
        <v>4</v>
      </c>
      <c r="FV336">
        <v>5</v>
      </c>
      <c r="FW336">
        <v>7</v>
      </c>
      <c r="FX336">
        <v>0.1</v>
      </c>
      <c r="FY336">
        <v>0.1</v>
      </c>
      <c r="FZ336">
        <v>0.2</v>
      </c>
      <c r="GA336">
        <v>0.3</v>
      </c>
      <c r="GB336">
        <v>0.3</v>
      </c>
      <c r="GC336">
        <f>FS336*FX336</f>
        <v>0.60000000000000009</v>
      </c>
      <c r="GD336">
        <f>FT336*FY336</f>
        <v>0.8</v>
      </c>
      <c r="GE336">
        <f>FU336*FZ336</f>
        <v>0.8</v>
      </c>
      <c r="GF336">
        <f>FV336*GA336</f>
        <v>1.5</v>
      </c>
      <c r="GG336">
        <f>FW336*GB336</f>
        <v>2.1</v>
      </c>
      <c r="GH336">
        <v>6.8</v>
      </c>
      <c r="GI336">
        <v>0</v>
      </c>
      <c r="GJ336">
        <v>6.8</v>
      </c>
      <c r="GK336">
        <f>GC336+GD336+GE336+GF336+GG336</f>
        <v>5.8000000000000007</v>
      </c>
      <c r="GL336">
        <f>MEDIAN(FS336:FW336)</f>
        <v>6</v>
      </c>
    </row>
    <row r="337" spans="1:194" hidden="1" x14ac:dyDescent="0.25">
      <c r="A337">
        <v>336</v>
      </c>
      <c r="B337" t="s">
        <v>2</v>
      </c>
      <c r="C337" s="4">
        <v>61.5</v>
      </c>
      <c r="D337">
        <v>3</v>
      </c>
      <c r="E337" s="1">
        <f>C337/3/D337</f>
        <v>6.833333333333333</v>
      </c>
      <c r="G337">
        <v>99.74</v>
      </c>
      <c r="H337">
        <v>7.6</v>
      </c>
      <c r="I337">
        <f>H337*D337*3</f>
        <v>68.399999999999991</v>
      </c>
      <c r="J337">
        <v>15.86</v>
      </c>
      <c r="K337">
        <v>9</v>
      </c>
      <c r="L337" s="3">
        <f>K337*3*D337</f>
        <v>81</v>
      </c>
      <c r="M337">
        <v>3.82</v>
      </c>
      <c r="N337">
        <v>8</v>
      </c>
      <c r="O337">
        <f>N337*D337*3</f>
        <v>72</v>
      </c>
      <c r="P337" s="5">
        <v>8.5</v>
      </c>
      <c r="Q337" s="5">
        <f>P337*D337*3</f>
        <v>76.5</v>
      </c>
      <c r="S337" t="s">
        <v>6460</v>
      </c>
      <c r="T337">
        <v>5.5</v>
      </c>
      <c r="U337" s="8">
        <f>T337*D337*3</f>
        <v>49.5</v>
      </c>
      <c r="V337">
        <v>36.340000000000003</v>
      </c>
      <c r="W337">
        <v>8.4</v>
      </c>
      <c r="X337" s="5">
        <f>W337*D337*3</f>
        <v>75.600000000000009</v>
      </c>
      <c r="Y337">
        <v>8.82</v>
      </c>
      <c r="Z337">
        <v>4</v>
      </c>
      <c r="AA337">
        <f>Z337*D337*3</f>
        <v>36</v>
      </c>
      <c r="AC337">
        <v>143.85</v>
      </c>
      <c r="AD337">
        <v>7.9</v>
      </c>
      <c r="AE337" s="1">
        <f>AD337*3*D337</f>
        <v>71.100000000000009</v>
      </c>
      <c r="AF337">
        <v>12.01</v>
      </c>
      <c r="AG337" s="5">
        <v>7</v>
      </c>
      <c r="AH337" s="5">
        <f>AG337*D337*3</f>
        <v>63</v>
      </c>
      <c r="AI337" s="13"/>
      <c r="AJ337">
        <v>2.8</v>
      </c>
      <c r="AK337" s="8">
        <f>AJ337*D337*3</f>
        <v>25.199999999999996</v>
      </c>
      <c r="AL337" s="13"/>
      <c r="AM337">
        <v>30.6</v>
      </c>
      <c r="AN337">
        <v>7</v>
      </c>
      <c r="AO337" s="8">
        <f>AN337*D337*3</f>
        <v>63</v>
      </c>
      <c r="AP337">
        <v>13.4</v>
      </c>
      <c r="AQ337">
        <v>9.5</v>
      </c>
      <c r="AR337">
        <f>AQ337*D337*3</f>
        <v>85.5</v>
      </c>
      <c r="AT337">
        <v>8.6999999999999993</v>
      </c>
      <c r="AU337">
        <f>AT337*D337*3</f>
        <v>78.3</v>
      </c>
      <c r="AX337">
        <v>9</v>
      </c>
      <c r="AY337">
        <f>AX337*D337*3</f>
        <v>81</v>
      </c>
      <c r="BA337">
        <v>9</v>
      </c>
      <c r="BB337">
        <f>BA337*D337*3</f>
        <v>81</v>
      </c>
      <c r="BC337">
        <v>25.75</v>
      </c>
      <c r="BD337">
        <v>8.9</v>
      </c>
      <c r="BE337">
        <f>BD337*D337*3</f>
        <v>80.100000000000009</v>
      </c>
      <c r="BG337" s="10"/>
      <c r="BH337" s="1">
        <f>CHOOSE(MATCH(MIN(ABS(BP337-C337),ABS(BQ337-C337),ABS(BR337-C337)),CHOOSE({1;2;3},ABS(BP337-C337),ABS(BQ337-C337),ABS(BR337-C337)),0),BP337,BQ337,BR337)</f>
        <v>70.199999999999989</v>
      </c>
      <c r="BJ337" s="1" cm="1">
        <f t="array" ref="BJ337">(INDEX(_xlfn._xlws.SORT(CHOOSE({1;2;3;4;5;6},BQ337,BR337,L337,AE337,BO337,BP337)),3) + INDEX(_xlfn._xlws.SORT(CHOOSE({1;2;3;4;5;6},BQ337,BR337,L337,AE337,BO337,BP337)),4))/2</f>
        <v>71.550000000000011</v>
      </c>
      <c r="BK337">
        <v>6.8394350812551199</v>
      </c>
      <c r="BL337" t="s">
        <v>6117</v>
      </c>
      <c r="BM337" s="1">
        <f>BK337*3*D337</f>
        <v>61.554915731296084</v>
      </c>
      <c r="BN337" s="1">
        <f>BM337-C337</f>
        <v>5.4915731296084402E-2</v>
      </c>
      <c r="BO337" s="1">
        <f>GK337*3*D337</f>
        <v>67.949999999999989</v>
      </c>
      <c r="BP337" s="1">
        <f>DO337*3*D337</f>
        <v>70.199999999999989</v>
      </c>
      <c r="BQ337" s="1">
        <f>FJ337*3*D337</f>
        <v>72</v>
      </c>
      <c r="BR337" s="1">
        <f>GL337*3*D337</f>
        <v>72</v>
      </c>
      <c r="BT337">
        <v>99.74</v>
      </c>
      <c r="BU337">
        <v>7.6</v>
      </c>
      <c r="BV337" t="s">
        <v>5055</v>
      </c>
      <c r="BW337" t="s">
        <v>5082</v>
      </c>
      <c r="BX337" t="s">
        <v>5133</v>
      </c>
      <c r="BY337" t="s">
        <v>5483</v>
      </c>
      <c r="BZ337" t="s">
        <v>6013</v>
      </c>
      <c r="CA337" t="s">
        <v>2452</v>
      </c>
      <c r="CC337" t="s">
        <v>2438</v>
      </c>
      <c r="CD337" t="s">
        <v>2453</v>
      </c>
      <c r="CE337" t="s">
        <v>3652</v>
      </c>
      <c r="CG337" t="s">
        <v>2847</v>
      </c>
      <c r="CH337" t="s">
        <v>2456</v>
      </c>
      <c r="CI337" t="s">
        <v>3653</v>
      </c>
      <c r="CJ337" t="s">
        <v>2458</v>
      </c>
      <c r="CK337" t="s">
        <v>2987</v>
      </c>
      <c r="CL337" t="s">
        <v>3244</v>
      </c>
      <c r="CM337" t="s">
        <v>3654</v>
      </c>
      <c r="CN337" t="s">
        <v>2886</v>
      </c>
      <c r="CO337" t="s">
        <v>3655</v>
      </c>
      <c r="CP337" t="s">
        <v>3656</v>
      </c>
      <c r="CQ337" t="s">
        <v>3657</v>
      </c>
      <c r="CR337" t="s">
        <v>2837</v>
      </c>
      <c r="CS337" t="s">
        <v>3658</v>
      </c>
      <c r="CT337" t="s">
        <v>3659</v>
      </c>
      <c r="CV337">
        <v>9</v>
      </c>
      <c r="CW337">
        <v>9</v>
      </c>
      <c r="CX337">
        <v>7</v>
      </c>
      <c r="CY337">
        <v>6</v>
      </c>
      <c r="CZ337">
        <v>8</v>
      </c>
      <c r="DA337">
        <v>0.1</v>
      </c>
      <c r="DB337">
        <v>0.1</v>
      </c>
      <c r="DC337">
        <v>0.2</v>
      </c>
      <c r="DD337">
        <v>0.3</v>
      </c>
      <c r="DE337">
        <v>0.3</v>
      </c>
      <c r="DF337">
        <v>0.9</v>
      </c>
      <c r="DG337">
        <v>0.9</v>
      </c>
      <c r="DH337">
        <v>1.4</v>
      </c>
      <c r="DI337">
        <v>1.8</v>
      </c>
      <c r="DJ337">
        <v>2.4</v>
      </c>
      <c r="DK337">
        <v>7.6</v>
      </c>
      <c r="DL337">
        <v>0</v>
      </c>
      <c r="DM337">
        <v>7.6</v>
      </c>
      <c r="DN337">
        <v>9</v>
      </c>
      <c r="DO337">
        <f>AVERAGE(CV337:CZ337)</f>
        <v>7.8</v>
      </c>
      <c r="DQ337">
        <v>8</v>
      </c>
      <c r="DR337" t="s">
        <v>28</v>
      </c>
      <c r="DS337" t="s">
        <v>43</v>
      </c>
      <c r="DT337" t="s">
        <v>227</v>
      </c>
      <c r="DU337" t="s">
        <v>228</v>
      </c>
      <c r="DV337" t="s">
        <v>229</v>
      </c>
      <c r="DW337" t="s">
        <v>3805</v>
      </c>
      <c r="DX337" t="s">
        <v>3770</v>
      </c>
      <c r="DY337" t="s">
        <v>3771</v>
      </c>
      <c r="DZ337" t="s">
        <v>3772</v>
      </c>
      <c r="EA337" t="s">
        <v>3806</v>
      </c>
      <c r="EB337" t="s">
        <v>3807</v>
      </c>
      <c r="EC337" t="s">
        <v>3775</v>
      </c>
      <c r="ED337" t="s">
        <v>3776</v>
      </c>
      <c r="EE337" t="s">
        <v>3946</v>
      </c>
      <c r="EF337" t="s">
        <v>3809</v>
      </c>
      <c r="EG337" t="s">
        <v>3810</v>
      </c>
      <c r="EH337" t="s">
        <v>3811</v>
      </c>
      <c r="EI337" t="s">
        <v>3947</v>
      </c>
      <c r="EJ337" t="s">
        <v>3813</v>
      </c>
      <c r="EK337" t="s">
        <v>3948</v>
      </c>
      <c r="EL337" t="s">
        <v>3815</v>
      </c>
      <c r="EM337" t="s">
        <v>3949</v>
      </c>
      <c r="EN337" t="s">
        <v>3809</v>
      </c>
      <c r="EO337" t="s">
        <v>3950</v>
      </c>
      <c r="EP337" t="s">
        <v>3818</v>
      </c>
      <c r="EQ337">
        <v>7</v>
      </c>
      <c r="ER337">
        <v>8</v>
      </c>
      <c r="ES337">
        <v>8</v>
      </c>
      <c r="ET337">
        <v>8</v>
      </c>
      <c r="EU337">
        <v>8</v>
      </c>
      <c r="EV337">
        <v>0.1</v>
      </c>
      <c r="EW337">
        <v>0.1</v>
      </c>
      <c r="EX337">
        <v>0.2</v>
      </c>
      <c r="EY337">
        <v>0.3</v>
      </c>
      <c r="EZ337">
        <v>0.3</v>
      </c>
      <c r="FA337">
        <f>EV337*EQ337</f>
        <v>0.70000000000000007</v>
      </c>
      <c r="FB337">
        <f>EW337*ER337</f>
        <v>0.8</v>
      </c>
      <c r="FC337">
        <f>EX337*ES337</f>
        <v>1.6</v>
      </c>
      <c r="FD337">
        <f>EY337*ET337</f>
        <v>2.4</v>
      </c>
      <c r="FE337">
        <f>EZ337*EU337</f>
        <v>2.4</v>
      </c>
      <c r="FF337">
        <v>15</v>
      </c>
      <c r="FG337">
        <v>0</v>
      </c>
      <c r="FH337">
        <v>15</v>
      </c>
      <c r="FI337">
        <f>FA337+FB337+FC337+FD337+FE337</f>
        <v>7.9</v>
      </c>
      <c r="FJ337">
        <f>MEDIAN(EQ337:EU337)</f>
        <v>8</v>
      </c>
      <c r="FL337">
        <v>84.17</v>
      </c>
      <c r="FM337">
        <v>6.5</v>
      </c>
      <c r="FN337" t="s">
        <v>2198</v>
      </c>
      <c r="FO337" t="s">
        <v>2199</v>
      </c>
      <c r="FP337" t="s">
        <v>2200</v>
      </c>
      <c r="FQ337" t="s">
        <v>2201</v>
      </c>
      <c r="FR337" t="s">
        <v>2202</v>
      </c>
      <c r="FS337">
        <v>8</v>
      </c>
      <c r="FT337">
        <v>9</v>
      </c>
      <c r="FU337">
        <v>7.5</v>
      </c>
      <c r="FV337">
        <v>8</v>
      </c>
      <c r="FW337">
        <v>6.5</v>
      </c>
      <c r="FX337">
        <v>0.1</v>
      </c>
      <c r="FY337">
        <v>0.1</v>
      </c>
      <c r="FZ337">
        <v>0.2</v>
      </c>
      <c r="GA337">
        <v>0.3</v>
      </c>
      <c r="GB337">
        <v>0.3</v>
      </c>
      <c r="GC337">
        <f>FS337*FX337</f>
        <v>0.8</v>
      </c>
      <c r="GD337">
        <f>FT337*FY337</f>
        <v>0.9</v>
      </c>
      <c r="GE337">
        <f>FU337*FZ337</f>
        <v>1.5</v>
      </c>
      <c r="GF337">
        <f>FV337*GA337</f>
        <v>2.4</v>
      </c>
      <c r="GG337">
        <f>FW337*GB337</f>
        <v>1.95</v>
      </c>
      <c r="GH337">
        <v>6.85</v>
      </c>
      <c r="GI337">
        <v>-0.35</v>
      </c>
      <c r="GJ337">
        <v>6.5</v>
      </c>
      <c r="GK337">
        <f>GC337+GD337+GE337+GF337+GG337</f>
        <v>7.55</v>
      </c>
      <c r="GL337">
        <f>MEDIAN(FS337:FW337)</f>
        <v>8</v>
      </c>
    </row>
    <row r="338" spans="1:194" x14ac:dyDescent="0.25">
      <c r="A338">
        <v>175</v>
      </c>
      <c r="B338" t="s">
        <v>2</v>
      </c>
      <c r="C338" s="4">
        <v>79.8</v>
      </c>
      <c r="D338">
        <v>3.8</v>
      </c>
      <c r="E338" s="1">
        <f>C338/3/D338</f>
        <v>7</v>
      </c>
      <c r="G338">
        <v>95.74</v>
      </c>
      <c r="H338">
        <v>8</v>
      </c>
      <c r="I338">
        <f>H338*D338*3</f>
        <v>91.199999999999989</v>
      </c>
      <c r="J338">
        <v>18.91</v>
      </c>
      <c r="K338">
        <v>8.4</v>
      </c>
      <c r="L338" s="3">
        <f>K338*3*D338</f>
        <v>95.76</v>
      </c>
      <c r="M338">
        <v>4.24</v>
      </c>
      <c r="N338">
        <v>9</v>
      </c>
      <c r="O338">
        <f>N338*D338*3</f>
        <v>102.6</v>
      </c>
      <c r="P338" s="5">
        <v>8.1999999999999993</v>
      </c>
      <c r="Q338" s="5">
        <f>P338*D338*3</f>
        <v>93.47999999999999</v>
      </c>
      <c r="S338" t="s">
        <v>6308</v>
      </c>
      <c r="T338">
        <v>8.8000000000000007</v>
      </c>
      <c r="U338" s="8">
        <f>T338*D338*3</f>
        <v>100.32</v>
      </c>
      <c r="V338">
        <v>35.479999999999997</v>
      </c>
      <c r="W338">
        <v>6</v>
      </c>
      <c r="X338" s="5">
        <f>W338*D338*3</f>
        <v>68.399999999999991</v>
      </c>
      <c r="Y338">
        <v>8.6300000000000008</v>
      </c>
      <c r="Z338">
        <v>6</v>
      </c>
      <c r="AA338">
        <f>Z338*D338*3</f>
        <v>68.399999999999991</v>
      </c>
      <c r="AC338">
        <v>49.66</v>
      </c>
      <c r="AD338">
        <v>7.6</v>
      </c>
      <c r="AE338" s="1">
        <f>AD338*3*D338</f>
        <v>86.639999999999986</v>
      </c>
      <c r="AF338">
        <v>11.99</v>
      </c>
      <c r="AG338" s="5">
        <v>7</v>
      </c>
      <c r="AH338" s="5">
        <f>AG338*D338*3</f>
        <v>79.8</v>
      </c>
      <c r="AI338" s="13"/>
      <c r="AJ338">
        <v>25.5</v>
      </c>
      <c r="AK338" s="8">
        <f>AJ338*D338*3</f>
        <v>290.7</v>
      </c>
      <c r="AL338" s="13"/>
      <c r="AM338">
        <v>30.27</v>
      </c>
      <c r="AN338">
        <v>7.3</v>
      </c>
      <c r="AO338" s="8">
        <f>AN338*D338*3</f>
        <v>83.22</v>
      </c>
      <c r="AP338">
        <v>14.65</v>
      </c>
      <c r="AQ338">
        <v>10</v>
      </c>
      <c r="AR338">
        <f>AQ338*D338*3</f>
        <v>114</v>
      </c>
      <c r="AT338">
        <v>9</v>
      </c>
      <c r="AU338">
        <f>AT338*D338*3</f>
        <v>102.6</v>
      </c>
      <c r="AW338">
        <v>25.25</v>
      </c>
      <c r="AX338">
        <v>9.1</v>
      </c>
      <c r="AY338">
        <f>AX338*D338*3</f>
        <v>103.74</v>
      </c>
      <c r="AZ338">
        <v>25.25</v>
      </c>
      <c r="BA338">
        <v>9.4</v>
      </c>
      <c r="BB338">
        <f>BA338*D338*3</f>
        <v>107.16</v>
      </c>
      <c r="BD338">
        <v>8.1999999999999993</v>
      </c>
      <c r="BE338">
        <f>BD338*D338*3</f>
        <v>93.47999999999999</v>
      </c>
      <c r="BG338" s="10"/>
      <c r="BH338" s="1">
        <f>CHOOSE(MATCH(MIN(ABS(BP338-C338),ABS(BQ338-C338),ABS(BR338-C338)),CHOOSE({1;2;3},ABS(BP338-C338),ABS(BQ338-C338),ABS(BR338-C338)),0),BP338,BQ338,BR338)</f>
        <v>91.199999999999989</v>
      </c>
      <c r="BJ338" s="1" cm="1">
        <f t="array" ref="BJ338">(INDEX(_xlfn._xlws.SORT(CHOOSE({1;2;3;4;5;6},BQ338,BR338,L338,AE338,BO338,BP338)),3) + INDEX(_xlfn._xlws.SORT(CHOOSE({1;2;3;4;5;6},BQ338,BR338,L338,AE338,BO338,BP338)),4))/2</f>
        <v>93.47999999999999</v>
      </c>
      <c r="BK338">
        <v>8.5313813561141991</v>
      </c>
      <c r="BL338" s="11" t="s">
        <v>6116</v>
      </c>
      <c r="BM338" s="1">
        <f>BK338*3*D338</f>
        <v>97.257747459701861</v>
      </c>
      <c r="BN338" s="1">
        <f>BM338-C338</f>
        <v>17.457747459701864</v>
      </c>
      <c r="BO338" s="1">
        <f>GK338*3*D338</f>
        <v>88.35</v>
      </c>
      <c r="BP338" s="1">
        <f>DO338*3*D338</f>
        <v>102.6</v>
      </c>
      <c r="BQ338" s="1">
        <f>FJ338*3*D338</f>
        <v>91.199999999999989</v>
      </c>
      <c r="BR338" s="1">
        <f>GL338*3*D338</f>
        <v>96.899999999999991</v>
      </c>
      <c r="BT338">
        <v>95.74</v>
      </c>
      <c r="BU338">
        <v>8</v>
      </c>
      <c r="BV338" t="s">
        <v>5574</v>
      </c>
      <c r="BW338" t="s">
        <v>5575</v>
      </c>
      <c r="BX338" t="s">
        <v>5576</v>
      </c>
      <c r="BY338" t="s">
        <v>5577</v>
      </c>
      <c r="BZ338" t="s">
        <v>5578</v>
      </c>
      <c r="CA338" t="s">
        <v>2452</v>
      </c>
      <c r="CC338" t="s">
        <v>2585</v>
      </c>
      <c r="CD338" t="s">
        <v>2744</v>
      </c>
      <c r="CE338" t="s">
        <v>2739</v>
      </c>
      <c r="CG338" t="s">
        <v>3227</v>
      </c>
      <c r="CH338" t="s">
        <v>2823</v>
      </c>
      <c r="CI338" t="s">
        <v>3228</v>
      </c>
      <c r="CK338" t="s">
        <v>3229</v>
      </c>
      <c r="CL338" t="s">
        <v>2825</v>
      </c>
      <c r="CM338" t="s">
        <v>3038</v>
      </c>
      <c r="CO338" t="s">
        <v>3230</v>
      </c>
      <c r="CP338" t="s">
        <v>2828</v>
      </c>
      <c r="CQ338" t="s">
        <v>3231</v>
      </c>
      <c r="CS338" t="s">
        <v>3232</v>
      </c>
      <c r="CT338" t="s">
        <v>2831</v>
      </c>
      <c r="CV338">
        <v>9</v>
      </c>
      <c r="CW338">
        <v>9</v>
      </c>
      <c r="CX338">
        <v>9</v>
      </c>
      <c r="CY338">
        <v>9</v>
      </c>
      <c r="CZ338">
        <v>9</v>
      </c>
      <c r="DA338">
        <v>0.1</v>
      </c>
      <c r="DB338">
        <v>0.1</v>
      </c>
      <c r="DC338">
        <v>0.2</v>
      </c>
      <c r="DD338">
        <v>0.3</v>
      </c>
      <c r="DE338">
        <v>0.3</v>
      </c>
      <c r="DF338">
        <v>0.9</v>
      </c>
      <c r="DG338">
        <v>0.9</v>
      </c>
      <c r="DH338">
        <v>1.8</v>
      </c>
      <c r="DI338">
        <v>2.7</v>
      </c>
      <c r="DJ338">
        <v>2.7</v>
      </c>
      <c r="DK338">
        <v>8</v>
      </c>
      <c r="DL338">
        <v>0</v>
      </c>
      <c r="DM338">
        <v>8</v>
      </c>
      <c r="DN338">
        <v>8.4</v>
      </c>
      <c r="DO338">
        <f>AVERAGE(CV338:CZ338)</f>
        <v>9</v>
      </c>
      <c r="DQ338" t="s">
        <v>27</v>
      </c>
      <c r="DR338" t="s">
        <v>195</v>
      </c>
      <c r="DS338" t="s">
        <v>196</v>
      </c>
      <c r="DT338" t="s">
        <v>197</v>
      </c>
      <c r="DU338" t="s">
        <v>366</v>
      </c>
      <c r="DV338" t="s">
        <v>367</v>
      </c>
      <c r="DW338" t="s">
        <v>4208</v>
      </c>
      <c r="DX338" t="s">
        <v>4209</v>
      </c>
      <c r="DY338" t="s">
        <v>4210</v>
      </c>
      <c r="DZ338" t="s">
        <v>4211</v>
      </c>
      <c r="EA338" t="s">
        <v>4212</v>
      </c>
      <c r="EB338" t="s">
        <v>4213</v>
      </c>
      <c r="EC338" t="s">
        <v>4214</v>
      </c>
      <c r="ED338" t="s">
        <v>4215</v>
      </c>
      <c r="EE338" t="s">
        <v>3966</v>
      </c>
      <c r="EF338" t="s">
        <v>4216</v>
      </c>
      <c r="EG338" t="s">
        <v>4217</v>
      </c>
      <c r="EH338" t="s">
        <v>4218</v>
      </c>
      <c r="EI338" t="s">
        <v>4561</v>
      </c>
      <c r="EJ338" t="s">
        <v>4220</v>
      </c>
      <c r="EK338" t="s">
        <v>4562</v>
      </c>
      <c r="EL338" t="s">
        <v>4563</v>
      </c>
      <c r="EM338" t="s">
        <v>4039</v>
      </c>
      <c r="EN338" t="s">
        <v>4564</v>
      </c>
      <c r="EO338" t="s">
        <v>4565</v>
      </c>
      <c r="EP338" t="s">
        <v>4566</v>
      </c>
      <c r="EQ338">
        <v>8</v>
      </c>
      <c r="ER338">
        <v>7</v>
      </c>
      <c r="ES338">
        <v>8</v>
      </c>
      <c r="ET338">
        <v>8</v>
      </c>
      <c r="EU338">
        <v>7</v>
      </c>
      <c r="EV338">
        <v>0.1</v>
      </c>
      <c r="EW338">
        <v>0.1</v>
      </c>
      <c r="EX338">
        <v>0.2</v>
      </c>
      <c r="EY338">
        <v>0.3</v>
      </c>
      <c r="EZ338">
        <v>0.3</v>
      </c>
      <c r="FA338">
        <f>EV338*EQ338</f>
        <v>0.8</v>
      </c>
      <c r="FB338">
        <f>EW338*ER338</f>
        <v>0.70000000000000007</v>
      </c>
      <c r="FC338">
        <f>EX338*ES338</f>
        <v>1.6</v>
      </c>
      <c r="FD338">
        <f>EY338*ET338</f>
        <v>2.4</v>
      </c>
      <c r="FE338">
        <f>EZ338*EU338</f>
        <v>2.1</v>
      </c>
      <c r="FF338">
        <v>15.5</v>
      </c>
      <c r="FG338">
        <v>0</v>
      </c>
      <c r="FH338">
        <v>15.5</v>
      </c>
      <c r="FI338">
        <f>FA338+FB338+FC338+FD338+FE338</f>
        <v>7.6</v>
      </c>
      <c r="FJ338">
        <f>MEDIAN(EQ338:EU338)</f>
        <v>8</v>
      </c>
      <c r="FL338">
        <v>82.95</v>
      </c>
      <c r="FM338">
        <v>6.3</v>
      </c>
      <c r="FN338" t="s">
        <v>1429</v>
      </c>
      <c r="FO338" t="s">
        <v>1430</v>
      </c>
      <c r="FP338" t="s">
        <v>1431</v>
      </c>
      <c r="FQ338" t="s">
        <v>1432</v>
      </c>
      <c r="FR338" t="s">
        <v>1433</v>
      </c>
      <c r="FS338">
        <v>9</v>
      </c>
      <c r="FT338">
        <v>8.5</v>
      </c>
      <c r="FU338">
        <v>9</v>
      </c>
      <c r="FV338">
        <v>7.5</v>
      </c>
      <c r="FW338">
        <v>6.5</v>
      </c>
      <c r="FX338">
        <v>0.1</v>
      </c>
      <c r="FY338">
        <v>0.1</v>
      </c>
      <c r="FZ338">
        <v>0.2</v>
      </c>
      <c r="GA338">
        <v>0.3</v>
      </c>
      <c r="GB338">
        <v>0.3</v>
      </c>
      <c r="GC338">
        <f>FS338*FX338</f>
        <v>0.9</v>
      </c>
      <c r="GD338">
        <f>FT338*FY338</f>
        <v>0.85000000000000009</v>
      </c>
      <c r="GE338">
        <f>FU338*FZ338</f>
        <v>1.8</v>
      </c>
      <c r="GF338">
        <f>FV338*GA338</f>
        <v>2.25</v>
      </c>
      <c r="GG338">
        <f>FW338*GB338</f>
        <v>1.95</v>
      </c>
      <c r="GH338">
        <v>6.4</v>
      </c>
      <c r="GI338">
        <v>-0.1</v>
      </c>
      <c r="GJ338">
        <v>6.3</v>
      </c>
      <c r="GK338">
        <f>GC338+GD338+GE338+GF338+GG338</f>
        <v>7.75</v>
      </c>
      <c r="GL338">
        <f>MEDIAN(FS338:FW338)</f>
        <v>8.5</v>
      </c>
    </row>
    <row r="339" spans="1:194" hidden="1" x14ac:dyDescent="0.25">
      <c r="A339">
        <v>338</v>
      </c>
      <c r="B339" t="s">
        <v>2</v>
      </c>
      <c r="C339" s="4">
        <v>64.349999999999994</v>
      </c>
      <c r="D339">
        <v>3.3</v>
      </c>
      <c r="E339" s="1">
        <f>C339/3/D339</f>
        <v>6.5</v>
      </c>
      <c r="G339">
        <v>88.96</v>
      </c>
      <c r="H339">
        <v>8</v>
      </c>
      <c r="I339">
        <f>H339*D339*3</f>
        <v>79.199999999999989</v>
      </c>
      <c r="J339">
        <v>17.07</v>
      </c>
      <c r="K339">
        <v>9</v>
      </c>
      <c r="L339" s="3">
        <f>K339*3*D339</f>
        <v>89.1</v>
      </c>
      <c r="M339">
        <v>5.18</v>
      </c>
      <c r="N339">
        <v>5</v>
      </c>
      <c r="O339">
        <f>N339*D339*3</f>
        <v>49.5</v>
      </c>
      <c r="P339" s="5">
        <v>7.2</v>
      </c>
      <c r="Q339" s="5">
        <f>P339*D339*3</f>
        <v>71.28</v>
      </c>
      <c r="S339" t="s">
        <v>6462</v>
      </c>
      <c r="T339">
        <v>7.2</v>
      </c>
      <c r="U339" s="8">
        <f>T339*D339*3</f>
        <v>71.28</v>
      </c>
      <c r="V339">
        <v>37.51</v>
      </c>
      <c r="W339">
        <v>8.4</v>
      </c>
      <c r="X339" s="5">
        <f>W339*D339*3</f>
        <v>83.16</v>
      </c>
      <c r="Y339">
        <v>12.43</v>
      </c>
      <c r="Z339">
        <v>7.7</v>
      </c>
      <c r="AA339">
        <f>Z339*D339*3</f>
        <v>76.23</v>
      </c>
      <c r="AC339">
        <v>161.74</v>
      </c>
      <c r="AD339">
        <v>6.05</v>
      </c>
      <c r="AE339" s="1">
        <f>AD339*3*D339</f>
        <v>59.894999999999989</v>
      </c>
      <c r="AF339">
        <v>11.93</v>
      </c>
      <c r="AG339" s="5">
        <v>7</v>
      </c>
      <c r="AH339" s="5">
        <f>AG339*D339*3</f>
        <v>69.3</v>
      </c>
      <c r="AI339" s="13"/>
      <c r="AJ339">
        <v>7.2</v>
      </c>
      <c r="AK339" s="8">
        <f>AJ339*D339*3</f>
        <v>71.28</v>
      </c>
      <c r="AL339" s="13"/>
      <c r="AM339">
        <v>30.96</v>
      </c>
      <c r="AN339">
        <v>7.6</v>
      </c>
      <c r="AO339" s="8">
        <f>AN339*D339*3</f>
        <v>75.239999999999995</v>
      </c>
      <c r="AP339">
        <v>12.18</v>
      </c>
      <c r="AQ339">
        <v>10</v>
      </c>
      <c r="AR339">
        <f>AQ339*D339*3</f>
        <v>99</v>
      </c>
      <c r="AT339">
        <v>8.5</v>
      </c>
      <c r="AU339">
        <f>AT339*D339*3</f>
        <v>84.149999999999991</v>
      </c>
      <c r="AX339">
        <v>9.1999999999999993</v>
      </c>
      <c r="AY339">
        <f>AX339*D339*3</f>
        <v>91.079999999999984</v>
      </c>
      <c r="BA339">
        <v>9</v>
      </c>
      <c r="BB339">
        <f>BA339*D339*3</f>
        <v>89.1</v>
      </c>
      <c r="BC339">
        <v>30.25</v>
      </c>
      <c r="BD339">
        <v>7.4</v>
      </c>
      <c r="BE339">
        <f>BD339*D339*3</f>
        <v>73.259999999999991</v>
      </c>
      <c r="BG339" s="10"/>
      <c r="BH339" s="1">
        <f>CHOOSE(MATCH(MIN(ABS(BP339-C339),ABS(BQ339-C339),ABS(BR339-C339)),CHOOSE({1;2;3},ABS(BP339-C339),ABS(BQ339-C339),ABS(BR339-C339)),0),BP339,BQ339,BR339)</f>
        <v>59.4</v>
      </c>
      <c r="BJ339" s="1" cm="1">
        <f t="array" ref="BJ339">(INDEX(_xlfn._xlws.SORT(CHOOSE({1;2;3;4;5;6},BQ339,BR339,L339,AE339,BO339,BP339)),3) + INDEX(_xlfn._xlws.SORT(CHOOSE({1;2;3;4;5;6},BQ339,BR339,L339,AE339,BO339,BP339)),4))/2</f>
        <v>80.932500000000005</v>
      </c>
      <c r="BK339">
        <v>6.50221837202138</v>
      </c>
      <c r="BL339" t="s">
        <v>6117</v>
      </c>
      <c r="BM339" s="1">
        <f>BK339*3*D339</f>
        <v>64.37196188301165</v>
      </c>
      <c r="BN339" s="1">
        <f>BM339-C339</f>
        <v>2.1961883011655914E-2</v>
      </c>
      <c r="BO339" s="1">
        <f>GK339*3*D339</f>
        <v>77.715000000000003</v>
      </c>
      <c r="BP339" s="1">
        <f>DO339*3*D339</f>
        <v>89.1</v>
      </c>
      <c r="BQ339" s="1">
        <f>FJ339*3*D339</f>
        <v>59.4</v>
      </c>
      <c r="BR339" s="1">
        <f>GL339*3*D339</f>
        <v>84.149999999999991</v>
      </c>
      <c r="BT339">
        <v>88.96</v>
      </c>
      <c r="BU339">
        <v>8</v>
      </c>
      <c r="BV339" t="s">
        <v>5032</v>
      </c>
      <c r="BW339" t="s">
        <v>5033</v>
      </c>
      <c r="BX339" t="s">
        <v>5034</v>
      </c>
      <c r="BY339" t="s">
        <v>6019</v>
      </c>
      <c r="BZ339" t="s">
        <v>6020</v>
      </c>
      <c r="CA339" t="s">
        <v>3660</v>
      </c>
      <c r="CB339" t="s">
        <v>2798</v>
      </c>
      <c r="CC339" t="s">
        <v>3661</v>
      </c>
      <c r="CD339" t="s">
        <v>2453</v>
      </c>
      <c r="CE339" t="s">
        <v>3662</v>
      </c>
      <c r="CF339" t="s">
        <v>2798</v>
      </c>
      <c r="CG339" t="s">
        <v>2441</v>
      </c>
      <c r="CH339" t="s">
        <v>2587</v>
      </c>
      <c r="CI339" t="s">
        <v>3663</v>
      </c>
      <c r="CJ339" t="s">
        <v>2798</v>
      </c>
      <c r="CK339" t="s">
        <v>2444</v>
      </c>
      <c r="CL339" t="s">
        <v>2588</v>
      </c>
      <c r="CM339" t="s">
        <v>3517</v>
      </c>
      <c r="CN339" t="s">
        <v>2798</v>
      </c>
      <c r="CO339" t="s">
        <v>2447</v>
      </c>
      <c r="CP339" t="s">
        <v>2590</v>
      </c>
      <c r="CQ339" t="s">
        <v>2630</v>
      </c>
      <c r="CR339" t="s">
        <v>2798</v>
      </c>
      <c r="CS339" t="s">
        <v>2450</v>
      </c>
      <c r="CT339" t="s">
        <v>2592</v>
      </c>
      <c r="CV339">
        <v>9</v>
      </c>
      <c r="CW339">
        <v>9</v>
      </c>
      <c r="CX339">
        <v>9</v>
      </c>
      <c r="CY339">
        <v>9</v>
      </c>
      <c r="CZ339">
        <v>9</v>
      </c>
      <c r="DA339">
        <v>0.1</v>
      </c>
      <c r="DB339">
        <v>0.1</v>
      </c>
      <c r="DC339">
        <v>0.2</v>
      </c>
      <c r="DD339">
        <v>0.3</v>
      </c>
      <c r="DE339">
        <v>0.3</v>
      </c>
      <c r="DF339">
        <v>0.9</v>
      </c>
      <c r="DG339">
        <v>0.9</v>
      </c>
      <c r="DH339">
        <v>1.8</v>
      </c>
      <c r="DI339">
        <v>2.7</v>
      </c>
      <c r="DJ339">
        <v>2.7</v>
      </c>
      <c r="DK339">
        <v>8</v>
      </c>
      <c r="DL339">
        <v>0</v>
      </c>
      <c r="DM339">
        <v>8</v>
      </c>
      <c r="DN339">
        <v>9</v>
      </c>
      <c r="DO339">
        <f>AVERAGE(CV339:CZ339)</f>
        <v>9</v>
      </c>
      <c r="DQ339" t="s">
        <v>27</v>
      </c>
      <c r="DR339" t="s">
        <v>546</v>
      </c>
      <c r="DS339" t="s">
        <v>547</v>
      </c>
      <c r="DT339" t="s">
        <v>548</v>
      </c>
      <c r="DU339" t="s">
        <v>549</v>
      </c>
      <c r="DV339" t="s">
        <v>550</v>
      </c>
      <c r="DW339" t="s">
        <v>3788</v>
      </c>
      <c r="DX339" t="s">
        <v>4071</v>
      </c>
      <c r="DY339" t="s">
        <v>4926</v>
      </c>
      <c r="DZ339" t="s">
        <v>4927</v>
      </c>
      <c r="EA339" t="s">
        <v>3792</v>
      </c>
      <c r="EB339" t="s">
        <v>4074</v>
      </c>
      <c r="EC339" t="s">
        <v>4928</v>
      </c>
      <c r="ED339" t="s">
        <v>4928</v>
      </c>
      <c r="EE339" t="s">
        <v>3796</v>
      </c>
      <c r="EF339" t="s">
        <v>4929</v>
      </c>
      <c r="EG339" t="s">
        <v>4930</v>
      </c>
      <c r="EH339" t="s">
        <v>4931</v>
      </c>
      <c r="EI339" t="s">
        <v>4080</v>
      </c>
      <c r="EJ339" t="s">
        <v>4512</v>
      </c>
      <c r="EK339" t="s">
        <v>4932</v>
      </c>
      <c r="EL339" t="s">
        <v>4932</v>
      </c>
      <c r="EM339" t="s">
        <v>4933</v>
      </c>
      <c r="EN339" t="s">
        <v>4934</v>
      </c>
      <c r="EO339" t="s">
        <v>4935</v>
      </c>
      <c r="EP339" t="s">
        <v>4936</v>
      </c>
      <c r="EQ339">
        <v>6</v>
      </c>
      <c r="ER339">
        <v>6.5</v>
      </c>
      <c r="ES339">
        <v>6</v>
      </c>
      <c r="ET339">
        <v>6</v>
      </c>
      <c r="EU339">
        <v>6</v>
      </c>
      <c r="EV339">
        <v>0.1</v>
      </c>
      <c r="EW339">
        <v>0.1</v>
      </c>
      <c r="EX339">
        <v>0.2</v>
      </c>
      <c r="EY339">
        <v>0.3</v>
      </c>
      <c r="EZ339">
        <v>0.3</v>
      </c>
      <c r="FA339">
        <f>EV339*EQ339</f>
        <v>0.60000000000000009</v>
      </c>
      <c r="FB339">
        <f>EW339*ER339</f>
        <v>0.65</v>
      </c>
      <c r="FC339">
        <f>EX339*ES339</f>
        <v>1.2000000000000002</v>
      </c>
      <c r="FD339">
        <f>EY339*ET339</f>
        <v>1.7999999999999998</v>
      </c>
      <c r="FE339">
        <f>EZ339*EU339</f>
        <v>1.7999999999999998</v>
      </c>
      <c r="FF339">
        <v>18</v>
      </c>
      <c r="FG339">
        <v>0</v>
      </c>
      <c r="FH339">
        <v>7</v>
      </c>
      <c r="FI339">
        <f>FA339+FB339+FC339+FD339+FE339</f>
        <v>6.05</v>
      </c>
      <c r="FJ339">
        <f>MEDIAN(EQ339:EU339)</f>
        <v>6</v>
      </c>
      <c r="FL339">
        <v>100.31</v>
      </c>
      <c r="FM339">
        <v>8.8000000000000007</v>
      </c>
      <c r="FN339" t="s">
        <v>2208</v>
      </c>
      <c r="FO339" t="s">
        <v>2209</v>
      </c>
      <c r="FP339" t="s">
        <v>2210</v>
      </c>
      <c r="FQ339" t="s">
        <v>2211</v>
      </c>
      <c r="FR339" t="s">
        <v>2212</v>
      </c>
      <c r="FS339">
        <v>10</v>
      </c>
      <c r="FT339">
        <v>9.5</v>
      </c>
      <c r="FU339">
        <v>8.5</v>
      </c>
      <c r="FV339">
        <v>7.5</v>
      </c>
      <c r="FW339">
        <v>6.5</v>
      </c>
      <c r="FX339">
        <v>0.1</v>
      </c>
      <c r="FY339">
        <v>0.1</v>
      </c>
      <c r="FZ339">
        <v>0.2</v>
      </c>
      <c r="GA339">
        <v>0.3</v>
      </c>
      <c r="GB339">
        <v>0.3</v>
      </c>
      <c r="GC339">
        <f>FS339*FX339</f>
        <v>1</v>
      </c>
      <c r="GD339">
        <f>FT339*FY339</f>
        <v>0.95000000000000007</v>
      </c>
      <c r="GE339">
        <f>FU339*FZ339</f>
        <v>1.7000000000000002</v>
      </c>
      <c r="GF339">
        <f>FV339*GA339</f>
        <v>2.25</v>
      </c>
      <c r="GG339">
        <f>FW339*GB339</f>
        <v>1.95</v>
      </c>
      <c r="GH339">
        <v>8.75</v>
      </c>
      <c r="GI339">
        <v>0</v>
      </c>
      <c r="GJ339">
        <v>8.8000000000000007</v>
      </c>
      <c r="GK339">
        <f>GC339+GD339+GE339+GF339+GG339</f>
        <v>7.8500000000000005</v>
      </c>
      <c r="GL339">
        <f>MEDIAN(FS339:FW339)</f>
        <v>8.5</v>
      </c>
    </row>
    <row r="340" spans="1:194" hidden="1" x14ac:dyDescent="0.25">
      <c r="A340">
        <v>339</v>
      </c>
      <c r="B340" t="s">
        <v>2</v>
      </c>
      <c r="C340" s="4">
        <v>81</v>
      </c>
      <c r="D340">
        <v>3.6</v>
      </c>
      <c r="E340" s="1">
        <f>C340/3/D340</f>
        <v>7.5</v>
      </c>
      <c r="G340">
        <v>36.049999999999997</v>
      </c>
      <c r="H340">
        <v>8</v>
      </c>
      <c r="I340">
        <f>H340*D340*3</f>
        <v>86.4</v>
      </c>
      <c r="J340">
        <v>17.46</v>
      </c>
      <c r="K340">
        <v>9</v>
      </c>
      <c r="L340" s="3">
        <f>K340*3*D340</f>
        <v>97.2</v>
      </c>
      <c r="M340">
        <v>5.31</v>
      </c>
      <c r="N340">
        <v>5</v>
      </c>
      <c r="O340">
        <f>N340*D340*3</f>
        <v>54</v>
      </c>
      <c r="P340" s="5">
        <v>7.3</v>
      </c>
      <c r="Q340" s="5">
        <f>P340*D340*3</f>
        <v>78.84</v>
      </c>
      <c r="S340" t="s">
        <v>6463</v>
      </c>
      <c r="T340">
        <v>5.6</v>
      </c>
      <c r="U340" s="8">
        <f>T340*D340*3</f>
        <v>60.480000000000004</v>
      </c>
      <c r="V340">
        <v>40.28</v>
      </c>
      <c r="W340">
        <v>8.4</v>
      </c>
      <c r="X340" s="5">
        <f>W340*D340*3</f>
        <v>90.72</v>
      </c>
      <c r="Y340">
        <v>8.93</v>
      </c>
      <c r="Z340">
        <v>6</v>
      </c>
      <c r="AA340">
        <f>Z340*D340*3</f>
        <v>64.800000000000011</v>
      </c>
      <c r="AC340">
        <v>126.22</v>
      </c>
      <c r="AD340">
        <v>7.6</v>
      </c>
      <c r="AE340" s="1">
        <f>AD340*3*D340</f>
        <v>82.08</v>
      </c>
      <c r="AF340">
        <v>11.9</v>
      </c>
      <c r="AG340" s="5">
        <v>7</v>
      </c>
      <c r="AH340" s="5">
        <f>AG340*D340*3</f>
        <v>75.599999999999994</v>
      </c>
      <c r="AI340" s="13"/>
      <c r="AJ340">
        <v>2.7</v>
      </c>
      <c r="AK340" s="8">
        <f>AJ340*D340*3</f>
        <v>29.160000000000004</v>
      </c>
      <c r="AL340" s="13"/>
      <c r="AM340">
        <v>32.9</v>
      </c>
      <c r="AN340">
        <v>7.3</v>
      </c>
      <c r="AO340" s="8">
        <f>AN340*D340*3</f>
        <v>78.84</v>
      </c>
      <c r="AP340">
        <v>12.52</v>
      </c>
      <c r="AQ340">
        <v>10</v>
      </c>
      <c r="AR340">
        <f>AQ340*D340*3</f>
        <v>108</v>
      </c>
      <c r="AT340">
        <v>9</v>
      </c>
      <c r="AU340">
        <f>AT340*D340*3</f>
        <v>97.199999999999989</v>
      </c>
      <c r="AX340">
        <v>9.1</v>
      </c>
      <c r="AY340">
        <f>AX340*D340*3</f>
        <v>98.28</v>
      </c>
      <c r="BA340">
        <v>9</v>
      </c>
      <c r="BB340">
        <f>BA340*D340*3</f>
        <v>97.199999999999989</v>
      </c>
      <c r="BC340">
        <v>28.33</v>
      </c>
      <c r="BD340">
        <v>8.9</v>
      </c>
      <c r="BE340">
        <f>BD340*D340*3</f>
        <v>96.12</v>
      </c>
      <c r="BG340" s="10"/>
      <c r="BH340" s="1">
        <f>CHOOSE(MATCH(MIN(ABS(BP340-C340),ABS(BQ340-C340),ABS(BR340-C340)),CHOOSE({1;2;3},ABS(BP340-C340),ABS(BQ340-C340),ABS(BR340-C340)),0),BP340,BQ340,BR340)</f>
        <v>86.4</v>
      </c>
      <c r="BJ340" s="1" cm="1">
        <f t="array" ref="BJ340">(INDEX(_xlfn._xlws.SORT(CHOOSE({1;2;3;4;5;6},BQ340,BR340,L340,AE340,BO340,BP340)),3) + INDEX(_xlfn._xlws.SORT(CHOOSE({1;2;3;4;5;6},BQ340,BR340,L340,AE340,BO340,BP340)),4))/2</f>
        <v>84.240000000000009</v>
      </c>
      <c r="BK340">
        <v>7.5092038374800802</v>
      </c>
      <c r="BL340" t="s">
        <v>6117</v>
      </c>
      <c r="BM340" s="1">
        <f>BK340*3*D340</f>
        <v>81.099401444784874</v>
      </c>
      <c r="BN340" s="1">
        <f>BM340-C340</f>
        <v>9.9401444784874116E-2</v>
      </c>
      <c r="BO340" s="1">
        <f>GK340*3*D340</f>
        <v>45.360000000000007</v>
      </c>
      <c r="BP340" s="1">
        <f>DO340*3*D340</f>
        <v>97.2</v>
      </c>
      <c r="BQ340" s="1">
        <f>FJ340*3*D340</f>
        <v>86.4</v>
      </c>
      <c r="BR340" s="1">
        <f>GL340*3*D340</f>
        <v>43.2</v>
      </c>
      <c r="BT340">
        <v>36.049999999999997</v>
      </c>
      <c r="BU340">
        <v>8</v>
      </c>
      <c r="BV340" t="s">
        <v>5570</v>
      </c>
      <c r="BW340" t="s">
        <v>5519</v>
      </c>
      <c r="BX340" t="s">
        <v>6021</v>
      </c>
      <c r="BY340" t="s">
        <v>6022</v>
      </c>
      <c r="BZ340" t="s">
        <v>6023</v>
      </c>
      <c r="CA340" t="s">
        <v>2723</v>
      </c>
      <c r="CC340" t="s">
        <v>2438</v>
      </c>
      <c r="CD340" t="s">
        <v>2439</v>
      </c>
      <c r="CE340" t="s">
        <v>2440</v>
      </c>
      <c r="CG340" t="s">
        <v>2441</v>
      </c>
      <c r="CH340" t="s">
        <v>2442</v>
      </c>
      <c r="CI340" t="s">
        <v>2443</v>
      </c>
      <c r="CK340" t="s">
        <v>2444</v>
      </c>
      <c r="CL340" t="s">
        <v>2445</v>
      </c>
      <c r="CM340" t="s">
        <v>2446</v>
      </c>
      <c r="CO340" t="s">
        <v>2447</v>
      </c>
      <c r="CP340" t="s">
        <v>2448</v>
      </c>
      <c r="CQ340" t="s">
        <v>2449</v>
      </c>
      <c r="CS340" t="s">
        <v>2450</v>
      </c>
      <c r="CT340" t="s">
        <v>2451</v>
      </c>
      <c r="CV340">
        <v>9</v>
      </c>
      <c r="CW340">
        <v>9</v>
      </c>
      <c r="CX340">
        <v>9</v>
      </c>
      <c r="CY340">
        <v>9</v>
      </c>
      <c r="CZ340">
        <v>9</v>
      </c>
      <c r="DA340">
        <v>0.1</v>
      </c>
      <c r="DB340">
        <v>0.1</v>
      </c>
      <c r="DC340">
        <v>0.2</v>
      </c>
      <c r="DD340">
        <v>0.3</v>
      </c>
      <c r="DE340">
        <v>0.3</v>
      </c>
      <c r="DF340">
        <v>0.9</v>
      </c>
      <c r="DG340">
        <v>0.9</v>
      </c>
      <c r="DH340">
        <v>1.8</v>
      </c>
      <c r="DI340">
        <v>2.7</v>
      </c>
      <c r="DJ340">
        <v>2.7</v>
      </c>
      <c r="DK340">
        <v>8</v>
      </c>
      <c r="DL340">
        <v>0</v>
      </c>
      <c r="DM340">
        <v>8</v>
      </c>
      <c r="DN340">
        <v>9</v>
      </c>
      <c r="DO340">
        <f>AVERAGE(CV340:CZ340)</f>
        <v>9</v>
      </c>
      <c r="DQ340">
        <v>16</v>
      </c>
      <c r="DR340" t="s">
        <v>551</v>
      </c>
      <c r="DS340" t="s">
        <v>552</v>
      </c>
      <c r="DT340" t="s">
        <v>553</v>
      </c>
      <c r="DU340" t="s">
        <v>554</v>
      </c>
      <c r="DV340" t="s">
        <v>555</v>
      </c>
      <c r="DW340" t="s">
        <v>3911</v>
      </c>
      <c r="DX340" t="s">
        <v>4160</v>
      </c>
      <c r="DY340" t="s">
        <v>4161</v>
      </c>
      <c r="DZ340" t="s">
        <v>4937</v>
      </c>
      <c r="EA340" t="s">
        <v>4054</v>
      </c>
      <c r="EB340" t="s">
        <v>4344</v>
      </c>
      <c r="EE340" t="s">
        <v>4166</v>
      </c>
      <c r="EF340" t="s">
        <v>4938</v>
      </c>
      <c r="EI340" t="s">
        <v>4939</v>
      </c>
      <c r="EJ340" t="s">
        <v>4940</v>
      </c>
      <c r="EM340" t="s">
        <v>4941</v>
      </c>
      <c r="EN340" t="s">
        <v>4047</v>
      </c>
      <c r="EQ340">
        <v>4</v>
      </c>
      <c r="ER340">
        <v>8</v>
      </c>
      <c r="ES340">
        <v>8</v>
      </c>
      <c r="ET340">
        <v>8</v>
      </c>
      <c r="EU340">
        <v>8</v>
      </c>
      <c r="EV340">
        <v>0.1</v>
      </c>
      <c r="EW340">
        <v>0.1</v>
      </c>
      <c r="EX340">
        <v>0.2</v>
      </c>
      <c r="EY340">
        <v>0.3</v>
      </c>
      <c r="EZ340">
        <v>0.3</v>
      </c>
      <c r="FA340">
        <f>EV340*EQ340</f>
        <v>0.4</v>
      </c>
      <c r="FB340">
        <f>EW340*ER340</f>
        <v>0.8</v>
      </c>
      <c r="FC340">
        <f>EX340*ES340</f>
        <v>1.6</v>
      </c>
      <c r="FD340">
        <f>EY340*ET340</f>
        <v>2.4</v>
      </c>
      <c r="FE340">
        <f>EZ340*EU340</f>
        <v>2.4</v>
      </c>
      <c r="FF340">
        <v>16</v>
      </c>
      <c r="FG340">
        <v>0</v>
      </c>
      <c r="FH340">
        <v>16</v>
      </c>
      <c r="FI340">
        <f>FA340+FB340+FC340+FD340+FE340</f>
        <v>7.6</v>
      </c>
      <c r="FJ340">
        <f>MEDIAN(EQ340:EU340)</f>
        <v>8</v>
      </c>
      <c r="FL340">
        <v>39.090000000000003</v>
      </c>
      <c r="FM340">
        <v>7</v>
      </c>
      <c r="FN340" t="s">
        <v>2213</v>
      </c>
      <c r="FO340" t="s">
        <v>2214</v>
      </c>
      <c r="FP340" t="s">
        <v>2215</v>
      </c>
      <c r="FQ340" t="s">
        <v>2216</v>
      </c>
      <c r="FR340" t="s">
        <v>2217</v>
      </c>
      <c r="FS340">
        <v>5</v>
      </c>
      <c r="FT340">
        <v>3</v>
      </c>
      <c r="FU340">
        <v>2</v>
      </c>
      <c r="FV340">
        <v>4</v>
      </c>
      <c r="FW340">
        <v>6</v>
      </c>
      <c r="FX340">
        <v>0.1</v>
      </c>
      <c r="FY340">
        <v>0.1</v>
      </c>
      <c r="FZ340">
        <v>0.2</v>
      </c>
      <c r="GA340">
        <v>0.3</v>
      </c>
      <c r="GB340">
        <v>0.3</v>
      </c>
      <c r="GC340">
        <f>FS340*FX340</f>
        <v>0.5</v>
      </c>
      <c r="GD340">
        <f>FT340*FY340</f>
        <v>0.30000000000000004</v>
      </c>
      <c r="GE340">
        <f>FU340*FZ340</f>
        <v>0.4</v>
      </c>
      <c r="GF340">
        <f>FV340*GA340</f>
        <v>1.2</v>
      </c>
      <c r="GG340">
        <f>FW340*GB340</f>
        <v>1.7999999999999998</v>
      </c>
      <c r="GH340">
        <v>7</v>
      </c>
      <c r="GI340">
        <v>0</v>
      </c>
      <c r="GJ340">
        <v>7</v>
      </c>
      <c r="GK340">
        <f>GC340+GD340+GE340+GF340+GG340</f>
        <v>4.2</v>
      </c>
      <c r="GL340">
        <f>MEDIAN(FS340:FW340)</f>
        <v>4</v>
      </c>
    </row>
    <row r="341" spans="1:194" hidden="1" x14ac:dyDescent="0.25">
      <c r="A341">
        <v>340</v>
      </c>
      <c r="B341" t="s">
        <v>2</v>
      </c>
      <c r="C341" s="4">
        <v>86.4</v>
      </c>
      <c r="D341">
        <v>3.6</v>
      </c>
      <c r="E341" s="1">
        <f>C341/3/D341</f>
        <v>8</v>
      </c>
      <c r="G341">
        <v>42.11</v>
      </c>
      <c r="H341">
        <v>8.1999999999999993</v>
      </c>
      <c r="I341">
        <f>H341*D341*3</f>
        <v>88.56</v>
      </c>
      <c r="J341">
        <v>16.600000000000001</v>
      </c>
      <c r="K341">
        <v>9</v>
      </c>
      <c r="L341" s="3">
        <f>K341*3*D341</f>
        <v>97.2</v>
      </c>
      <c r="M341">
        <v>4.57</v>
      </c>
      <c r="N341">
        <v>3</v>
      </c>
      <c r="O341">
        <f>N341*D341*3</f>
        <v>32.400000000000006</v>
      </c>
      <c r="P341" s="5">
        <v>8.9</v>
      </c>
      <c r="Q341" s="5">
        <f>P341*D341*3</f>
        <v>96.12</v>
      </c>
      <c r="S341" t="s">
        <v>6464</v>
      </c>
      <c r="T341">
        <v>5</v>
      </c>
      <c r="U341" s="8">
        <f>T341*D341*3</f>
        <v>54</v>
      </c>
      <c r="V341">
        <v>40.61</v>
      </c>
      <c r="W341">
        <v>8.6999999999999993</v>
      </c>
      <c r="X341" s="5">
        <f>W341*D341*3</f>
        <v>93.96</v>
      </c>
      <c r="Y341">
        <v>11.45</v>
      </c>
      <c r="Z341">
        <v>7.6</v>
      </c>
      <c r="AA341">
        <f>Z341*D341*3</f>
        <v>82.08</v>
      </c>
      <c r="AC341">
        <v>143.66</v>
      </c>
      <c r="AD341">
        <v>7.3000000000000007</v>
      </c>
      <c r="AE341" s="1">
        <f>AD341*3*D341</f>
        <v>78.84</v>
      </c>
      <c r="AF341">
        <v>12.03</v>
      </c>
      <c r="AG341" s="5">
        <v>7</v>
      </c>
      <c r="AH341" s="5">
        <f>AG341*D341*3</f>
        <v>75.599999999999994</v>
      </c>
      <c r="AI341" s="13"/>
      <c r="AJ341">
        <v>23.5</v>
      </c>
      <c r="AK341" s="8">
        <f>AJ341*D341*3</f>
        <v>253.8</v>
      </c>
      <c r="AL341" s="13"/>
      <c r="AM341">
        <v>30.67</v>
      </c>
      <c r="AN341">
        <v>7.2</v>
      </c>
      <c r="AO341" s="8">
        <f>AN341*D341*3</f>
        <v>77.760000000000005</v>
      </c>
      <c r="AP341">
        <v>13.04</v>
      </c>
      <c r="AQ341">
        <v>10</v>
      </c>
      <c r="AR341">
        <f>AQ341*D341*3</f>
        <v>108</v>
      </c>
      <c r="AT341">
        <v>9.1</v>
      </c>
      <c r="AU341">
        <f>AT341*D341*3</f>
        <v>98.28</v>
      </c>
      <c r="AX341">
        <v>9.9</v>
      </c>
      <c r="AY341">
        <f>AX341*D341*3</f>
        <v>106.92</v>
      </c>
      <c r="BA341">
        <v>9</v>
      </c>
      <c r="BB341">
        <f>BA341*D341*3</f>
        <v>97.199999999999989</v>
      </c>
      <c r="BC341">
        <v>28.2</v>
      </c>
      <c r="BD341">
        <v>9</v>
      </c>
      <c r="BE341">
        <f>BD341*D341*3</f>
        <v>97.199999999999989</v>
      </c>
      <c r="BG341" s="10"/>
      <c r="BH341" s="1">
        <f>CHOOSE(MATCH(MIN(ABS(BP341-C341),ABS(BQ341-C341),ABS(BR341-C341)),CHOOSE({1;2;3},ABS(BP341-C341),ABS(BQ341-C341),ABS(BR341-C341)),0),BP341,BQ341,BR341)</f>
        <v>97.2</v>
      </c>
      <c r="BJ341" s="1" cm="1">
        <f t="array" ref="BJ341">(INDEX(_xlfn._xlws.SORT(CHOOSE({1;2;3;4;5;6},BQ341,BR341,L341,AE341,BO341,BP341)),3) + INDEX(_xlfn._xlws.SORT(CHOOSE({1;2;3;4;5;6},BQ341,BR341,L341,AE341,BO341,BP341)),4))/2</f>
        <v>77.22</v>
      </c>
      <c r="BK341">
        <v>8.0304972701927593</v>
      </c>
      <c r="BL341" t="s">
        <v>6117</v>
      </c>
      <c r="BM341" s="1">
        <f>BK341*3*D341</f>
        <v>86.729370518081794</v>
      </c>
      <c r="BN341" s="1">
        <f>BM341-C341</f>
        <v>0.32937051808178808</v>
      </c>
      <c r="BO341" s="1">
        <f>GK341*3*D341</f>
        <v>52.92</v>
      </c>
      <c r="BP341" s="1">
        <f>DO341*3*D341</f>
        <v>97.2</v>
      </c>
      <c r="BQ341" s="1">
        <f>FJ341*3*D341</f>
        <v>75.600000000000009</v>
      </c>
      <c r="BR341" s="1">
        <f>GL341*3*D341</f>
        <v>54</v>
      </c>
      <c r="BT341">
        <v>42.11</v>
      </c>
      <c r="BU341">
        <v>8.1999999999999993</v>
      </c>
      <c r="BV341" t="s">
        <v>4991</v>
      </c>
      <c r="BW341" t="s">
        <v>5143</v>
      </c>
      <c r="BX341" t="s">
        <v>5060</v>
      </c>
      <c r="BY341" t="s">
        <v>6024</v>
      </c>
      <c r="BZ341" t="s">
        <v>6025</v>
      </c>
      <c r="CA341" t="s">
        <v>2420</v>
      </c>
      <c r="CC341" t="s">
        <v>3550</v>
      </c>
      <c r="CD341" t="s">
        <v>2812</v>
      </c>
      <c r="CE341" t="s">
        <v>2572</v>
      </c>
      <c r="CG341" t="s">
        <v>3551</v>
      </c>
      <c r="CH341" t="s">
        <v>3552</v>
      </c>
      <c r="CI341" t="s">
        <v>2714</v>
      </c>
      <c r="CK341" t="s">
        <v>3664</v>
      </c>
      <c r="CL341" t="s">
        <v>3555</v>
      </c>
      <c r="CM341" t="s">
        <v>2717</v>
      </c>
      <c r="CO341" t="s">
        <v>3665</v>
      </c>
      <c r="CP341" t="s">
        <v>3557</v>
      </c>
      <c r="CQ341" t="s">
        <v>2582</v>
      </c>
      <c r="CS341" t="s">
        <v>3666</v>
      </c>
      <c r="CT341" t="s">
        <v>3560</v>
      </c>
      <c r="CV341">
        <v>9</v>
      </c>
      <c r="CW341">
        <v>9</v>
      </c>
      <c r="CX341">
        <v>9</v>
      </c>
      <c r="CY341">
        <v>9</v>
      </c>
      <c r="CZ341">
        <v>9</v>
      </c>
      <c r="DA341">
        <v>0.1</v>
      </c>
      <c r="DB341">
        <v>0.1</v>
      </c>
      <c r="DC341">
        <v>0.2</v>
      </c>
      <c r="DD341">
        <v>0.3</v>
      </c>
      <c r="DE341">
        <v>0.3</v>
      </c>
      <c r="DF341">
        <v>0.9</v>
      </c>
      <c r="DG341">
        <v>0.9</v>
      </c>
      <c r="DH341">
        <v>1.8</v>
      </c>
      <c r="DI341">
        <v>2.7</v>
      </c>
      <c r="DJ341">
        <v>2.7</v>
      </c>
      <c r="DK341">
        <v>8.1999999999999993</v>
      </c>
      <c r="DL341">
        <v>0</v>
      </c>
      <c r="DM341">
        <v>8.1999999999999993</v>
      </c>
      <c r="DN341">
        <v>9</v>
      </c>
      <c r="DO341">
        <f>AVERAGE(CV341:CZ341)</f>
        <v>9</v>
      </c>
      <c r="DQ341">
        <v>17</v>
      </c>
      <c r="DR341" t="s">
        <v>28</v>
      </c>
      <c r="DS341" t="s">
        <v>29</v>
      </c>
      <c r="DT341" t="s">
        <v>109</v>
      </c>
      <c r="DU341" t="s">
        <v>110</v>
      </c>
      <c r="DV341" t="s">
        <v>290</v>
      </c>
      <c r="DW341" t="s">
        <v>3769</v>
      </c>
      <c r="DX341" t="s">
        <v>3770</v>
      </c>
      <c r="DY341" t="s">
        <v>3771</v>
      </c>
      <c r="DZ341" t="s">
        <v>3772</v>
      </c>
      <c r="EA341" t="s">
        <v>3773</v>
      </c>
      <c r="EB341" t="s">
        <v>3774</v>
      </c>
      <c r="EC341" t="s">
        <v>3775</v>
      </c>
      <c r="ED341" t="s">
        <v>3776</v>
      </c>
      <c r="EE341" t="s">
        <v>3777</v>
      </c>
      <c r="EF341" t="s">
        <v>3778</v>
      </c>
      <c r="EG341" t="s">
        <v>3779</v>
      </c>
      <c r="EH341" t="s">
        <v>3780</v>
      </c>
      <c r="EI341" t="s">
        <v>3781</v>
      </c>
      <c r="EJ341" t="s">
        <v>3782</v>
      </c>
      <c r="EK341" t="s">
        <v>4017</v>
      </c>
      <c r="EL341" t="s">
        <v>3815</v>
      </c>
      <c r="EM341" t="s">
        <v>3930</v>
      </c>
      <c r="EN341" t="s">
        <v>3931</v>
      </c>
      <c r="EO341" t="s">
        <v>4018</v>
      </c>
      <c r="EP341" t="s">
        <v>4459</v>
      </c>
      <c r="EQ341">
        <v>7</v>
      </c>
      <c r="ER341">
        <v>8</v>
      </c>
      <c r="ES341">
        <v>8</v>
      </c>
      <c r="ET341">
        <v>7</v>
      </c>
      <c r="EU341">
        <v>7</v>
      </c>
      <c r="EV341">
        <v>0.1</v>
      </c>
      <c r="EW341">
        <v>0.1</v>
      </c>
      <c r="EX341">
        <v>0.2</v>
      </c>
      <c r="EY341">
        <v>0.3</v>
      </c>
      <c r="EZ341">
        <v>0.3</v>
      </c>
      <c r="FA341">
        <f>EV341*EQ341</f>
        <v>0.70000000000000007</v>
      </c>
      <c r="FB341">
        <f>EW341*ER341</f>
        <v>0.8</v>
      </c>
      <c r="FC341">
        <f>EX341*ES341</f>
        <v>1.6</v>
      </c>
      <c r="FD341">
        <f>EY341*ET341</f>
        <v>2.1</v>
      </c>
      <c r="FE341">
        <f>EZ341*EU341</f>
        <v>2.1</v>
      </c>
      <c r="FF341">
        <v>17</v>
      </c>
      <c r="FG341">
        <v>0</v>
      </c>
      <c r="FH341">
        <v>17</v>
      </c>
      <c r="FI341">
        <f>FA341+FB341+FC341+FD341+FE341</f>
        <v>7.3000000000000007</v>
      </c>
      <c r="FJ341">
        <f>MEDIAN(EQ341:EU341)</f>
        <v>7</v>
      </c>
      <c r="FL341">
        <v>41.64</v>
      </c>
      <c r="FM341">
        <v>8.5</v>
      </c>
      <c r="FN341" t="s">
        <v>2218</v>
      </c>
      <c r="FO341" t="s">
        <v>2219</v>
      </c>
      <c r="FP341" t="s">
        <v>2220</v>
      </c>
      <c r="FQ341" t="s">
        <v>2221</v>
      </c>
      <c r="FR341" t="s">
        <v>2222</v>
      </c>
      <c r="FS341">
        <v>5</v>
      </c>
      <c r="FT341">
        <v>6</v>
      </c>
      <c r="FU341">
        <v>4</v>
      </c>
      <c r="FV341">
        <v>7</v>
      </c>
      <c r="FW341">
        <v>3</v>
      </c>
      <c r="FX341">
        <v>0.1</v>
      </c>
      <c r="FY341">
        <v>0.1</v>
      </c>
      <c r="FZ341">
        <v>0.2</v>
      </c>
      <c r="GA341">
        <v>0.3</v>
      </c>
      <c r="GB341">
        <v>0.3</v>
      </c>
      <c r="GC341">
        <f>FS341*FX341</f>
        <v>0.5</v>
      </c>
      <c r="GD341">
        <f>FT341*FY341</f>
        <v>0.60000000000000009</v>
      </c>
      <c r="GE341">
        <f>FU341*FZ341</f>
        <v>0.8</v>
      </c>
      <c r="GF341">
        <f>FV341*GA341</f>
        <v>2.1</v>
      </c>
      <c r="GG341">
        <f>FW341*GB341</f>
        <v>0.89999999999999991</v>
      </c>
      <c r="GH341">
        <v>9</v>
      </c>
      <c r="GI341">
        <v>-0.5</v>
      </c>
      <c r="GJ341">
        <v>8.5</v>
      </c>
      <c r="GK341">
        <f>GC341+GD341+GE341+GF341+GG341</f>
        <v>4.9000000000000004</v>
      </c>
      <c r="GL341">
        <f>MEDIAN(FS341:FW341)</f>
        <v>5</v>
      </c>
    </row>
    <row r="342" spans="1:194" hidden="1" x14ac:dyDescent="0.25">
      <c r="A342">
        <v>341</v>
      </c>
      <c r="B342" t="s">
        <v>2</v>
      </c>
      <c r="C342" s="4">
        <v>74.25</v>
      </c>
      <c r="D342">
        <v>3.3</v>
      </c>
      <c r="E342" s="1">
        <f>C342/3/D342</f>
        <v>7.5</v>
      </c>
      <c r="G342">
        <v>39.01</v>
      </c>
      <c r="H342">
        <v>6.15</v>
      </c>
      <c r="I342">
        <f>H342*D342*3</f>
        <v>60.885000000000005</v>
      </c>
      <c r="J342">
        <v>17.66</v>
      </c>
      <c r="K342">
        <v>9</v>
      </c>
      <c r="L342" s="3">
        <f>K342*3*D342</f>
        <v>89.1</v>
      </c>
      <c r="M342">
        <v>5.38</v>
      </c>
      <c r="N342">
        <v>6</v>
      </c>
      <c r="O342">
        <f>N342*D342*3</f>
        <v>59.399999999999991</v>
      </c>
      <c r="P342" s="5">
        <v>7.9</v>
      </c>
      <c r="Q342" s="5">
        <f>P342*D342*3</f>
        <v>78.210000000000008</v>
      </c>
      <c r="S342" t="s">
        <v>6465</v>
      </c>
      <c r="T342">
        <v>6.7</v>
      </c>
      <c r="U342" s="8">
        <f>T342*D342*3</f>
        <v>66.33</v>
      </c>
      <c r="V342">
        <v>39.200000000000003</v>
      </c>
      <c r="W342">
        <v>8.4</v>
      </c>
      <c r="X342" s="5">
        <f>W342*D342*3</f>
        <v>83.16</v>
      </c>
      <c r="Y342">
        <v>11.42</v>
      </c>
      <c r="Z342">
        <v>6</v>
      </c>
      <c r="AA342">
        <f>Z342*D342*3</f>
        <v>59.399999999999991</v>
      </c>
      <c r="AC342">
        <v>139.97999999999999</v>
      </c>
      <c r="AD342">
        <v>8</v>
      </c>
      <c r="AE342" s="1">
        <f>AD342*3*D342</f>
        <v>79.199999999999989</v>
      </c>
      <c r="AF342">
        <v>12.03</v>
      </c>
      <c r="AG342" s="5">
        <v>7</v>
      </c>
      <c r="AH342" s="5">
        <f>AG342*D342*3</f>
        <v>69.3</v>
      </c>
      <c r="AI342" s="13"/>
      <c r="AK342" s="8">
        <f>AJ342*D342*3</f>
        <v>0</v>
      </c>
      <c r="AL342" s="13"/>
      <c r="AM342">
        <v>30.96</v>
      </c>
      <c r="AN342">
        <v>6.6</v>
      </c>
      <c r="AO342" s="8">
        <f>AN342*D342*3</f>
        <v>65.339999999999989</v>
      </c>
      <c r="AP342">
        <v>10.84</v>
      </c>
      <c r="AQ342">
        <v>10</v>
      </c>
      <c r="AR342">
        <f>AQ342*D342*3</f>
        <v>99</v>
      </c>
      <c r="AT342">
        <v>8.8000000000000007</v>
      </c>
      <c r="AU342">
        <f>AT342*D342*3</f>
        <v>87.12</v>
      </c>
      <c r="AX342">
        <v>8.8000000000000007</v>
      </c>
      <c r="AY342">
        <f>AX342*D342*3</f>
        <v>87.12</v>
      </c>
      <c r="BA342">
        <v>8.6999999999999993</v>
      </c>
      <c r="BB342">
        <f>BA342*D342*3</f>
        <v>86.13</v>
      </c>
      <c r="BC342">
        <v>24.73</v>
      </c>
      <c r="BD342">
        <v>9</v>
      </c>
      <c r="BE342">
        <f>BD342*D342*3</f>
        <v>89.1</v>
      </c>
      <c r="BG342" s="10"/>
      <c r="BH342" s="1">
        <f>CHOOSE(MATCH(MIN(ABS(BP342-C342),ABS(BQ342-C342),ABS(BR342-C342)),CHOOSE({1;2;3},ABS(BP342-C342),ABS(BQ342-C342),ABS(BR342-C342)),0),BP342,BQ342,BR342)</f>
        <v>76.23</v>
      </c>
      <c r="BJ342" s="1" cm="1">
        <f t="array" ref="BJ342">(INDEX(_xlfn._xlws.SORT(CHOOSE({1;2;3;4;5;6},BQ342,BR342,L342,AE342,BO342,BP342)),3) + INDEX(_xlfn._xlws.SORT(CHOOSE({1;2;3;4;5;6},BQ342,BR342,L342,AE342,BO342,BP342)),4))/2</f>
        <v>77.715000000000003</v>
      </c>
      <c r="BK342">
        <v>7.4988506019677503</v>
      </c>
      <c r="BL342" t="s">
        <v>6117</v>
      </c>
      <c r="BM342" s="1">
        <f>BK342*3*D342</f>
        <v>74.238620959480727</v>
      </c>
      <c r="BN342" s="1">
        <f>BM342-C342</f>
        <v>-1.1379040519273076E-2</v>
      </c>
      <c r="BO342" s="1">
        <f>GK342*3*D342</f>
        <v>51.974999999999994</v>
      </c>
      <c r="BP342" s="1">
        <f>DO342*3*D342</f>
        <v>76.23</v>
      </c>
      <c r="BQ342" s="1">
        <f>FJ342*3*D342</f>
        <v>79.199999999999989</v>
      </c>
      <c r="BR342" s="1">
        <f>GL342*3*D342</f>
        <v>39.599999999999994</v>
      </c>
      <c r="BT342">
        <v>39.01</v>
      </c>
      <c r="BU342">
        <v>6.15</v>
      </c>
      <c r="BV342" t="s">
        <v>5114</v>
      </c>
      <c r="BW342" t="s">
        <v>5288</v>
      </c>
      <c r="BX342" t="s">
        <v>6026</v>
      </c>
      <c r="BY342" t="s">
        <v>5173</v>
      </c>
      <c r="BZ342" t="s">
        <v>5174</v>
      </c>
      <c r="CA342" t="s">
        <v>2420</v>
      </c>
      <c r="CC342" t="s">
        <v>2525</v>
      </c>
      <c r="CD342" t="s">
        <v>2627</v>
      </c>
      <c r="CE342" t="s">
        <v>2423</v>
      </c>
      <c r="CG342" t="s">
        <v>2998</v>
      </c>
      <c r="CH342" t="s">
        <v>2510</v>
      </c>
      <c r="CI342" t="s">
        <v>2426</v>
      </c>
      <c r="CJ342" t="s">
        <v>2427</v>
      </c>
      <c r="CK342" t="s">
        <v>2999</v>
      </c>
      <c r="CL342" t="s">
        <v>3667</v>
      </c>
      <c r="CM342" t="s">
        <v>2430</v>
      </c>
      <c r="CN342" t="s">
        <v>2579</v>
      </c>
      <c r="CO342" t="s">
        <v>3668</v>
      </c>
      <c r="CP342" t="s">
        <v>3669</v>
      </c>
      <c r="CQ342" t="s">
        <v>3202</v>
      </c>
      <c r="CR342" t="s">
        <v>3009</v>
      </c>
      <c r="CS342" t="s">
        <v>3203</v>
      </c>
      <c r="CT342" t="s">
        <v>3203</v>
      </c>
      <c r="CV342">
        <v>9</v>
      </c>
      <c r="CW342">
        <v>9</v>
      </c>
      <c r="CX342">
        <v>8</v>
      </c>
      <c r="CY342">
        <v>7.5</v>
      </c>
      <c r="CZ342">
        <v>5</v>
      </c>
      <c r="DA342">
        <v>0.1</v>
      </c>
      <c r="DB342">
        <v>0.1</v>
      </c>
      <c r="DC342">
        <v>0.2</v>
      </c>
      <c r="DD342">
        <v>0.3</v>
      </c>
      <c r="DE342">
        <v>0.3</v>
      </c>
      <c r="DF342">
        <v>0.9</v>
      </c>
      <c r="DG342">
        <v>0.9</v>
      </c>
      <c r="DH342">
        <v>1.6</v>
      </c>
      <c r="DI342">
        <v>2.25</v>
      </c>
      <c r="DJ342">
        <v>1.5</v>
      </c>
      <c r="DK342">
        <v>6.15</v>
      </c>
      <c r="DL342">
        <v>0</v>
      </c>
      <c r="DM342">
        <v>6.15</v>
      </c>
      <c r="DN342">
        <v>9</v>
      </c>
      <c r="DO342">
        <f>AVERAGE(CV342:CZ342)</f>
        <v>7.7</v>
      </c>
      <c r="DQ342" t="s">
        <v>27</v>
      </c>
      <c r="DR342" t="s">
        <v>33</v>
      </c>
      <c r="DS342" t="s">
        <v>86</v>
      </c>
      <c r="DT342" t="s">
        <v>287</v>
      </c>
      <c r="DU342" t="s">
        <v>288</v>
      </c>
      <c r="DV342" t="s">
        <v>289</v>
      </c>
      <c r="DW342" t="s">
        <v>3788</v>
      </c>
      <c r="DX342" t="s">
        <v>3789</v>
      </c>
      <c r="DY342" t="s">
        <v>3790</v>
      </c>
      <c r="DZ342" t="s">
        <v>3992</v>
      </c>
      <c r="EA342" t="s">
        <v>3952</v>
      </c>
      <c r="EB342" t="s">
        <v>3953</v>
      </c>
      <c r="EC342" t="s">
        <v>4449</v>
      </c>
      <c r="ED342" t="s">
        <v>3992</v>
      </c>
      <c r="EE342" t="s">
        <v>4450</v>
      </c>
      <c r="EF342" t="s">
        <v>4451</v>
      </c>
      <c r="EG342" t="s">
        <v>4452</v>
      </c>
      <c r="EH342" t="s">
        <v>3992</v>
      </c>
      <c r="EI342" t="s">
        <v>4453</v>
      </c>
      <c r="EJ342" t="s">
        <v>4454</v>
      </c>
      <c r="EK342" t="s">
        <v>4455</v>
      </c>
      <c r="EL342" t="s">
        <v>3992</v>
      </c>
      <c r="EM342" t="s">
        <v>4456</v>
      </c>
      <c r="EN342" t="s">
        <v>4457</v>
      </c>
      <c r="EO342" t="s">
        <v>4458</v>
      </c>
      <c r="EP342" t="s">
        <v>3992</v>
      </c>
      <c r="EQ342">
        <v>8</v>
      </c>
      <c r="ER342">
        <v>8</v>
      </c>
      <c r="ES342">
        <v>8</v>
      </c>
      <c r="ET342">
        <v>8</v>
      </c>
      <c r="EU342">
        <v>8</v>
      </c>
      <c r="EV342">
        <v>0.1</v>
      </c>
      <c r="EW342">
        <v>0.1</v>
      </c>
      <c r="EX342">
        <v>0.2</v>
      </c>
      <c r="EY342">
        <v>0.3</v>
      </c>
      <c r="EZ342">
        <v>0.3</v>
      </c>
      <c r="FA342">
        <f>EV342*EQ342</f>
        <v>0.8</v>
      </c>
      <c r="FB342">
        <f>EW342*ER342</f>
        <v>0.8</v>
      </c>
      <c r="FC342">
        <f>EX342*ES342</f>
        <v>1.6</v>
      </c>
      <c r="FD342">
        <f>EY342*ET342</f>
        <v>2.4</v>
      </c>
      <c r="FE342">
        <f>EZ342*EU342</f>
        <v>2.4</v>
      </c>
      <c r="FF342">
        <v>16</v>
      </c>
      <c r="FG342">
        <v>0</v>
      </c>
      <c r="FH342">
        <v>8</v>
      </c>
      <c r="FI342">
        <f>FA342+FB342+FC342+FD342+FE342</f>
        <v>8</v>
      </c>
      <c r="FJ342">
        <f>MEDIAN(EQ342:EU342)</f>
        <v>8</v>
      </c>
      <c r="FL342">
        <v>46.25</v>
      </c>
      <c r="FM342">
        <v>9</v>
      </c>
      <c r="FN342" t="s">
        <v>2223</v>
      </c>
      <c r="FO342" t="s">
        <v>2224</v>
      </c>
      <c r="FP342" t="s">
        <v>2225</v>
      </c>
      <c r="FQ342" t="s">
        <v>2226</v>
      </c>
      <c r="FR342" t="s">
        <v>2227</v>
      </c>
      <c r="FS342">
        <v>2.5</v>
      </c>
      <c r="FT342">
        <v>3</v>
      </c>
      <c r="FU342">
        <v>4</v>
      </c>
      <c r="FV342">
        <v>6</v>
      </c>
      <c r="FW342">
        <v>7</v>
      </c>
      <c r="FX342">
        <v>0.1</v>
      </c>
      <c r="FY342">
        <v>0.1</v>
      </c>
      <c r="FZ342">
        <v>0.2</v>
      </c>
      <c r="GA342">
        <v>0.3</v>
      </c>
      <c r="GB342">
        <v>0.3</v>
      </c>
      <c r="GC342">
        <f>FS342*FX342</f>
        <v>0.25</v>
      </c>
      <c r="GD342">
        <f>FT342*FY342</f>
        <v>0.30000000000000004</v>
      </c>
      <c r="GE342">
        <f>FU342*FZ342</f>
        <v>0.8</v>
      </c>
      <c r="GF342">
        <f>FV342*GA342</f>
        <v>1.7999999999999998</v>
      </c>
      <c r="GG342">
        <f>FW342*GB342</f>
        <v>2.1</v>
      </c>
      <c r="GH342">
        <v>9</v>
      </c>
      <c r="GI342">
        <v>0</v>
      </c>
      <c r="GJ342">
        <v>9</v>
      </c>
      <c r="GK342">
        <f>GC342+GD342+GE342+GF342+GG342</f>
        <v>5.25</v>
      </c>
      <c r="GL342">
        <f>MEDIAN(FS342:FW342)</f>
        <v>4</v>
      </c>
    </row>
    <row r="343" spans="1:194" hidden="1" x14ac:dyDescent="0.25">
      <c r="A343">
        <v>342</v>
      </c>
      <c r="B343" t="s">
        <v>2</v>
      </c>
      <c r="C343" s="4">
        <v>86.4</v>
      </c>
      <c r="D343">
        <v>3.6</v>
      </c>
      <c r="E343" s="1">
        <f>C343/3/D343</f>
        <v>8</v>
      </c>
      <c r="G343">
        <v>38.380000000000003</v>
      </c>
      <c r="H343">
        <v>8.1</v>
      </c>
      <c r="I343">
        <f>H343*D343*3</f>
        <v>87.48</v>
      </c>
      <c r="J343">
        <v>17.850000000000001</v>
      </c>
      <c r="K343">
        <v>9</v>
      </c>
      <c r="L343" s="3">
        <f>K343*3*D343</f>
        <v>97.2</v>
      </c>
      <c r="M343">
        <v>4.6399999999999997</v>
      </c>
      <c r="N343">
        <v>6.5</v>
      </c>
      <c r="O343">
        <f>N343*D343*3</f>
        <v>70.2</v>
      </c>
      <c r="P343" s="5">
        <v>8.3000000000000007</v>
      </c>
      <c r="Q343" s="5">
        <f>P343*D343*3</f>
        <v>89.640000000000015</v>
      </c>
      <c r="S343" t="s">
        <v>6327</v>
      </c>
      <c r="T343">
        <v>5.3</v>
      </c>
      <c r="U343" s="8">
        <f>T343*D343*3</f>
        <v>57.239999999999995</v>
      </c>
      <c r="V343">
        <v>38.15</v>
      </c>
      <c r="W343">
        <v>8</v>
      </c>
      <c r="X343" s="5">
        <f>W343*D343*3</f>
        <v>86.4</v>
      </c>
      <c r="Y343">
        <v>8.89</v>
      </c>
      <c r="Z343">
        <v>6</v>
      </c>
      <c r="AA343">
        <f>Z343*D343*3</f>
        <v>64.800000000000011</v>
      </c>
      <c r="AC343">
        <v>124.61</v>
      </c>
      <c r="AD343">
        <v>8</v>
      </c>
      <c r="AE343" s="1">
        <f>AD343*3*D343</f>
        <v>86.4</v>
      </c>
      <c r="AF343">
        <v>11.83</v>
      </c>
      <c r="AG343" s="5">
        <v>7</v>
      </c>
      <c r="AH343" s="5">
        <f>AG343*D343*3</f>
        <v>75.599999999999994</v>
      </c>
      <c r="AI343" s="13"/>
      <c r="AK343" s="8">
        <f>AJ343*D343*3</f>
        <v>0</v>
      </c>
      <c r="AL343" s="13"/>
      <c r="AM343">
        <v>30.29</v>
      </c>
      <c r="AN343">
        <v>8.9</v>
      </c>
      <c r="AO343" s="8">
        <f>AN343*D343*3</f>
        <v>96.12</v>
      </c>
      <c r="AP343">
        <v>13.01</v>
      </c>
      <c r="AQ343">
        <v>8.6</v>
      </c>
      <c r="AR343">
        <f>AQ343*D343*3</f>
        <v>92.88</v>
      </c>
      <c r="AT343">
        <v>9</v>
      </c>
      <c r="AU343">
        <f>AT343*D343*3</f>
        <v>97.199999999999989</v>
      </c>
      <c r="AX343">
        <v>9.1</v>
      </c>
      <c r="AY343">
        <f>AX343*D343*3</f>
        <v>98.28</v>
      </c>
      <c r="BA343">
        <v>7.9</v>
      </c>
      <c r="BB343">
        <f>BA343*D343*3</f>
        <v>85.320000000000007</v>
      </c>
      <c r="BC343">
        <v>28.38</v>
      </c>
      <c r="BD343">
        <v>8.9</v>
      </c>
      <c r="BE343">
        <f>BD343*D343*3</f>
        <v>96.12</v>
      </c>
      <c r="BG343" s="10"/>
      <c r="BH343" s="1">
        <f>CHOOSE(MATCH(MIN(ABS(BP343-C343),ABS(BQ343-C343),ABS(BR343-C343)),CHOOSE({1;2;3},ABS(BP343-C343),ABS(BQ343-C343),ABS(BR343-C343)),0),BP343,BQ343,BR343)</f>
        <v>86.4</v>
      </c>
      <c r="BJ343" s="1" cm="1">
        <f t="array" ref="BJ343">(INDEX(_xlfn._xlws.SORT(CHOOSE({1;2;3;4;5;6},BQ343,BR343,L343,AE343,BO343,BP343)),3) + INDEX(_xlfn._xlws.SORT(CHOOSE({1;2;3;4;5;6},BQ343,BR343,L343,AE343,BO343,BP343)),4))/2</f>
        <v>86.4</v>
      </c>
      <c r="BK343">
        <v>8.0211173963322295</v>
      </c>
      <c r="BL343" t="s">
        <v>6117</v>
      </c>
      <c r="BM343" s="1">
        <f>BK343*3*D343</f>
        <v>86.628067880388087</v>
      </c>
      <c r="BN343" s="1">
        <f>BM343-C343</f>
        <v>0.22806788038808179</v>
      </c>
      <c r="BO343" s="1">
        <f>GK343*3*D343</f>
        <v>42.12</v>
      </c>
      <c r="BP343" s="1">
        <f>DO343*3*D343</f>
        <v>97.2</v>
      </c>
      <c r="BQ343" s="1">
        <f>FJ343*3*D343</f>
        <v>86.4</v>
      </c>
      <c r="BR343" s="1">
        <f>GL343*3*D343</f>
        <v>37.800000000000004</v>
      </c>
      <c r="BT343">
        <v>38.380000000000003</v>
      </c>
      <c r="BU343">
        <v>8.1</v>
      </c>
      <c r="BV343" t="s">
        <v>6027</v>
      </c>
      <c r="BW343" t="s">
        <v>6028</v>
      </c>
      <c r="BX343" t="s">
        <v>5025</v>
      </c>
      <c r="BY343" t="s">
        <v>6029</v>
      </c>
      <c r="BZ343" t="s">
        <v>4980</v>
      </c>
      <c r="CA343" t="s">
        <v>3442</v>
      </c>
      <c r="CC343" t="s">
        <v>3670</v>
      </c>
      <c r="CD343" t="s">
        <v>3671</v>
      </c>
      <c r="CE343" t="s">
        <v>2440</v>
      </c>
      <c r="CG343" t="s">
        <v>3672</v>
      </c>
      <c r="CH343" t="s">
        <v>3154</v>
      </c>
      <c r="CI343" t="s">
        <v>2443</v>
      </c>
      <c r="CK343" t="s">
        <v>3673</v>
      </c>
      <c r="CL343" t="s">
        <v>3674</v>
      </c>
      <c r="CM343" t="s">
        <v>3675</v>
      </c>
      <c r="CO343" t="s">
        <v>3676</v>
      </c>
      <c r="CP343" t="s">
        <v>3677</v>
      </c>
      <c r="CQ343" t="s">
        <v>2449</v>
      </c>
      <c r="CS343" t="s">
        <v>3678</v>
      </c>
      <c r="CT343" t="s">
        <v>3161</v>
      </c>
      <c r="CV343">
        <v>9</v>
      </c>
      <c r="CW343">
        <v>9</v>
      </c>
      <c r="CX343">
        <v>9</v>
      </c>
      <c r="CY343">
        <v>9</v>
      </c>
      <c r="CZ343">
        <v>9</v>
      </c>
      <c r="DA343">
        <v>0.1</v>
      </c>
      <c r="DB343">
        <v>0.1</v>
      </c>
      <c r="DC343">
        <v>0.2</v>
      </c>
      <c r="DD343">
        <v>0.3</v>
      </c>
      <c r="DE343">
        <v>0.3</v>
      </c>
      <c r="DF343">
        <v>0.9</v>
      </c>
      <c r="DG343">
        <v>0.9</v>
      </c>
      <c r="DH343">
        <v>1.8</v>
      </c>
      <c r="DI343">
        <v>2.7</v>
      </c>
      <c r="DJ343">
        <v>2.7</v>
      </c>
      <c r="DK343">
        <v>8.1</v>
      </c>
      <c r="DL343">
        <v>0</v>
      </c>
      <c r="DM343">
        <v>8.1</v>
      </c>
      <c r="DN343">
        <v>9</v>
      </c>
      <c r="DO343">
        <f>AVERAGE(CV343:CZ343)</f>
        <v>9</v>
      </c>
      <c r="DQ343" t="s">
        <v>27</v>
      </c>
      <c r="DR343" t="s">
        <v>65</v>
      </c>
      <c r="DS343" t="s">
        <v>66</v>
      </c>
      <c r="DT343" t="s">
        <v>67</v>
      </c>
      <c r="DU343" t="s">
        <v>68</v>
      </c>
      <c r="DV343" t="s">
        <v>74</v>
      </c>
      <c r="DW343" t="s">
        <v>3836</v>
      </c>
      <c r="DX343" t="s">
        <v>3858</v>
      </c>
      <c r="DY343" t="s">
        <v>3859</v>
      </c>
      <c r="DZ343" t="s">
        <v>4736</v>
      </c>
      <c r="EA343" t="s">
        <v>3860</v>
      </c>
      <c r="EB343" t="s">
        <v>3840</v>
      </c>
      <c r="EC343" t="s">
        <v>4942</v>
      </c>
      <c r="ED343" t="s">
        <v>4244</v>
      </c>
      <c r="EE343" t="s">
        <v>3863</v>
      </c>
      <c r="EF343" t="s">
        <v>3864</v>
      </c>
      <c r="EG343" t="s">
        <v>3901</v>
      </c>
      <c r="EH343" t="s">
        <v>4740</v>
      </c>
      <c r="EI343" t="s">
        <v>3867</v>
      </c>
      <c r="EJ343" t="s">
        <v>3868</v>
      </c>
      <c r="EK343" t="s">
        <v>3905</v>
      </c>
      <c r="EL343" t="s">
        <v>4943</v>
      </c>
      <c r="EM343" t="s">
        <v>3907</v>
      </c>
      <c r="EN343" t="s">
        <v>3872</v>
      </c>
      <c r="EO343" t="s">
        <v>3909</v>
      </c>
      <c r="EP343" t="s">
        <v>4602</v>
      </c>
      <c r="EQ343">
        <v>8</v>
      </c>
      <c r="ER343">
        <v>8</v>
      </c>
      <c r="ES343">
        <v>8</v>
      </c>
      <c r="ET343">
        <v>8</v>
      </c>
      <c r="EU343">
        <v>8</v>
      </c>
      <c r="EV343">
        <v>0.1</v>
      </c>
      <c r="EW343">
        <v>0.1</v>
      </c>
      <c r="EX343">
        <v>0.2</v>
      </c>
      <c r="EY343">
        <v>0.3</v>
      </c>
      <c r="EZ343">
        <v>0.3</v>
      </c>
      <c r="FA343">
        <f>EV343*EQ343</f>
        <v>0.8</v>
      </c>
      <c r="FB343">
        <f>EW343*ER343</f>
        <v>0.8</v>
      </c>
      <c r="FC343">
        <f>EX343*ES343</f>
        <v>1.6</v>
      </c>
      <c r="FD343">
        <f>EY343*ET343</f>
        <v>2.4</v>
      </c>
      <c r="FE343">
        <f>EZ343*EU343</f>
        <v>2.4</v>
      </c>
      <c r="FF343">
        <v>16</v>
      </c>
      <c r="FG343">
        <v>0</v>
      </c>
      <c r="FH343">
        <v>9</v>
      </c>
      <c r="FI343">
        <f>FA343+FB343+FC343+FD343+FE343</f>
        <v>8</v>
      </c>
      <c r="FJ343">
        <f>MEDIAN(EQ343:EU343)</f>
        <v>8</v>
      </c>
      <c r="FL343">
        <v>38.69</v>
      </c>
      <c r="FM343">
        <v>5.7</v>
      </c>
      <c r="FN343" t="s">
        <v>2228</v>
      </c>
      <c r="FO343" t="s">
        <v>2229</v>
      </c>
      <c r="FP343" t="s">
        <v>2230</v>
      </c>
      <c r="FQ343" t="s">
        <v>2231</v>
      </c>
      <c r="FR343" t="s">
        <v>2232</v>
      </c>
      <c r="FS343">
        <v>3.5</v>
      </c>
      <c r="FT343">
        <v>2.5</v>
      </c>
      <c r="FU343">
        <v>1.5</v>
      </c>
      <c r="FV343">
        <v>4</v>
      </c>
      <c r="FW343">
        <v>6</v>
      </c>
      <c r="FX343">
        <v>0.1</v>
      </c>
      <c r="FY343">
        <v>0.1</v>
      </c>
      <c r="FZ343">
        <v>0.2</v>
      </c>
      <c r="GA343">
        <v>0.3</v>
      </c>
      <c r="GB343">
        <v>0.3</v>
      </c>
      <c r="GC343">
        <f>FS343*FX343</f>
        <v>0.35000000000000003</v>
      </c>
      <c r="GD343">
        <f>FT343*FY343</f>
        <v>0.25</v>
      </c>
      <c r="GE343">
        <f>FU343*FZ343</f>
        <v>0.30000000000000004</v>
      </c>
      <c r="GF343">
        <f>FV343*GA343</f>
        <v>1.2</v>
      </c>
      <c r="GG343">
        <f>FW343*GB343</f>
        <v>1.7999999999999998</v>
      </c>
      <c r="GH343">
        <v>5.7</v>
      </c>
      <c r="GI343">
        <v>0</v>
      </c>
      <c r="GJ343">
        <v>5.7</v>
      </c>
      <c r="GK343">
        <f>GC343+GD343+GE343+GF343+GG343</f>
        <v>3.9</v>
      </c>
      <c r="GL343">
        <f>MEDIAN(FS343:FW343)</f>
        <v>3.5</v>
      </c>
    </row>
    <row r="344" spans="1:194" x14ac:dyDescent="0.25">
      <c r="A344">
        <v>210</v>
      </c>
      <c r="B344" t="s">
        <v>2</v>
      </c>
      <c r="C344" s="4">
        <v>51.2</v>
      </c>
      <c r="D344">
        <v>3.2</v>
      </c>
      <c r="E344" s="1">
        <f>C344/3/D344</f>
        <v>5.333333333333333</v>
      </c>
      <c r="G344">
        <v>88.34</v>
      </c>
      <c r="H344">
        <v>8.1999999999999993</v>
      </c>
      <c r="I344">
        <f>H344*D344*3</f>
        <v>78.72</v>
      </c>
      <c r="J344">
        <v>17.760000000000002</v>
      </c>
      <c r="K344">
        <v>9</v>
      </c>
      <c r="L344" s="3">
        <f>K344*3*D344</f>
        <v>86.4</v>
      </c>
      <c r="M344">
        <v>5.23</v>
      </c>
      <c r="N344">
        <v>3</v>
      </c>
      <c r="O344">
        <f>N344*D344*3</f>
        <v>28.800000000000004</v>
      </c>
      <c r="P344" s="5">
        <v>9</v>
      </c>
      <c r="Q344" s="5">
        <f>P344*D344*3</f>
        <v>86.4</v>
      </c>
      <c r="S344" t="s">
        <v>6342</v>
      </c>
      <c r="T344">
        <v>8.5</v>
      </c>
      <c r="U344" s="8">
        <f>T344*D344*3</f>
        <v>81.600000000000009</v>
      </c>
      <c r="V344">
        <v>31.81</v>
      </c>
      <c r="W344">
        <v>8</v>
      </c>
      <c r="X344" s="5">
        <f>W344*D344*3</f>
        <v>76.800000000000011</v>
      </c>
      <c r="Y344">
        <v>9.9</v>
      </c>
      <c r="Z344">
        <v>7.5</v>
      </c>
      <c r="AA344">
        <f>Z344*D344*3</f>
        <v>72</v>
      </c>
      <c r="AC344">
        <v>52.04</v>
      </c>
      <c r="AD344">
        <v>7.4</v>
      </c>
      <c r="AE344" s="1">
        <f>AD344*3*D344</f>
        <v>71.040000000000006</v>
      </c>
      <c r="AF344">
        <v>9.59</v>
      </c>
      <c r="AH344" s="5">
        <f>AG344*D344*3</f>
        <v>0</v>
      </c>
      <c r="AI344" s="13"/>
      <c r="AK344" s="8">
        <f>AJ344*D344*3</f>
        <v>0</v>
      </c>
      <c r="AL344" s="13"/>
      <c r="AM344">
        <v>30.19</v>
      </c>
      <c r="AN344">
        <v>7.2</v>
      </c>
      <c r="AO344" s="8">
        <f>AN344*D344*3</f>
        <v>69.12</v>
      </c>
      <c r="AP344">
        <v>13.95</v>
      </c>
      <c r="AQ344">
        <v>5.3</v>
      </c>
      <c r="AR344">
        <f>AQ344*D344*3</f>
        <v>50.88</v>
      </c>
      <c r="AT344">
        <v>8.6999999999999993</v>
      </c>
      <c r="AU344">
        <f>AT344*D344*3</f>
        <v>83.52</v>
      </c>
      <c r="AW344">
        <v>24.28</v>
      </c>
      <c r="AX344">
        <v>9.4</v>
      </c>
      <c r="AY344">
        <f>AX344*D344*3</f>
        <v>90.240000000000009</v>
      </c>
      <c r="AZ344">
        <v>24.28</v>
      </c>
      <c r="BA344">
        <v>9</v>
      </c>
      <c r="BB344">
        <f>BA344*D344*3</f>
        <v>86.4</v>
      </c>
      <c r="BD344">
        <v>8.6</v>
      </c>
      <c r="BE344">
        <f>BD344*D344*3</f>
        <v>82.56</v>
      </c>
      <c r="BG344" s="10"/>
      <c r="BH344" s="1">
        <f>CHOOSE(MATCH(MIN(ABS(BP344-C344),ABS(BQ344-C344),ABS(BR344-C344)),CHOOSE({1;2;3},ABS(BP344-C344),ABS(BQ344-C344),ABS(BR344-C344)),0),BP344,BQ344,BR344)</f>
        <v>67.2</v>
      </c>
      <c r="BJ344" s="1" cm="1">
        <f t="array" ref="BJ344">(INDEX(_xlfn._xlws.SORT(CHOOSE({1;2;3;4;5;6},BQ344,BR344,L344,AE344,BO344,BP344)),3) + INDEX(_xlfn._xlws.SORT(CHOOSE({1;2;3;4;5;6},BQ344,BR344,L344,AE344,BO344,BP344)),4))/2</f>
        <v>71.52000000000001</v>
      </c>
      <c r="BK344">
        <v>7.3376289218869397</v>
      </c>
      <c r="BL344" s="11" t="s">
        <v>6116</v>
      </c>
      <c r="BM344" s="1">
        <f>BK344*3*D344</f>
        <v>70.44123765011463</v>
      </c>
      <c r="BN344" s="1">
        <f>BM344-C344</f>
        <v>19.241237650114627</v>
      </c>
      <c r="BO344" s="1">
        <f>GK344*3*D344</f>
        <v>62.400000000000006</v>
      </c>
      <c r="BP344" s="1">
        <f>DO344*3*D344</f>
        <v>86.4</v>
      </c>
      <c r="BQ344" s="1">
        <f>FJ344*3*D344</f>
        <v>67.2</v>
      </c>
      <c r="BR344" s="1">
        <f>GL344*3*D344</f>
        <v>72</v>
      </c>
      <c r="BT344">
        <v>88.34</v>
      </c>
      <c r="BU344">
        <v>8.1999999999999993</v>
      </c>
      <c r="BV344" t="s">
        <v>5683</v>
      </c>
      <c r="BW344" t="s">
        <v>5684</v>
      </c>
      <c r="BX344" t="s">
        <v>5685</v>
      </c>
      <c r="BY344" t="s">
        <v>5001</v>
      </c>
      <c r="BZ344" t="s">
        <v>5686</v>
      </c>
      <c r="CA344" t="s">
        <v>2490</v>
      </c>
      <c r="CC344" t="s">
        <v>2491</v>
      </c>
      <c r="CD344" t="s">
        <v>2492</v>
      </c>
      <c r="CE344" t="s">
        <v>3328</v>
      </c>
      <c r="CG344" t="s">
        <v>3329</v>
      </c>
      <c r="CH344" t="s">
        <v>3330</v>
      </c>
      <c r="CI344" t="s">
        <v>3118</v>
      </c>
      <c r="CK344" t="s">
        <v>3331</v>
      </c>
      <c r="CL344" t="s">
        <v>3332</v>
      </c>
      <c r="CM344" t="s">
        <v>3333</v>
      </c>
      <c r="CO344" t="s">
        <v>3334</v>
      </c>
      <c r="CP344" t="s">
        <v>3335</v>
      </c>
      <c r="CQ344" t="s">
        <v>3122</v>
      </c>
      <c r="CS344" t="s">
        <v>3336</v>
      </c>
      <c r="CT344" t="s">
        <v>3337</v>
      </c>
      <c r="CV344">
        <v>9</v>
      </c>
      <c r="CW344">
        <v>9</v>
      </c>
      <c r="CX344">
        <v>9</v>
      </c>
      <c r="CY344">
        <v>9</v>
      </c>
      <c r="CZ344">
        <v>9</v>
      </c>
      <c r="DA344">
        <v>0.1</v>
      </c>
      <c r="DB344">
        <v>0.1</v>
      </c>
      <c r="DC344">
        <v>0.2</v>
      </c>
      <c r="DD344">
        <v>0.3</v>
      </c>
      <c r="DE344">
        <v>0.3</v>
      </c>
      <c r="DF344">
        <v>0.9</v>
      </c>
      <c r="DG344">
        <v>0.9</v>
      </c>
      <c r="DH344">
        <v>1.8</v>
      </c>
      <c r="DI344">
        <v>2.7</v>
      </c>
      <c r="DJ344">
        <v>2.7</v>
      </c>
      <c r="DK344">
        <v>8.1999999999999993</v>
      </c>
      <c r="DL344">
        <v>0</v>
      </c>
      <c r="DM344">
        <v>8.1999999999999993</v>
      </c>
      <c r="DN344">
        <v>9</v>
      </c>
      <c r="DO344">
        <f>AVERAGE(CV344:CZ344)</f>
        <v>9</v>
      </c>
      <c r="DQ344" t="s">
        <v>27</v>
      </c>
      <c r="DR344" t="s">
        <v>161</v>
      </c>
      <c r="DS344" t="s">
        <v>398</v>
      </c>
      <c r="DT344" t="s">
        <v>399</v>
      </c>
      <c r="DU344" t="s">
        <v>400</v>
      </c>
      <c r="DV344" t="s">
        <v>401</v>
      </c>
      <c r="DW344" t="s">
        <v>3788</v>
      </c>
      <c r="DX344" t="s">
        <v>4071</v>
      </c>
      <c r="DY344" t="s">
        <v>4072</v>
      </c>
      <c r="DZ344" t="s">
        <v>4073</v>
      </c>
      <c r="EA344" t="s">
        <v>3792</v>
      </c>
      <c r="EB344" t="s">
        <v>4074</v>
      </c>
      <c r="EC344" t="s">
        <v>4075</v>
      </c>
      <c r="ED344" t="s">
        <v>4076</v>
      </c>
      <c r="EE344" t="s">
        <v>3796</v>
      </c>
      <c r="EF344" t="s">
        <v>4626</v>
      </c>
      <c r="EG344" t="s">
        <v>4627</v>
      </c>
      <c r="EH344" t="s">
        <v>4079</v>
      </c>
      <c r="EI344" t="s">
        <v>4080</v>
      </c>
      <c r="EJ344" t="s">
        <v>4628</v>
      </c>
      <c r="EK344" t="s">
        <v>4629</v>
      </c>
      <c r="EL344" t="s">
        <v>4630</v>
      </c>
      <c r="EM344" t="s">
        <v>4084</v>
      </c>
      <c r="EN344" t="s">
        <v>4085</v>
      </c>
      <c r="EO344" t="s">
        <v>4086</v>
      </c>
      <c r="EP344" t="s">
        <v>4631</v>
      </c>
      <c r="EQ344">
        <v>7</v>
      </c>
      <c r="ER344">
        <v>8</v>
      </c>
      <c r="ES344">
        <v>7</v>
      </c>
      <c r="ET344">
        <v>8</v>
      </c>
      <c r="EU344">
        <v>7</v>
      </c>
      <c r="EV344">
        <v>0.1</v>
      </c>
      <c r="EW344">
        <v>0.1</v>
      </c>
      <c r="EX344">
        <v>0.2</v>
      </c>
      <c r="EY344">
        <v>0.3</v>
      </c>
      <c r="EZ344">
        <v>0.3</v>
      </c>
      <c r="FA344">
        <f>EV344*EQ344</f>
        <v>0.70000000000000007</v>
      </c>
      <c r="FB344">
        <f>EW344*ER344</f>
        <v>0.8</v>
      </c>
      <c r="FC344">
        <f>EX344*ES344</f>
        <v>1.4000000000000001</v>
      </c>
      <c r="FD344">
        <f>EY344*ET344</f>
        <v>2.4</v>
      </c>
      <c r="FE344">
        <f>EZ344*EU344</f>
        <v>2.1</v>
      </c>
      <c r="FF344">
        <v>21</v>
      </c>
      <c r="FG344">
        <v>0</v>
      </c>
      <c r="FH344">
        <v>8</v>
      </c>
      <c r="FI344">
        <f>FA344+FB344+FC344+FD344+FE344</f>
        <v>7.4</v>
      </c>
      <c r="FJ344">
        <f>MEDIAN(EQ344:EU344)</f>
        <v>7</v>
      </c>
      <c r="FL344">
        <v>71.849999999999994</v>
      </c>
      <c r="FM344">
        <v>5.5</v>
      </c>
      <c r="FN344" t="s">
        <v>1597</v>
      </c>
      <c r="FO344" t="s">
        <v>1598</v>
      </c>
      <c r="FP344" t="s">
        <v>1599</v>
      </c>
      <c r="FQ344" t="s">
        <v>1600</v>
      </c>
      <c r="FR344" t="s">
        <v>1465</v>
      </c>
      <c r="FS344">
        <v>8</v>
      </c>
      <c r="FT344">
        <v>9</v>
      </c>
      <c r="FU344">
        <v>7.5</v>
      </c>
      <c r="FV344">
        <v>6.5</v>
      </c>
      <c r="FW344">
        <v>4.5</v>
      </c>
      <c r="FX344">
        <v>0.1</v>
      </c>
      <c r="FY344">
        <v>0.1</v>
      </c>
      <c r="FZ344">
        <v>0.2</v>
      </c>
      <c r="GA344">
        <v>0.3</v>
      </c>
      <c r="GB344">
        <v>0.3</v>
      </c>
      <c r="GC344">
        <f>FS344*FX344</f>
        <v>0.8</v>
      </c>
      <c r="GD344">
        <f>FT344*FY344</f>
        <v>0.9</v>
      </c>
      <c r="GE344">
        <f>FU344*FZ344</f>
        <v>1.5</v>
      </c>
      <c r="GF344">
        <f>FV344*GA344</f>
        <v>1.95</v>
      </c>
      <c r="GG344">
        <f>FW344*GB344</f>
        <v>1.3499999999999999</v>
      </c>
      <c r="GH344">
        <v>5.6</v>
      </c>
      <c r="GI344">
        <v>-0.1</v>
      </c>
      <c r="GJ344">
        <v>5.5</v>
      </c>
      <c r="GK344">
        <f>GC344+GD344+GE344+GF344+GG344</f>
        <v>6.5</v>
      </c>
      <c r="GL344">
        <f>MEDIAN(FS344:FW344)</f>
        <v>7.5</v>
      </c>
    </row>
    <row r="345" spans="1:194" hidden="1" x14ac:dyDescent="0.25">
      <c r="A345">
        <v>344</v>
      </c>
      <c r="B345" t="s">
        <v>2</v>
      </c>
      <c r="C345" s="4">
        <v>73.599999999999994</v>
      </c>
      <c r="D345">
        <v>3.2</v>
      </c>
      <c r="E345" s="1">
        <f>C345/3/D345</f>
        <v>7.6666666666666661</v>
      </c>
      <c r="G345">
        <v>90.15</v>
      </c>
      <c r="H345">
        <v>8.1999999999999993</v>
      </c>
      <c r="I345">
        <f>H345*D345*3</f>
        <v>78.72</v>
      </c>
      <c r="J345">
        <v>16.739999999999998</v>
      </c>
      <c r="K345">
        <v>9</v>
      </c>
      <c r="L345" s="3">
        <f>K345*3*D345</f>
        <v>86.4</v>
      </c>
      <c r="M345">
        <v>5.05</v>
      </c>
      <c r="N345">
        <v>5</v>
      </c>
      <c r="O345">
        <f>N345*D345*3</f>
        <v>48</v>
      </c>
      <c r="P345" s="5">
        <v>7</v>
      </c>
      <c r="Q345" s="5">
        <f>P345*D345*3</f>
        <v>67.2</v>
      </c>
      <c r="S345" t="s">
        <v>6467</v>
      </c>
      <c r="T345">
        <v>6.8</v>
      </c>
      <c r="U345" s="8">
        <f>T345*D345*3</f>
        <v>65.28</v>
      </c>
      <c r="V345">
        <v>45.99</v>
      </c>
      <c r="W345">
        <v>6.8</v>
      </c>
      <c r="X345" s="5">
        <f>W345*D345*3</f>
        <v>65.28</v>
      </c>
      <c r="Y345">
        <v>8.8699999999999992</v>
      </c>
      <c r="Z345">
        <v>6</v>
      </c>
      <c r="AA345">
        <f>Z345*D345*3</f>
        <v>57.600000000000009</v>
      </c>
      <c r="AC345">
        <v>136.49</v>
      </c>
      <c r="AD345">
        <v>7.9</v>
      </c>
      <c r="AE345" s="1">
        <f>AD345*3*D345</f>
        <v>75.840000000000018</v>
      </c>
      <c r="AF345">
        <v>11.95</v>
      </c>
      <c r="AG345" s="5">
        <v>7</v>
      </c>
      <c r="AH345" s="5">
        <f>AG345*D345*3</f>
        <v>67.2</v>
      </c>
      <c r="AI345" s="13"/>
      <c r="AJ345">
        <v>0.8</v>
      </c>
      <c r="AK345" s="8">
        <f>AJ345*D345*3</f>
        <v>7.6800000000000015</v>
      </c>
      <c r="AL345" s="13"/>
      <c r="AM345">
        <v>31.31</v>
      </c>
      <c r="AN345">
        <v>7.6</v>
      </c>
      <c r="AO345" s="8">
        <f>AN345*D345*3</f>
        <v>72.960000000000008</v>
      </c>
      <c r="AP345">
        <v>12.42</v>
      </c>
      <c r="AQ345">
        <v>9.5</v>
      </c>
      <c r="AR345">
        <f>AQ345*D345*3</f>
        <v>91.2</v>
      </c>
      <c r="AT345">
        <v>8.5</v>
      </c>
      <c r="AU345">
        <f>AT345*D345*3</f>
        <v>81.600000000000009</v>
      </c>
      <c r="AX345">
        <v>9.1</v>
      </c>
      <c r="AY345">
        <f>AX345*D345*3</f>
        <v>87.36</v>
      </c>
      <c r="BA345">
        <v>9.1</v>
      </c>
      <c r="BB345">
        <f>BA345*D345*3</f>
        <v>87.36</v>
      </c>
      <c r="BC345">
        <v>28.34</v>
      </c>
      <c r="BD345">
        <v>8.9</v>
      </c>
      <c r="BE345">
        <f>BD345*D345*3</f>
        <v>85.440000000000012</v>
      </c>
      <c r="BG345" s="10"/>
      <c r="BH345" s="1">
        <f>CHOOSE(MATCH(MIN(ABS(BP345-C345),ABS(BQ345-C345),ABS(BR345-C345)),CHOOSE({1;2;3},ABS(BP345-C345),ABS(BQ345-C345),ABS(BR345-C345)),0),BP345,BQ345,BR345)</f>
        <v>76.800000000000011</v>
      </c>
      <c r="BJ345" s="1" cm="1">
        <f t="array" ref="BJ345">(INDEX(_xlfn._xlws.SORT(CHOOSE({1;2;3;4;5;6},BQ345,BR345,L345,AE345,BO345,BP345)),3) + INDEX(_xlfn._xlws.SORT(CHOOSE({1;2;3;4;5;6},BQ345,BR345,L345,AE345,BO345,BP345)),4))/2</f>
        <v>76.320000000000022</v>
      </c>
      <c r="BK345">
        <v>7.6632313414428097</v>
      </c>
      <c r="BL345" t="s">
        <v>6117</v>
      </c>
      <c r="BM345" s="1">
        <f>BK345*3*D345</f>
        <v>73.567020877850979</v>
      </c>
      <c r="BN345" s="1">
        <f>BM345-C345</f>
        <v>-3.2979122149015438E-2</v>
      </c>
      <c r="BO345" s="1">
        <f>GK345*3*D345</f>
        <v>61.440000000000012</v>
      </c>
      <c r="BP345" s="1">
        <f>DO345*3*D345</f>
        <v>86.4</v>
      </c>
      <c r="BQ345" s="1">
        <f>FJ345*3*D345</f>
        <v>76.800000000000011</v>
      </c>
      <c r="BR345" s="1">
        <f>GL345*3*D345</f>
        <v>67.2</v>
      </c>
      <c r="BT345">
        <v>90.15</v>
      </c>
      <c r="BU345">
        <v>8.1999999999999993</v>
      </c>
      <c r="BV345" t="s">
        <v>5032</v>
      </c>
      <c r="BW345" t="s">
        <v>5033</v>
      </c>
      <c r="BX345" t="s">
        <v>5034</v>
      </c>
      <c r="BY345" t="s">
        <v>6031</v>
      </c>
      <c r="BZ345" t="s">
        <v>5036</v>
      </c>
      <c r="CA345" t="s">
        <v>3686</v>
      </c>
      <c r="CC345" t="s">
        <v>2438</v>
      </c>
      <c r="CD345" t="s">
        <v>2453</v>
      </c>
      <c r="CE345" t="s">
        <v>2586</v>
      </c>
      <c r="CG345" t="s">
        <v>2441</v>
      </c>
      <c r="CH345" t="s">
        <v>2587</v>
      </c>
      <c r="CI345" t="s">
        <v>3118</v>
      </c>
      <c r="CK345" t="s">
        <v>2444</v>
      </c>
      <c r="CL345" t="s">
        <v>2588</v>
      </c>
      <c r="CM345" t="s">
        <v>3687</v>
      </c>
      <c r="CO345" t="s">
        <v>2447</v>
      </c>
      <c r="CP345" t="s">
        <v>2590</v>
      </c>
      <c r="CQ345" t="s">
        <v>3122</v>
      </c>
      <c r="CS345" t="s">
        <v>2450</v>
      </c>
      <c r="CT345" t="s">
        <v>2592</v>
      </c>
      <c r="CV345">
        <v>9</v>
      </c>
      <c r="CW345">
        <v>9</v>
      </c>
      <c r="CX345">
        <v>9</v>
      </c>
      <c r="CY345">
        <v>9</v>
      </c>
      <c r="CZ345">
        <v>9</v>
      </c>
      <c r="DA345">
        <v>0.1</v>
      </c>
      <c r="DB345">
        <v>0.1</v>
      </c>
      <c r="DC345">
        <v>0.2</v>
      </c>
      <c r="DD345">
        <v>0.3</v>
      </c>
      <c r="DE345">
        <v>0.3</v>
      </c>
      <c r="DF345">
        <v>0.9</v>
      </c>
      <c r="DG345">
        <v>0.9</v>
      </c>
      <c r="DH345">
        <v>1.8</v>
      </c>
      <c r="DI345">
        <v>2.7</v>
      </c>
      <c r="DJ345">
        <v>2.7</v>
      </c>
      <c r="DK345">
        <v>8.1999999999999993</v>
      </c>
      <c r="DL345">
        <v>0</v>
      </c>
      <c r="DM345">
        <v>8.1999999999999993</v>
      </c>
      <c r="DN345">
        <v>9</v>
      </c>
      <c r="DO345">
        <f>AVERAGE(CV345:CZ345)</f>
        <v>9</v>
      </c>
      <c r="DQ345">
        <v>8</v>
      </c>
      <c r="DR345" t="s">
        <v>28</v>
      </c>
      <c r="DS345" t="s">
        <v>43</v>
      </c>
      <c r="DT345" t="s">
        <v>227</v>
      </c>
      <c r="DU345" t="s">
        <v>228</v>
      </c>
      <c r="DV345" t="s">
        <v>158</v>
      </c>
      <c r="DW345" t="s">
        <v>3769</v>
      </c>
      <c r="DX345" t="s">
        <v>3770</v>
      </c>
      <c r="DY345" t="s">
        <v>3771</v>
      </c>
      <c r="DZ345" t="s">
        <v>3772</v>
      </c>
      <c r="EA345" t="s">
        <v>3860</v>
      </c>
      <c r="EB345" t="s">
        <v>3807</v>
      </c>
      <c r="EC345" t="s">
        <v>3775</v>
      </c>
      <c r="ED345" t="s">
        <v>3776</v>
      </c>
      <c r="EE345" t="s">
        <v>3808</v>
      </c>
      <c r="EF345" t="s">
        <v>3809</v>
      </c>
      <c r="EG345" t="s">
        <v>4585</v>
      </c>
      <c r="EH345" t="s">
        <v>4586</v>
      </c>
      <c r="EI345" t="s">
        <v>3812</v>
      </c>
      <c r="EJ345" t="s">
        <v>3813</v>
      </c>
      <c r="EK345" t="s">
        <v>4014</v>
      </c>
      <c r="EL345" t="s">
        <v>3815</v>
      </c>
      <c r="EM345" t="s">
        <v>3816</v>
      </c>
      <c r="EN345" t="s">
        <v>4050</v>
      </c>
      <c r="EO345" t="s">
        <v>4947</v>
      </c>
      <c r="EP345" t="s">
        <v>4560</v>
      </c>
      <c r="EQ345">
        <v>7</v>
      </c>
      <c r="ER345">
        <v>8</v>
      </c>
      <c r="ES345">
        <v>8</v>
      </c>
      <c r="ET345">
        <v>8</v>
      </c>
      <c r="EU345">
        <v>8</v>
      </c>
      <c r="EV345">
        <v>0.1</v>
      </c>
      <c r="EW345">
        <v>0.1</v>
      </c>
      <c r="EX345">
        <v>0.2</v>
      </c>
      <c r="EY345">
        <v>0.3</v>
      </c>
      <c r="EZ345">
        <v>0.3</v>
      </c>
      <c r="FA345">
        <f>EV345*EQ345</f>
        <v>0.70000000000000007</v>
      </c>
      <c r="FB345">
        <f>EW345*ER345</f>
        <v>0.8</v>
      </c>
      <c r="FC345">
        <f>EX345*ES345</f>
        <v>1.6</v>
      </c>
      <c r="FD345">
        <f>EY345*ET345</f>
        <v>2.4</v>
      </c>
      <c r="FE345">
        <f>EZ345*EU345</f>
        <v>2.4</v>
      </c>
      <c r="FF345">
        <v>15</v>
      </c>
      <c r="FG345">
        <v>0</v>
      </c>
      <c r="FH345">
        <v>15</v>
      </c>
      <c r="FI345">
        <f>FA345+FB345+FC345+FD345+FE345</f>
        <v>7.9</v>
      </c>
      <c r="FJ345">
        <f>MEDIAN(EQ345:EU345)</f>
        <v>8</v>
      </c>
      <c r="FL345">
        <v>104.65</v>
      </c>
      <c r="FM345">
        <v>6.9</v>
      </c>
      <c r="FN345" t="s">
        <v>2236</v>
      </c>
      <c r="FO345" t="s">
        <v>2237</v>
      </c>
      <c r="FP345" t="s">
        <v>2237</v>
      </c>
      <c r="FQ345" t="s">
        <v>2237</v>
      </c>
      <c r="FR345" t="s">
        <v>2237</v>
      </c>
      <c r="FS345">
        <v>9</v>
      </c>
      <c r="FT345">
        <v>8</v>
      </c>
      <c r="FU345">
        <v>7</v>
      </c>
      <c r="FV345">
        <v>6</v>
      </c>
      <c r="FW345">
        <v>5</v>
      </c>
      <c r="FX345">
        <v>0.1</v>
      </c>
      <c r="FY345">
        <v>0.1</v>
      </c>
      <c r="FZ345">
        <v>0.2</v>
      </c>
      <c r="GA345">
        <v>0.3</v>
      </c>
      <c r="GB345">
        <v>0.3</v>
      </c>
      <c r="GC345">
        <f>FS345*FX345</f>
        <v>0.9</v>
      </c>
      <c r="GD345">
        <f>FT345*FY345</f>
        <v>0.8</v>
      </c>
      <c r="GE345">
        <f>FU345*FZ345</f>
        <v>1.4000000000000001</v>
      </c>
      <c r="GF345">
        <f>FV345*GA345</f>
        <v>1.7999999999999998</v>
      </c>
      <c r="GG345">
        <f>FW345*GB345</f>
        <v>1.5</v>
      </c>
      <c r="GH345">
        <v>6.4</v>
      </c>
      <c r="GI345">
        <v>0.5</v>
      </c>
      <c r="GJ345">
        <v>6.9</v>
      </c>
      <c r="GK345">
        <f>GC345+GD345+GE345+GF345+GG345</f>
        <v>6.4</v>
      </c>
      <c r="GL345">
        <f>MEDIAN(FS345:FW345)</f>
        <v>7</v>
      </c>
    </row>
    <row r="346" spans="1:194" x14ac:dyDescent="0.25">
      <c r="A346">
        <v>343</v>
      </c>
      <c r="B346" t="s">
        <v>2</v>
      </c>
      <c r="C346" s="4">
        <v>51.15</v>
      </c>
      <c r="D346">
        <v>3.3</v>
      </c>
      <c r="E346" s="1">
        <f>C346/3/D346</f>
        <v>5.166666666666667</v>
      </c>
      <c r="G346">
        <v>84.23</v>
      </c>
      <c r="H346">
        <v>8</v>
      </c>
      <c r="I346">
        <f>H346*D346*3</f>
        <v>79.199999999999989</v>
      </c>
      <c r="J346">
        <v>18.2</v>
      </c>
      <c r="K346">
        <v>9</v>
      </c>
      <c r="L346" s="3">
        <f>K346*3*D346</f>
        <v>89.1</v>
      </c>
      <c r="M346">
        <v>5.21</v>
      </c>
      <c r="N346">
        <v>5</v>
      </c>
      <c r="O346">
        <f>N346*D346*3</f>
        <v>49.5</v>
      </c>
      <c r="P346" s="5">
        <v>7.8</v>
      </c>
      <c r="Q346" s="5">
        <f>P346*D346*3</f>
        <v>77.22</v>
      </c>
      <c r="S346" t="s">
        <v>6466</v>
      </c>
      <c r="T346">
        <v>8.1999999999999993</v>
      </c>
      <c r="U346" s="8">
        <f>T346*D346*3</f>
        <v>81.179999999999978</v>
      </c>
      <c r="V346">
        <v>48.89</v>
      </c>
      <c r="W346">
        <v>8.5</v>
      </c>
      <c r="X346" s="5">
        <f>W346*D346*3</f>
        <v>84.149999999999991</v>
      </c>
      <c r="Y346">
        <v>9.76</v>
      </c>
      <c r="Z346">
        <v>7.5</v>
      </c>
      <c r="AA346">
        <f>Z346*D346*3</f>
        <v>74.25</v>
      </c>
      <c r="AC346">
        <v>125.48</v>
      </c>
      <c r="AD346">
        <v>5.8000000000000007</v>
      </c>
      <c r="AE346" s="1">
        <f>AD346*3*D346</f>
        <v>57.42</v>
      </c>
      <c r="AF346">
        <v>11.98</v>
      </c>
      <c r="AG346" s="5">
        <v>7</v>
      </c>
      <c r="AH346" s="5">
        <f>AG346*D346*3</f>
        <v>69.3</v>
      </c>
      <c r="AI346" s="13"/>
      <c r="AJ346">
        <v>8.1999999999999993</v>
      </c>
      <c r="AK346" s="8">
        <f>AJ346*D346*3</f>
        <v>81.179999999999978</v>
      </c>
      <c r="AL346" s="13"/>
      <c r="AM346">
        <v>29.4</v>
      </c>
      <c r="AN346">
        <v>7.2</v>
      </c>
      <c r="AO346" s="8">
        <f>AN346*D346*3</f>
        <v>71.28</v>
      </c>
      <c r="AP346">
        <v>12.72</v>
      </c>
      <c r="AQ346">
        <v>10</v>
      </c>
      <c r="AR346">
        <f>AQ346*D346*3</f>
        <v>99</v>
      </c>
      <c r="AT346">
        <v>8.5</v>
      </c>
      <c r="AU346">
        <f>AT346*D346*3</f>
        <v>84.149999999999991</v>
      </c>
      <c r="AX346">
        <v>8.6</v>
      </c>
      <c r="AY346">
        <f>AX346*D346*3</f>
        <v>85.14</v>
      </c>
      <c r="BA346">
        <v>8.9</v>
      </c>
      <c r="BB346">
        <f>BA346*D346*3</f>
        <v>88.11</v>
      </c>
      <c r="BC346">
        <v>28.5</v>
      </c>
      <c r="BD346">
        <v>7.9</v>
      </c>
      <c r="BE346">
        <f>BD346*D346*3</f>
        <v>78.210000000000008</v>
      </c>
      <c r="BG346" s="10"/>
      <c r="BH346" s="1">
        <f>CHOOSE(MATCH(MIN(ABS(BP346-C346),ABS(BQ346-C346),ABS(BR346-C346)),CHOOSE({1;2;3},ABS(BP346-C346),ABS(BQ346-C346),ABS(BR346-C346)),0),BP346,BQ346,BR346)</f>
        <v>49.5</v>
      </c>
      <c r="BJ346" s="1" cm="1">
        <f t="array" ref="BJ346">(INDEX(_xlfn._xlws.SORT(CHOOSE({1;2;3;4;5;6},BQ346,BR346,L346,AE346,BO346,BP346)),3) + INDEX(_xlfn._xlws.SORT(CHOOSE({1;2;3;4;5;6},BQ346,BR346,L346,AE346,BO346,BP346)),4))/2</f>
        <v>58.41</v>
      </c>
      <c r="BK346">
        <v>7.8141501347747502</v>
      </c>
      <c r="BL346" s="11" t="s">
        <v>6116</v>
      </c>
      <c r="BM346" s="1">
        <f>BK346*3*D346</f>
        <v>77.360086334270022</v>
      </c>
      <c r="BN346" s="1">
        <f>BM346-C346</f>
        <v>26.210086334270024</v>
      </c>
      <c r="BO346" s="1">
        <f>GK346*3*D346</f>
        <v>50.489999999999995</v>
      </c>
      <c r="BP346" s="1">
        <f>DO346*3*D346</f>
        <v>89.1</v>
      </c>
      <c r="BQ346" s="1">
        <f>FJ346*3*D346</f>
        <v>49.5</v>
      </c>
      <c r="BR346" s="1">
        <f>GL346*3*D346</f>
        <v>59.4</v>
      </c>
      <c r="BT346">
        <v>84.23</v>
      </c>
      <c r="BU346">
        <v>8</v>
      </c>
      <c r="BV346" t="s">
        <v>5175</v>
      </c>
      <c r="BW346" t="s">
        <v>5176</v>
      </c>
      <c r="BX346" t="s">
        <v>5025</v>
      </c>
      <c r="BY346" t="s">
        <v>6030</v>
      </c>
      <c r="BZ346" t="s">
        <v>5178</v>
      </c>
      <c r="CA346" t="s">
        <v>2954</v>
      </c>
      <c r="CC346" t="s">
        <v>3679</v>
      </c>
      <c r="CD346" t="s">
        <v>3680</v>
      </c>
      <c r="CE346" t="s">
        <v>2586</v>
      </c>
      <c r="CG346" t="s">
        <v>3681</v>
      </c>
      <c r="CH346" t="s">
        <v>3682</v>
      </c>
      <c r="CI346" t="s">
        <v>2567</v>
      </c>
      <c r="CK346" t="s">
        <v>3594</v>
      </c>
      <c r="CL346" t="s">
        <v>3683</v>
      </c>
      <c r="CM346" t="s">
        <v>3029</v>
      </c>
      <c r="CO346" t="s">
        <v>3596</v>
      </c>
      <c r="CP346" t="s">
        <v>3684</v>
      </c>
      <c r="CQ346" t="s">
        <v>3122</v>
      </c>
      <c r="CS346" t="s">
        <v>3597</v>
      </c>
      <c r="CT346" t="s">
        <v>3685</v>
      </c>
      <c r="CV346">
        <v>9</v>
      </c>
      <c r="CW346">
        <v>9</v>
      </c>
      <c r="CX346">
        <v>9</v>
      </c>
      <c r="CY346">
        <v>9</v>
      </c>
      <c r="CZ346">
        <v>9</v>
      </c>
      <c r="DA346">
        <v>0.1</v>
      </c>
      <c r="DB346">
        <v>0.1</v>
      </c>
      <c r="DC346">
        <v>0.2</v>
      </c>
      <c r="DD346">
        <v>0.3</v>
      </c>
      <c r="DE346">
        <v>0.3</v>
      </c>
      <c r="DF346">
        <v>0.9</v>
      </c>
      <c r="DG346">
        <v>0.9</v>
      </c>
      <c r="DH346">
        <v>1.8</v>
      </c>
      <c r="DI346">
        <v>2.7</v>
      </c>
      <c r="DJ346">
        <v>2.7</v>
      </c>
      <c r="DK346">
        <v>8</v>
      </c>
      <c r="DL346">
        <v>0</v>
      </c>
      <c r="DM346">
        <v>8</v>
      </c>
      <c r="DN346">
        <v>9</v>
      </c>
      <c r="DO346">
        <f>AVERAGE(CV346:CZ346)</f>
        <v>9</v>
      </c>
      <c r="DQ346">
        <v>15</v>
      </c>
      <c r="DR346" t="s">
        <v>173</v>
      </c>
      <c r="DS346" t="s">
        <v>181</v>
      </c>
      <c r="DT346" t="s">
        <v>556</v>
      </c>
      <c r="DU346" t="s">
        <v>557</v>
      </c>
      <c r="DV346" t="s">
        <v>558</v>
      </c>
      <c r="DW346" t="s">
        <v>3911</v>
      </c>
      <c r="DX346" t="s">
        <v>4160</v>
      </c>
      <c r="DY346" t="s">
        <v>4161</v>
      </c>
      <c r="DZ346" t="s">
        <v>4161</v>
      </c>
      <c r="EA346" t="s">
        <v>4178</v>
      </c>
      <c r="EB346" t="s">
        <v>4179</v>
      </c>
      <c r="EE346" t="s">
        <v>4944</v>
      </c>
      <c r="EF346" t="s">
        <v>4944</v>
      </c>
      <c r="EI346" t="s">
        <v>4945</v>
      </c>
      <c r="EJ346" t="s">
        <v>4945</v>
      </c>
      <c r="EL346" t="s">
        <v>4945</v>
      </c>
      <c r="EM346" t="s">
        <v>4946</v>
      </c>
      <c r="EN346" t="s">
        <v>4946</v>
      </c>
      <c r="EP346" t="s">
        <v>4946</v>
      </c>
      <c r="EQ346">
        <v>4</v>
      </c>
      <c r="ER346">
        <v>8</v>
      </c>
      <c r="ES346">
        <v>8</v>
      </c>
      <c r="ET346">
        <v>5</v>
      </c>
      <c r="EU346">
        <v>5</v>
      </c>
      <c r="EV346">
        <v>0.1</v>
      </c>
      <c r="EW346">
        <v>0.1</v>
      </c>
      <c r="EX346">
        <v>0.2</v>
      </c>
      <c r="EY346">
        <v>0.3</v>
      </c>
      <c r="EZ346">
        <v>0.3</v>
      </c>
      <c r="FA346">
        <f>EV346*EQ346</f>
        <v>0.4</v>
      </c>
      <c r="FB346">
        <f>EW346*ER346</f>
        <v>0.8</v>
      </c>
      <c r="FC346">
        <f>EX346*ES346</f>
        <v>1.6</v>
      </c>
      <c r="FD346">
        <f>EY346*ET346</f>
        <v>1.5</v>
      </c>
      <c r="FE346">
        <f>EZ346*EU346</f>
        <v>1.5</v>
      </c>
      <c r="FF346">
        <v>15</v>
      </c>
      <c r="FG346">
        <v>0</v>
      </c>
      <c r="FH346">
        <v>15</v>
      </c>
      <c r="FI346">
        <f>FA346+FB346+FC346+FD346+FE346</f>
        <v>5.8000000000000007</v>
      </c>
      <c r="FJ346">
        <f>MEDIAN(EQ346:EU346)</f>
        <v>5</v>
      </c>
      <c r="FL346">
        <v>76.23</v>
      </c>
      <c r="FM346">
        <v>5</v>
      </c>
      <c r="FN346" t="s">
        <v>2233</v>
      </c>
      <c r="FO346" t="s">
        <v>2234</v>
      </c>
      <c r="FP346" t="s">
        <v>2235</v>
      </c>
      <c r="FQ346" t="s">
        <v>1143</v>
      </c>
      <c r="FR346" t="s">
        <v>2234</v>
      </c>
      <c r="FS346">
        <v>6.5</v>
      </c>
      <c r="FT346">
        <v>7</v>
      </c>
      <c r="FU346">
        <v>4.5</v>
      </c>
      <c r="FV346">
        <v>6</v>
      </c>
      <c r="FW346">
        <v>3.5</v>
      </c>
      <c r="FX346">
        <v>0.1</v>
      </c>
      <c r="FY346">
        <v>0.1</v>
      </c>
      <c r="FZ346">
        <v>0.2</v>
      </c>
      <c r="GA346">
        <v>0.3</v>
      </c>
      <c r="GB346">
        <v>0.3</v>
      </c>
      <c r="GC346">
        <f>FS346*FX346</f>
        <v>0.65</v>
      </c>
      <c r="GD346">
        <f>FT346*FY346</f>
        <v>0.70000000000000007</v>
      </c>
      <c r="GE346">
        <f>FU346*FZ346</f>
        <v>0.9</v>
      </c>
      <c r="GF346">
        <f>FV346*GA346</f>
        <v>1.7999999999999998</v>
      </c>
      <c r="GG346">
        <f>FW346*GB346</f>
        <v>1.05</v>
      </c>
      <c r="GH346">
        <v>5.55</v>
      </c>
      <c r="GI346">
        <v>-0.5</v>
      </c>
      <c r="GJ346">
        <v>5</v>
      </c>
      <c r="GK346">
        <f>GC346+GD346+GE346+GF346+GG346</f>
        <v>5.0999999999999996</v>
      </c>
      <c r="GL346">
        <f>MEDIAN(FS346:FW346)</f>
        <v>6</v>
      </c>
    </row>
    <row r="347" spans="1:194" hidden="1" x14ac:dyDescent="0.25">
      <c r="A347">
        <v>346</v>
      </c>
      <c r="B347" t="s">
        <v>2</v>
      </c>
      <c r="C347" s="4">
        <v>94.35</v>
      </c>
      <c r="D347">
        <v>3.7</v>
      </c>
      <c r="E347" s="1">
        <f>C347/3/D347</f>
        <v>8.5</v>
      </c>
      <c r="G347">
        <v>86.72</v>
      </c>
      <c r="H347">
        <v>8.6999999999999993</v>
      </c>
      <c r="I347">
        <f>H347*D347*3</f>
        <v>96.57</v>
      </c>
      <c r="J347">
        <v>18.02</v>
      </c>
      <c r="K347">
        <v>8.4</v>
      </c>
      <c r="L347" s="3">
        <f>K347*3*D347</f>
        <v>93.240000000000009</v>
      </c>
      <c r="M347">
        <v>5.04</v>
      </c>
      <c r="N347">
        <v>5</v>
      </c>
      <c r="O347">
        <f>N347*D347*3</f>
        <v>55.5</v>
      </c>
      <c r="P347" s="5">
        <v>8.1999999999999993</v>
      </c>
      <c r="Q347" s="5">
        <f>P347*D347*3</f>
        <v>91.02</v>
      </c>
      <c r="S347" t="s">
        <v>6469</v>
      </c>
      <c r="T347">
        <v>5.3</v>
      </c>
      <c r="U347" s="8">
        <f>T347*D347*3</f>
        <v>58.83</v>
      </c>
      <c r="V347">
        <v>40.49</v>
      </c>
      <c r="W347">
        <v>8.4</v>
      </c>
      <c r="X347" s="5">
        <f>W347*D347*3</f>
        <v>93.240000000000009</v>
      </c>
      <c r="Y347">
        <v>8.74</v>
      </c>
      <c r="Z347">
        <v>6</v>
      </c>
      <c r="AA347">
        <f>Z347*D347*3</f>
        <v>66.600000000000009</v>
      </c>
      <c r="AC347">
        <v>148.81</v>
      </c>
      <c r="AD347">
        <v>6.1499999999999995</v>
      </c>
      <c r="AE347" s="1">
        <f>AD347*3*D347</f>
        <v>68.265000000000001</v>
      </c>
      <c r="AF347">
        <v>11.9</v>
      </c>
      <c r="AG347" s="5">
        <v>7</v>
      </c>
      <c r="AH347" s="5">
        <f>AG347*D347*3</f>
        <v>77.7</v>
      </c>
      <c r="AI347" s="13"/>
      <c r="AJ347">
        <v>7</v>
      </c>
      <c r="AK347" s="8">
        <f>AJ347*D347*3</f>
        <v>77.7</v>
      </c>
      <c r="AL347" s="13"/>
      <c r="AM347">
        <v>30.67</v>
      </c>
      <c r="AN347">
        <v>7.1</v>
      </c>
      <c r="AO347" s="8">
        <f>AN347*D347*3</f>
        <v>78.81</v>
      </c>
      <c r="AP347">
        <v>13.16</v>
      </c>
      <c r="AQ347">
        <v>9.3000000000000007</v>
      </c>
      <c r="AR347">
        <f>AQ347*D347*3</f>
        <v>103.23000000000002</v>
      </c>
      <c r="AT347">
        <v>9</v>
      </c>
      <c r="AU347">
        <f>AT347*D347*3</f>
        <v>99.9</v>
      </c>
      <c r="AX347">
        <v>8.8000000000000007</v>
      </c>
      <c r="AY347">
        <f>AX347*D347*3</f>
        <v>97.68</v>
      </c>
      <c r="BA347">
        <v>9.4</v>
      </c>
      <c r="BB347">
        <f>BA347*D347*3</f>
        <v>104.34</v>
      </c>
      <c r="BC347">
        <v>28.66</v>
      </c>
      <c r="BD347">
        <v>8.9</v>
      </c>
      <c r="BE347">
        <f>BD347*D347*3</f>
        <v>98.789999999999992</v>
      </c>
      <c r="BG347" s="10"/>
      <c r="BH347" s="1">
        <f>CHOOSE(MATCH(MIN(ABS(BP347-C347),ABS(BQ347-C347),ABS(BR347-C347)),CHOOSE({1;2;3},ABS(BP347-C347),ABS(BQ347-C347),ABS(BR347-C347)),0),BP347,BQ347,BR347)</f>
        <v>94.350000000000009</v>
      </c>
      <c r="BJ347" s="1" cm="1">
        <f t="array" ref="BJ347">(INDEX(_xlfn._xlws.SORT(CHOOSE({1;2;3;4;5;6},BQ347,BR347,L347,AE347,BO347,BP347)),3) + INDEX(_xlfn._xlws.SORT(CHOOSE({1;2;3;4;5;6},BQ347,BR347,L347,AE347,BO347,BP347)),4))/2</f>
        <v>90.465000000000003</v>
      </c>
      <c r="BK347">
        <v>8.4675149859800793</v>
      </c>
      <c r="BL347" t="s">
        <v>6117</v>
      </c>
      <c r="BM347" s="1">
        <f>BK347*3*D347</f>
        <v>93.989416344378881</v>
      </c>
      <c r="BN347" s="1">
        <f>BM347-C347</f>
        <v>-0.36058365562111305</v>
      </c>
      <c r="BO347" s="1">
        <f>GK347*3*D347</f>
        <v>87.690000000000012</v>
      </c>
      <c r="BP347" s="1">
        <f>DO347*3*D347</f>
        <v>97.68</v>
      </c>
      <c r="BQ347" s="1">
        <f>FJ347*3*D347</f>
        <v>66.600000000000009</v>
      </c>
      <c r="BR347" s="1">
        <f>GL347*3*D347</f>
        <v>94.350000000000009</v>
      </c>
      <c r="BT347">
        <v>86.72</v>
      </c>
      <c r="BU347">
        <v>8.6999999999999993</v>
      </c>
      <c r="BV347" t="s">
        <v>5051</v>
      </c>
      <c r="BW347" t="s">
        <v>5047</v>
      </c>
      <c r="BX347" t="s">
        <v>5052</v>
      </c>
      <c r="BY347" t="s">
        <v>5053</v>
      </c>
      <c r="BZ347" t="s">
        <v>5054</v>
      </c>
      <c r="CA347" t="s">
        <v>3689</v>
      </c>
      <c r="CC347" t="s">
        <v>3690</v>
      </c>
      <c r="CD347" t="s">
        <v>2453</v>
      </c>
      <c r="CE347" t="s">
        <v>3691</v>
      </c>
      <c r="CG347" t="s">
        <v>2647</v>
      </c>
      <c r="CH347" t="s">
        <v>2587</v>
      </c>
      <c r="CI347" t="s">
        <v>3692</v>
      </c>
      <c r="CK347" t="s">
        <v>3693</v>
      </c>
      <c r="CL347" t="s">
        <v>2588</v>
      </c>
      <c r="CM347" t="s">
        <v>3038</v>
      </c>
      <c r="CO347" t="s">
        <v>2464</v>
      </c>
      <c r="CP347" t="s">
        <v>2590</v>
      </c>
      <c r="CQ347" t="s">
        <v>3694</v>
      </c>
      <c r="CR347" t="s">
        <v>2837</v>
      </c>
      <c r="CS347" t="s">
        <v>3695</v>
      </c>
      <c r="CT347" t="s">
        <v>3696</v>
      </c>
      <c r="CV347">
        <v>9</v>
      </c>
      <c r="CW347">
        <v>9</v>
      </c>
      <c r="CX347">
        <v>9</v>
      </c>
      <c r="CY347">
        <v>9</v>
      </c>
      <c r="CZ347">
        <v>8</v>
      </c>
      <c r="DA347">
        <v>0.1</v>
      </c>
      <c r="DB347">
        <v>0.1</v>
      </c>
      <c r="DC347">
        <v>0.2</v>
      </c>
      <c r="DD347">
        <v>0.3</v>
      </c>
      <c r="DE347">
        <v>0.3</v>
      </c>
      <c r="DF347">
        <v>0.9</v>
      </c>
      <c r="DG347">
        <v>0.9</v>
      </c>
      <c r="DH347">
        <v>1.8</v>
      </c>
      <c r="DI347">
        <v>2.7</v>
      </c>
      <c r="DJ347">
        <v>2.4</v>
      </c>
      <c r="DK347">
        <v>8.6999999999999993</v>
      </c>
      <c r="DL347">
        <v>0</v>
      </c>
      <c r="DM347">
        <v>8.6999999999999993</v>
      </c>
      <c r="DN347">
        <v>8.4</v>
      </c>
      <c r="DO347">
        <f>AVERAGE(CV347:CZ347)</f>
        <v>8.8000000000000007</v>
      </c>
      <c r="DQ347">
        <v>7</v>
      </c>
      <c r="DR347" t="s">
        <v>478</v>
      </c>
      <c r="DS347" t="s">
        <v>559</v>
      </c>
      <c r="DT347" t="s">
        <v>560</v>
      </c>
      <c r="DU347" t="s">
        <v>561</v>
      </c>
      <c r="DV347" t="s">
        <v>562</v>
      </c>
      <c r="DW347" t="s">
        <v>3788</v>
      </c>
      <c r="DX347" t="s">
        <v>4071</v>
      </c>
      <c r="DY347" t="s">
        <v>4926</v>
      </c>
      <c r="DZ347" t="s">
        <v>4927</v>
      </c>
      <c r="EA347" t="s">
        <v>3792</v>
      </c>
      <c r="EB347" t="s">
        <v>4074</v>
      </c>
      <c r="EC347" t="s">
        <v>4928</v>
      </c>
      <c r="ED347" t="s">
        <v>4928</v>
      </c>
      <c r="EE347" t="s">
        <v>3796</v>
      </c>
      <c r="EF347" t="s">
        <v>4929</v>
      </c>
      <c r="EG347" t="s">
        <v>4930</v>
      </c>
      <c r="EH347" t="s">
        <v>4931</v>
      </c>
      <c r="EI347" t="s">
        <v>4080</v>
      </c>
      <c r="EJ347" t="s">
        <v>4512</v>
      </c>
      <c r="EK347" t="s">
        <v>4932</v>
      </c>
      <c r="EL347" t="s">
        <v>4932</v>
      </c>
      <c r="EM347" t="s">
        <v>4948</v>
      </c>
      <c r="EN347" t="s">
        <v>4949</v>
      </c>
      <c r="EO347" t="s">
        <v>4950</v>
      </c>
      <c r="EP347" t="s">
        <v>4950</v>
      </c>
      <c r="EQ347">
        <v>7</v>
      </c>
      <c r="ER347">
        <v>6.5</v>
      </c>
      <c r="ES347">
        <v>6</v>
      </c>
      <c r="ET347">
        <v>6</v>
      </c>
      <c r="EU347">
        <v>6</v>
      </c>
      <c r="EV347">
        <v>0.1</v>
      </c>
      <c r="EW347">
        <v>0.1</v>
      </c>
      <c r="EX347">
        <v>0.2</v>
      </c>
      <c r="EY347">
        <v>0.3</v>
      </c>
      <c r="EZ347">
        <v>0.3</v>
      </c>
      <c r="FA347">
        <f>EV347*EQ347</f>
        <v>0.70000000000000007</v>
      </c>
      <c r="FB347">
        <f>EW347*ER347</f>
        <v>0.65</v>
      </c>
      <c r="FC347">
        <f>EX347*ES347</f>
        <v>1.2000000000000002</v>
      </c>
      <c r="FD347">
        <f>EY347*ET347</f>
        <v>1.7999999999999998</v>
      </c>
      <c r="FE347">
        <f>EZ347*EU347</f>
        <v>1.7999999999999998</v>
      </c>
      <c r="FF347">
        <v>19</v>
      </c>
      <c r="FG347">
        <v>0</v>
      </c>
      <c r="FH347">
        <v>7</v>
      </c>
      <c r="FI347">
        <f>FA347+FB347+FC347+FD347+FE347</f>
        <v>6.1499999999999995</v>
      </c>
      <c r="FJ347">
        <f>MEDIAN(EQ347:EU347)</f>
        <v>6</v>
      </c>
      <c r="FL347">
        <v>78.38</v>
      </c>
      <c r="FM347">
        <v>8.5</v>
      </c>
      <c r="FN347" t="s">
        <v>2243</v>
      </c>
      <c r="FO347" t="s">
        <v>2244</v>
      </c>
      <c r="FP347" t="s">
        <v>2245</v>
      </c>
      <c r="FQ347" t="s">
        <v>2246</v>
      </c>
      <c r="FR347" t="s">
        <v>2247</v>
      </c>
      <c r="FS347">
        <v>10</v>
      </c>
      <c r="FT347">
        <v>10</v>
      </c>
      <c r="FU347">
        <v>8.5</v>
      </c>
      <c r="FV347">
        <v>7.5</v>
      </c>
      <c r="FW347">
        <v>6.5</v>
      </c>
      <c r="FX347">
        <v>0.1</v>
      </c>
      <c r="FY347">
        <v>0.1</v>
      </c>
      <c r="FZ347">
        <v>0.2</v>
      </c>
      <c r="GA347">
        <v>0.3</v>
      </c>
      <c r="GB347">
        <v>0.3</v>
      </c>
      <c r="GC347">
        <f>FS347*FX347</f>
        <v>1</v>
      </c>
      <c r="GD347">
        <f>FT347*FY347</f>
        <v>1</v>
      </c>
      <c r="GE347">
        <f>FU347*FZ347</f>
        <v>1.7000000000000002</v>
      </c>
      <c r="GF347">
        <f>FV347*GA347</f>
        <v>2.25</v>
      </c>
      <c r="GG347">
        <f>FW347*GB347</f>
        <v>1.95</v>
      </c>
      <c r="GH347">
        <v>8.5</v>
      </c>
      <c r="GI347">
        <v>0</v>
      </c>
      <c r="GJ347">
        <v>8.5</v>
      </c>
      <c r="GK347">
        <f>GC347+GD347+GE347+GF347+GG347</f>
        <v>7.9</v>
      </c>
      <c r="GL347">
        <f>MEDIAN(FS347:FW347)</f>
        <v>8.5</v>
      </c>
    </row>
    <row r="348" spans="1:194" hidden="1" x14ac:dyDescent="0.25">
      <c r="A348">
        <v>347</v>
      </c>
      <c r="B348" t="s">
        <v>2</v>
      </c>
      <c r="C348" s="4">
        <v>84.6</v>
      </c>
      <c r="D348">
        <v>3.6</v>
      </c>
      <c r="E348" s="1">
        <f>C348/3/D348</f>
        <v>7.833333333333333</v>
      </c>
      <c r="G348">
        <v>38.409999999999997</v>
      </c>
      <c r="H348">
        <v>8.1</v>
      </c>
      <c r="I348">
        <f>H348*D348*3</f>
        <v>87.48</v>
      </c>
      <c r="J348">
        <v>17.22</v>
      </c>
      <c r="K348">
        <v>9</v>
      </c>
      <c r="L348" s="3">
        <f>K348*3*D348</f>
        <v>97.2</v>
      </c>
      <c r="M348">
        <v>5.42</v>
      </c>
      <c r="N348">
        <v>5</v>
      </c>
      <c r="O348">
        <f>N348*D348*3</f>
        <v>54</v>
      </c>
      <c r="P348" s="5">
        <v>7.3</v>
      </c>
      <c r="Q348" s="5">
        <f>P348*D348*3</f>
        <v>78.84</v>
      </c>
      <c r="S348" t="s">
        <v>6470</v>
      </c>
      <c r="T348">
        <v>7.2</v>
      </c>
      <c r="U348" s="8">
        <f>T348*D348*3</f>
        <v>77.760000000000005</v>
      </c>
      <c r="V348">
        <v>39.729999999999997</v>
      </c>
      <c r="W348">
        <v>8.4</v>
      </c>
      <c r="X348" s="5">
        <f>W348*D348*3</f>
        <v>90.72</v>
      </c>
      <c r="Y348">
        <v>12.64</v>
      </c>
      <c r="Z348">
        <v>7.5</v>
      </c>
      <c r="AA348">
        <f>Z348*D348*3</f>
        <v>81</v>
      </c>
      <c r="AC348">
        <v>135.13</v>
      </c>
      <c r="AD348">
        <v>7.9</v>
      </c>
      <c r="AE348" s="1">
        <f>AD348*3*D348</f>
        <v>85.320000000000007</v>
      </c>
      <c r="AF348">
        <v>11.88</v>
      </c>
      <c r="AG348" s="5">
        <v>7</v>
      </c>
      <c r="AH348" s="5">
        <f>AG348*D348*3</f>
        <v>75.599999999999994</v>
      </c>
      <c r="AI348" s="13"/>
      <c r="AJ348">
        <v>23.5</v>
      </c>
      <c r="AK348" s="8">
        <f>AJ348*D348*3</f>
        <v>253.8</v>
      </c>
      <c r="AL348" s="13"/>
      <c r="AM348">
        <v>30.43</v>
      </c>
      <c r="AN348">
        <v>8.1</v>
      </c>
      <c r="AO348" s="8">
        <f>AN348*D348*3</f>
        <v>87.48</v>
      </c>
      <c r="AP348">
        <v>11.71</v>
      </c>
      <c r="AQ348">
        <v>10</v>
      </c>
      <c r="AR348">
        <f>AQ348*D348*3</f>
        <v>108</v>
      </c>
      <c r="AT348">
        <v>8.8000000000000007</v>
      </c>
      <c r="AU348">
        <f>AT348*D348*3</f>
        <v>95.04</v>
      </c>
      <c r="AX348">
        <v>8.5</v>
      </c>
      <c r="AY348">
        <f>AX348*D348*3</f>
        <v>91.800000000000011</v>
      </c>
      <c r="BA348">
        <v>9.1</v>
      </c>
      <c r="BB348">
        <f>BA348*D348*3</f>
        <v>98.28</v>
      </c>
      <c r="BC348">
        <v>28.7</v>
      </c>
      <c r="BD348">
        <v>8.9</v>
      </c>
      <c r="BE348">
        <f>BD348*D348*3</f>
        <v>96.12</v>
      </c>
      <c r="BG348" s="10"/>
      <c r="BH348" s="1">
        <f>CHOOSE(MATCH(MIN(ABS(BP348-C348),ABS(BQ348-C348),ABS(BR348-C348)),CHOOSE({1;2;3},ABS(BP348-C348),ABS(BQ348-C348),ABS(BR348-C348)),0),BP348,BQ348,BR348)</f>
        <v>86.4</v>
      </c>
      <c r="BJ348" s="1" cm="1">
        <f t="array" ref="BJ348">(INDEX(_xlfn._xlws.SORT(CHOOSE({1;2;3;4;5;6},BQ348,BR348,L348,AE348,BO348,BP348)),3) + INDEX(_xlfn._xlws.SORT(CHOOSE({1;2;3;4;5;6},BQ348,BR348,L348,AE348,BO348,BP348)),4))/2</f>
        <v>85.860000000000014</v>
      </c>
      <c r="BK348">
        <v>7.8575592533822904</v>
      </c>
      <c r="BL348" t="s">
        <v>6117</v>
      </c>
      <c r="BM348" s="1">
        <f>BK348*3*D348</f>
        <v>84.861639936528732</v>
      </c>
      <c r="BN348" s="1">
        <f>BM348-C348</f>
        <v>0.26163993652873785</v>
      </c>
      <c r="BO348" s="1">
        <f>GK348*3*D348</f>
        <v>44.279999999999994</v>
      </c>
      <c r="BP348" s="1">
        <f>DO348*3*D348</f>
        <v>95.04</v>
      </c>
      <c r="BQ348" s="1">
        <f>FJ348*3*D348</f>
        <v>86.4</v>
      </c>
      <c r="BR348" s="1">
        <f>GL348*3*D348</f>
        <v>43.2</v>
      </c>
      <c r="BT348">
        <v>38.409999999999997</v>
      </c>
      <c r="BU348">
        <v>8.1</v>
      </c>
      <c r="BV348" t="s">
        <v>6036</v>
      </c>
      <c r="BW348" t="s">
        <v>5850</v>
      </c>
      <c r="BX348" t="s">
        <v>6037</v>
      </c>
      <c r="BY348" t="s">
        <v>6038</v>
      </c>
      <c r="BZ348" t="s">
        <v>6039</v>
      </c>
      <c r="CA348" t="s">
        <v>2420</v>
      </c>
      <c r="CC348" t="s">
        <v>2491</v>
      </c>
      <c r="CD348" t="s">
        <v>2492</v>
      </c>
      <c r="CE348" t="s">
        <v>2572</v>
      </c>
      <c r="CG348" t="s">
        <v>2573</v>
      </c>
      <c r="CH348" t="s">
        <v>2495</v>
      </c>
      <c r="CI348" t="s">
        <v>2575</v>
      </c>
      <c r="CJ348" t="s">
        <v>2427</v>
      </c>
      <c r="CK348" t="s">
        <v>2734</v>
      </c>
      <c r="CL348" t="s">
        <v>2729</v>
      </c>
      <c r="CM348" t="s">
        <v>3112</v>
      </c>
      <c r="CO348" t="s">
        <v>3113</v>
      </c>
      <c r="CP348" t="s">
        <v>2501</v>
      </c>
      <c r="CQ348" t="s">
        <v>2613</v>
      </c>
      <c r="CS348" t="s">
        <v>3697</v>
      </c>
      <c r="CT348" t="s">
        <v>2632</v>
      </c>
      <c r="CV348">
        <v>9</v>
      </c>
      <c r="CW348">
        <v>9</v>
      </c>
      <c r="CX348">
        <v>8</v>
      </c>
      <c r="CY348">
        <v>9</v>
      </c>
      <c r="CZ348">
        <v>9</v>
      </c>
      <c r="DA348">
        <v>0.1</v>
      </c>
      <c r="DB348">
        <v>0.1</v>
      </c>
      <c r="DC348">
        <v>0.2</v>
      </c>
      <c r="DD348">
        <v>0.3</v>
      </c>
      <c r="DE348">
        <v>0.3</v>
      </c>
      <c r="DF348">
        <v>0.9</v>
      </c>
      <c r="DG348">
        <v>0.9</v>
      </c>
      <c r="DH348">
        <v>1.6</v>
      </c>
      <c r="DI348">
        <v>2.7</v>
      </c>
      <c r="DJ348">
        <v>2.7</v>
      </c>
      <c r="DK348">
        <v>8.1</v>
      </c>
      <c r="DL348">
        <v>0</v>
      </c>
      <c r="DM348">
        <v>8.1</v>
      </c>
      <c r="DN348">
        <v>9</v>
      </c>
      <c r="DO348">
        <f>AVERAGE(CV348:CZ348)</f>
        <v>8.8000000000000007</v>
      </c>
      <c r="DQ348">
        <v>8</v>
      </c>
      <c r="DR348" t="s">
        <v>213</v>
      </c>
      <c r="DS348" t="s">
        <v>29</v>
      </c>
      <c r="DT348" t="s">
        <v>214</v>
      </c>
      <c r="DU348" t="s">
        <v>215</v>
      </c>
      <c r="DV348" t="s">
        <v>216</v>
      </c>
      <c r="DW348" t="s">
        <v>3836</v>
      </c>
      <c r="DX348" t="s">
        <v>3770</v>
      </c>
      <c r="DY348" t="s">
        <v>3771</v>
      </c>
      <c r="DZ348" t="s">
        <v>3772</v>
      </c>
      <c r="EA348" t="s">
        <v>3860</v>
      </c>
      <c r="EB348" t="s">
        <v>3807</v>
      </c>
      <c r="EC348" t="s">
        <v>3775</v>
      </c>
      <c r="ED348" t="s">
        <v>3776</v>
      </c>
      <c r="EE348" t="s">
        <v>3946</v>
      </c>
      <c r="EF348" t="s">
        <v>3809</v>
      </c>
      <c r="EG348" t="s">
        <v>3810</v>
      </c>
      <c r="EH348" t="s">
        <v>3811</v>
      </c>
      <c r="EI348" t="s">
        <v>3947</v>
      </c>
      <c r="EJ348" t="s">
        <v>3813</v>
      </c>
      <c r="EK348" t="s">
        <v>3948</v>
      </c>
      <c r="EL348" t="s">
        <v>3815</v>
      </c>
      <c r="EM348" t="s">
        <v>3949</v>
      </c>
      <c r="EN348" t="s">
        <v>3809</v>
      </c>
      <c r="EO348" t="s">
        <v>3950</v>
      </c>
      <c r="EP348" t="s">
        <v>3818</v>
      </c>
      <c r="EQ348">
        <v>7</v>
      </c>
      <c r="ER348">
        <v>8</v>
      </c>
      <c r="ES348">
        <v>8</v>
      </c>
      <c r="ET348">
        <v>8</v>
      </c>
      <c r="EU348">
        <v>8</v>
      </c>
      <c r="EV348">
        <v>0.1</v>
      </c>
      <c r="EW348">
        <v>0.1</v>
      </c>
      <c r="EX348">
        <v>0.2</v>
      </c>
      <c r="EY348">
        <v>0.3</v>
      </c>
      <c r="EZ348">
        <v>0.3</v>
      </c>
      <c r="FA348">
        <f>EV348*EQ348</f>
        <v>0.70000000000000007</v>
      </c>
      <c r="FB348">
        <f>EW348*ER348</f>
        <v>0.8</v>
      </c>
      <c r="FC348">
        <f>EX348*ES348</f>
        <v>1.6</v>
      </c>
      <c r="FD348">
        <f>EY348*ET348</f>
        <v>2.4</v>
      </c>
      <c r="FE348">
        <f>EZ348*EU348</f>
        <v>2.4</v>
      </c>
      <c r="FF348">
        <v>15</v>
      </c>
      <c r="FG348">
        <v>0</v>
      </c>
      <c r="FH348">
        <v>8</v>
      </c>
      <c r="FI348">
        <f>FA348+FB348+FC348+FD348+FE348</f>
        <v>7.9</v>
      </c>
      <c r="FJ348">
        <f>MEDIAN(EQ348:EU348)</f>
        <v>8</v>
      </c>
      <c r="FL348">
        <v>42.75</v>
      </c>
      <c r="FM348">
        <v>8</v>
      </c>
      <c r="FN348" t="s">
        <v>2248</v>
      </c>
      <c r="FO348" t="s">
        <v>2249</v>
      </c>
      <c r="FP348" t="s">
        <v>2250</v>
      </c>
      <c r="FQ348" t="s">
        <v>2251</v>
      </c>
      <c r="FR348" t="s">
        <v>2252</v>
      </c>
      <c r="FS348">
        <v>4</v>
      </c>
      <c r="FT348">
        <v>3</v>
      </c>
      <c r="FU348">
        <v>2</v>
      </c>
      <c r="FV348">
        <v>4</v>
      </c>
      <c r="FW348">
        <v>6</v>
      </c>
      <c r="FX348">
        <v>0.1</v>
      </c>
      <c r="FY348">
        <v>0.1</v>
      </c>
      <c r="FZ348">
        <v>0.2</v>
      </c>
      <c r="GA348">
        <v>0.3</v>
      </c>
      <c r="GB348">
        <v>0.3</v>
      </c>
      <c r="GC348">
        <f>FS348*FX348</f>
        <v>0.4</v>
      </c>
      <c r="GD348">
        <f>FT348*FY348</f>
        <v>0.30000000000000004</v>
      </c>
      <c r="GE348">
        <f>FU348*FZ348</f>
        <v>0.4</v>
      </c>
      <c r="GF348">
        <f>FV348*GA348</f>
        <v>1.2</v>
      </c>
      <c r="GG348">
        <f>FW348*GB348</f>
        <v>1.7999999999999998</v>
      </c>
      <c r="GH348">
        <v>7.9</v>
      </c>
      <c r="GI348">
        <v>0.1</v>
      </c>
      <c r="GJ348">
        <v>8</v>
      </c>
      <c r="GK348">
        <f>GC348+GD348+GE348+GF348+GG348</f>
        <v>4.0999999999999996</v>
      </c>
      <c r="GL348">
        <f>MEDIAN(FS348:FW348)</f>
        <v>4</v>
      </c>
    </row>
    <row r="349" spans="1:194" x14ac:dyDescent="0.25">
      <c r="A349">
        <v>324</v>
      </c>
      <c r="B349" t="s">
        <v>2</v>
      </c>
      <c r="C349" s="4">
        <v>42.9</v>
      </c>
      <c r="D349">
        <v>3.3</v>
      </c>
      <c r="E349" s="1">
        <f>C349/3/D349</f>
        <v>4.333333333333333</v>
      </c>
      <c r="G349">
        <v>36.47</v>
      </c>
      <c r="H349">
        <v>8</v>
      </c>
      <c r="I349">
        <f>H349*D349*3</f>
        <v>79.199999999999989</v>
      </c>
      <c r="J349">
        <v>16.64</v>
      </c>
      <c r="K349">
        <v>9</v>
      </c>
      <c r="L349" s="3">
        <f>K349*3*D349</f>
        <v>89.1</v>
      </c>
      <c r="M349">
        <v>5.22</v>
      </c>
      <c r="N349">
        <v>5</v>
      </c>
      <c r="O349">
        <f>N349*D349*3</f>
        <v>49.5</v>
      </c>
      <c r="P349" s="5">
        <v>7</v>
      </c>
      <c r="Q349" s="5">
        <f>P349*D349*3</f>
        <v>69.3</v>
      </c>
      <c r="S349" t="s">
        <v>6449</v>
      </c>
      <c r="T349">
        <v>8.1999999999999993</v>
      </c>
      <c r="U349" s="8">
        <f>T349*D349*3</f>
        <v>81.179999999999978</v>
      </c>
      <c r="V349">
        <v>34.11</v>
      </c>
      <c r="W349">
        <v>8.4</v>
      </c>
      <c r="X349" s="5">
        <f>W349*D349*3</f>
        <v>83.16</v>
      </c>
      <c r="Y349">
        <v>12.44</v>
      </c>
      <c r="Z349">
        <v>6.7</v>
      </c>
      <c r="AA349">
        <f>Z349*D349*3</f>
        <v>66.33</v>
      </c>
      <c r="AC349">
        <v>136.72999999999999</v>
      </c>
      <c r="AD349">
        <v>7.9</v>
      </c>
      <c r="AE349" s="1">
        <f>AD349*3*D349</f>
        <v>78.210000000000008</v>
      </c>
      <c r="AF349">
        <v>13.21</v>
      </c>
      <c r="AG349" s="5">
        <v>7</v>
      </c>
      <c r="AH349" s="5">
        <f>AG349*D349*3</f>
        <v>69.3</v>
      </c>
      <c r="AI349" s="13"/>
      <c r="AJ349">
        <v>34</v>
      </c>
      <c r="AK349" s="8">
        <f>AJ349*D349*3</f>
        <v>336.59999999999997</v>
      </c>
      <c r="AL349" s="13"/>
      <c r="AM349">
        <v>30.52</v>
      </c>
      <c r="AN349">
        <v>7</v>
      </c>
      <c r="AO349" s="8">
        <f>AN349*D349*3</f>
        <v>69.3</v>
      </c>
      <c r="AP349">
        <v>12.51</v>
      </c>
      <c r="AQ349">
        <v>10</v>
      </c>
      <c r="AR349">
        <f>AQ349*D349*3</f>
        <v>99</v>
      </c>
      <c r="AT349">
        <v>8.1</v>
      </c>
      <c r="AU349">
        <f>AT349*D349*3</f>
        <v>80.19</v>
      </c>
      <c r="AX349">
        <v>9.3000000000000007</v>
      </c>
      <c r="AY349">
        <f>AX349*D349*3</f>
        <v>92.070000000000007</v>
      </c>
      <c r="BA349">
        <v>9</v>
      </c>
      <c r="BB349">
        <f>BA349*D349*3</f>
        <v>89.1</v>
      </c>
      <c r="BD349">
        <v>8.6999999999999993</v>
      </c>
      <c r="BE349">
        <f>BD349*D349*3</f>
        <v>86.13</v>
      </c>
      <c r="BG349" s="10"/>
      <c r="BH349" s="1">
        <f>CHOOSE(MATCH(MIN(ABS(BP349-C349),ABS(BQ349-C349),ABS(BR349-C349)),CHOOSE({1;2;3},ABS(BP349-C349),ABS(BQ349-C349),ABS(BR349-C349)),0),BP349,BQ349,BR349)</f>
        <v>39.599999999999994</v>
      </c>
      <c r="BJ349" s="1" cm="1">
        <f t="array" ref="BJ349">(INDEX(_xlfn._xlws.SORT(CHOOSE({1;2;3;4;5;6},BQ349,BR349,L349,AE349,BO349,BP349)),3) + INDEX(_xlfn._xlws.SORT(CHOOSE({1;2;3;4;5;6},BQ349,BR349,L349,AE349,BO349,BP349)),4))/2</f>
        <v>78.704999999999998</v>
      </c>
      <c r="BK349">
        <v>7.4937920059743597</v>
      </c>
      <c r="BL349" s="11" t="s">
        <v>6116</v>
      </c>
      <c r="BM349" s="1">
        <f>BK349*3*D349</f>
        <v>74.188540859146158</v>
      </c>
      <c r="BN349" s="1">
        <f>BM349-C349</f>
        <v>31.28854085914616</v>
      </c>
      <c r="BO349" s="1">
        <f>GK349*3*D349</f>
        <v>51.974999999999994</v>
      </c>
      <c r="BP349" s="1">
        <f>DO349*3*D349</f>
        <v>89.1</v>
      </c>
      <c r="BQ349" s="1">
        <f>FJ349*3*D349</f>
        <v>79.199999999999989</v>
      </c>
      <c r="BR349" s="1">
        <f>GL349*3*D349</f>
        <v>39.599999999999994</v>
      </c>
      <c r="BT349">
        <v>36.47</v>
      </c>
      <c r="BU349">
        <v>8</v>
      </c>
      <c r="BV349" t="s">
        <v>5986</v>
      </c>
      <c r="BW349" t="s">
        <v>5342</v>
      </c>
      <c r="BX349" t="s">
        <v>5987</v>
      </c>
      <c r="BY349" t="s">
        <v>5988</v>
      </c>
      <c r="CA349" t="s">
        <v>2723</v>
      </c>
      <c r="CC349" t="s">
        <v>2438</v>
      </c>
      <c r="CD349" t="s">
        <v>2533</v>
      </c>
      <c r="CE349" t="s">
        <v>2440</v>
      </c>
      <c r="CG349" t="s">
        <v>2441</v>
      </c>
      <c r="CH349" t="s">
        <v>2534</v>
      </c>
      <c r="CI349" t="s">
        <v>3607</v>
      </c>
      <c r="CK349" t="s">
        <v>2444</v>
      </c>
      <c r="CL349" t="s">
        <v>2536</v>
      </c>
      <c r="CM349" t="s">
        <v>2521</v>
      </c>
      <c r="CO349" t="s">
        <v>2447</v>
      </c>
      <c r="CP349" t="s">
        <v>2537</v>
      </c>
      <c r="CQ349" t="s">
        <v>2449</v>
      </c>
      <c r="CS349" t="s">
        <v>2450</v>
      </c>
      <c r="CT349" t="s">
        <v>2539</v>
      </c>
      <c r="CV349">
        <v>9</v>
      </c>
      <c r="CW349">
        <v>9</v>
      </c>
      <c r="CX349">
        <v>9</v>
      </c>
      <c r="CY349">
        <v>9</v>
      </c>
      <c r="CZ349">
        <v>9</v>
      </c>
      <c r="DA349">
        <v>0.1</v>
      </c>
      <c r="DB349">
        <v>0.1</v>
      </c>
      <c r="DC349">
        <v>0.2</v>
      </c>
      <c r="DD349">
        <v>0.3</v>
      </c>
      <c r="DE349">
        <v>0.3</v>
      </c>
      <c r="DF349">
        <v>0.9</v>
      </c>
      <c r="DG349">
        <v>0.9</v>
      </c>
      <c r="DH349">
        <v>1.8</v>
      </c>
      <c r="DI349">
        <v>2.7</v>
      </c>
      <c r="DJ349">
        <v>2.7</v>
      </c>
      <c r="DK349">
        <v>8</v>
      </c>
      <c r="DL349">
        <v>0</v>
      </c>
      <c r="DM349">
        <v>8</v>
      </c>
      <c r="DN349">
        <v>9</v>
      </c>
      <c r="DO349">
        <f>AVERAGE(CV349:CZ349)</f>
        <v>9</v>
      </c>
      <c r="DQ349">
        <v>8</v>
      </c>
      <c r="DR349" t="s">
        <v>38</v>
      </c>
      <c r="DS349" t="s">
        <v>384</v>
      </c>
      <c r="DT349" t="s">
        <v>526</v>
      </c>
      <c r="DU349" t="s">
        <v>484</v>
      </c>
      <c r="DV349" t="s">
        <v>527</v>
      </c>
      <c r="DW349" t="s">
        <v>3805</v>
      </c>
      <c r="DX349" t="s">
        <v>3770</v>
      </c>
      <c r="DY349" t="s">
        <v>3771</v>
      </c>
      <c r="DZ349" t="s">
        <v>3772</v>
      </c>
      <c r="EA349" t="s">
        <v>3806</v>
      </c>
      <c r="EB349" t="s">
        <v>3807</v>
      </c>
      <c r="EC349" t="s">
        <v>3775</v>
      </c>
      <c r="ED349" t="s">
        <v>3776</v>
      </c>
      <c r="EE349" t="s">
        <v>3819</v>
      </c>
      <c r="EF349" t="s">
        <v>3967</v>
      </c>
      <c r="EG349" t="s">
        <v>3810</v>
      </c>
      <c r="EH349" t="s">
        <v>3811</v>
      </c>
      <c r="EI349" t="s">
        <v>3820</v>
      </c>
      <c r="EJ349" t="s">
        <v>3813</v>
      </c>
      <c r="EK349" t="s">
        <v>3821</v>
      </c>
      <c r="EL349" t="s">
        <v>3822</v>
      </c>
      <c r="EM349" t="s">
        <v>3816</v>
      </c>
      <c r="EN349" t="s">
        <v>3967</v>
      </c>
      <c r="EO349" t="s">
        <v>4252</v>
      </c>
      <c r="EP349" t="s">
        <v>3811</v>
      </c>
      <c r="EQ349">
        <v>7</v>
      </c>
      <c r="ER349">
        <v>8</v>
      </c>
      <c r="ES349">
        <v>8</v>
      </c>
      <c r="ET349">
        <v>8</v>
      </c>
      <c r="EU349">
        <v>8</v>
      </c>
      <c r="EV349">
        <v>0.1</v>
      </c>
      <c r="EW349">
        <v>0.1</v>
      </c>
      <c r="EX349">
        <v>0.2</v>
      </c>
      <c r="EY349">
        <v>0.3</v>
      </c>
      <c r="EZ349">
        <v>0.3</v>
      </c>
      <c r="FA349">
        <f>EV349*EQ349</f>
        <v>0.70000000000000007</v>
      </c>
      <c r="FB349">
        <f>EW349*ER349</f>
        <v>0.8</v>
      </c>
      <c r="FC349">
        <f>EX349*ES349</f>
        <v>1.6</v>
      </c>
      <c r="FD349">
        <f>EY349*ET349</f>
        <v>2.4</v>
      </c>
      <c r="FE349">
        <f>EZ349*EU349</f>
        <v>2.4</v>
      </c>
      <c r="FF349">
        <v>15</v>
      </c>
      <c r="FG349">
        <v>0</v>
      </c>
      <c r="FH349">
        <v>15</v>
      </c>
      <c r="FI349">
        <f>FA349+FB349+FC349+FD349+FE349</f>
        <v>7.9</v>
      </c>
      <c r="FJ349">
        <f>MEDIAN(EQ349:EU349)</f>
        <v>8</v>
      </c>
      <c r="FL349">
        <v>39.67</v>
      </c>
      <c r="FM349">
        <v>9</v>
      </c>
      <c r="FN349" t="s">
        <v>2138</v>
      </c>
      <c r="FO349" t="s">
        <v>2139</v>
      </c>
      <c r="FP349" t="s">
        <v>2140</v>
      </c>
      <c r="FQ349" t="s">
        <v>2141</v>
      </c>
      <c r="FR349" t="s">
        <v>2142</v>
      </c>
      <c r="FS349">
        <v>2.5</v>
      </c>
      <c r="FT349">
        <v>3</v>
      </c>
      <c r="FU349">
        <v>4</v>
      </c>
      <c r="FV349">
        <v>6</v>
      </c>
      <c r="FW349">
        <v>7</v>
      </c>
      <c r="FX349">
        <v>0.1</v>
      </c>
      <c r="FY349">
        <v>0.1</v>
      </c>
      <c r="FZ349">
        <v>0.2</v>
      </c>
      <c r="GA349">
        <v>0.3</v>
      </c>
      <c r="GB349">
        <v>0.3</v>
      </c>
      <c r="GC349">
        <f>FS349*FX349</f>
        <v>0.25</v>
      </c>
      <c r="GD349">
        <f>FT349*FY349</f>
        <v>0.30000000000000004</v>
      </c>
      <c r="GE349">
        <f>FU349*FZ349</f>
        <v>0.8</v>
      </c>
      <c r="GF349">
        <f>FV349*GA349</f>
        <v>1.7999999999999998</v>
      </c>
      <c r="GG349">
        <f>FW349*GB349</f>
        <v>2.1</v>
      </c>
      <c r="GH349">
        <v>9</v>
      </c>
      <c r="GI349">
        <v>0</v>
      </c>
      <c r="GJ349">
        <v>9</v>
      </c>
      <c r="GK349">
        <f>GC349+GD349+GE349+GF349+GG349</f>
        <v>5.25</v>
      </c>
      <c r="GL349">
        <f>MEDIAN(FS349:FW349)</f>
        <v>4</v>
      </c>
    </row>
    <row r="350" spans="1:194" hidden="1" x14ac:dyDescent="0.25">
      <c r="A350">
        <v>349</v>
      </c>
      <c r="B350" t="s">
        <v>2</v>
      </c>
      <c r="C350" s="4">
        <v>68.8</v>
      </c>
      <c r="D350">
        <v>3.2</v>
      </c>
      <c r="E350" s="1">
        <f>C350/3/D350</f>
        <v>7.1666666666666661</v>
      </c>
      <c r="G350">
        <v>36.04</v>
      </c>
      <c r="H350">
        <v>8</v>
      </c>
      <c r="I350">
        <f>H350*D350*3</f>
        <v>76.800000000000011</v>
      </c>
      <c r="J350">
        <v>18.29</v>
      </c>
      <c r="K350">
        <v>9</v>
      </c>
      <c r="L350" s="3">
        <f>K350*3*D350</f>
        <v>86.4</v>
      </c>
      <c r="M350">
        <v>6.22</v>
      </c>
      <c r="N350">
        <v>5</v>
      </c>
      <c r="O350">
        <f>N350*D350*3</f>
        <v>48</v>
      </c>
      <c r="P350" s="5">
        <v>8.6999999999999993</v>
      </c>
      <c r="Q350" s="5">
        <f>P350*D350*3</f>
        <v>83.52</v>
      </c>
      <c r="S350" t="s">
        <v>6471</v>
      </c>
      <c r="T350">
        <v>8.1999999999999993</v>
      </c>
      <c r="U350" s="8">
        <f>T350*D350*3</f>
        <v>78.72</v>
      </c>
      <c r="V350">
        <v>39.68</v>
      </c>
      <c r="W350">
        <v>8.6999999999999993</v>
      </c>
      <c r="X350" s="5">
        <f>W350*D350*3</f>
        <v>83.52</v>
      </c>
      <c r="Y350">
        <v>12.57</v>
      </c>
      <c r="Z350">
        <v>7.6</v>
      </c>
      <c r="AA350">
        <f>Z350*D350*3</f>
        <v>72.960000000000008</v>
      </c>
      <c r="AC350">
        <v>126.94</v>
      </c>
      <c r="AD350">
        <v>7</v>
      </c>
      <c r="AE350" s="1">
        <f>AD350*3*D350</f>
        <v>67.2</v>
      </c>
      <c r="AF350">
        <v>12</v>
      </c>
      <c r="AG350" s="5">
        <v>7</v>
      </c>
      <c r="AH350" s="5">
        <f>AG350*D350*3</f>
        <v>67.2</v>
      </c>
      <c r="AI350" s="13"/>
      <c r="AJ350">
        <v>21</v>
      </c>
      <c r="AK350" s="8">
        <f>AJ350*D350*3</f>
        <v>201.60000000000002</v>
      </c>
      <c r="AL350" s="13"/>
      <c r="AM350">
        <v>30.85</v>
      </c>
      <c r="AN350">
        <v>7.1</v>
      </c>
      <c r="AO350" s="8">
        <f>AN350*D350*3</f>
        <v>68.16</v>
      </c>
      <c r="AP350">
        <v>15.1</v>
      </c>
      <c r="AQ350">
        <v>10</v>
      </c>
      <c r="AR350">
        <f>AQ350*D350*3</f>
        <v>96</v>
      </c>
      <c r="AT350">
        <v>9.1</v>
      </c>
      <c r="AU350">
        <f>AT350*D350*3</f>
        <v>87.36</v>
      </c>
      <c r="AX350">
        <v>9.4</v>
      </c>
      <c r="AY350">
        <f>AX350*D350*3</f>
        <v>90.240000000000009</v>
      </c>
      <c r="BA350">
        <v>8.6</v>
      </c>
      <c r="BB350">
        <f>BA350*D350*3</f>
        <v>82.56</v>
      </c>
      <c r="BC350">
        <v>30.15</v>
      </c>
      <c r="BD350">
        <v>8.3000000000000007</v>
      </c>
      <c r="BE350">
        <f>BD350*D350*3</f>
        <v>79.680000000000007</v>
      </c>
      <c r="BG350" s="10"/>
      <c r="BH350" s="1">
        <f>CHOOSE(MATCH(MIN(ABS(BP350-C350),ABS(BQ350-C350),ABS(BR350-C350)),CHOOSE({1;2;3},ABS(BP350-C350),ABS(BQ350-C350),ABS(BR350-C350)),0),BP350,BQ350,BR350)</f>
        <v>67.2</v>
      </c>
      <c r="BJ350" s="1" cm="1">
        <f t="array" ref="BJ350">(INDEX(_xlfn._xlws.SORT(CHOOSE({1;2;3;4;5;6},BQ350,BR350,L350,AE350,BO350,BP350)),3) + INDEX(_xlfn._xlws.SORT(CHOOSE({1;2;3;4;5;6},BQ350,BR350,L350,AE350,BO350,BP350)),4))/2</f>
        <v>67.2</v>
      </c>
      <c r="BK350">
        <v>7.1970548959349596</v>
      </c>
      <c r="BL350" t="s">
        <v>6117</v>
      </c>
      <c r="BM350" s="1">
        <f>BK350*3*D350</f>
        <v>69.091727000975609</v>
      </c>
      <c r="BN350" s="1">
        <f>BM350-C350</f>
        <v>0.29172700097561233</v>
      </c>
      <c r="BO350" s="1">
        <f>GK350*3*D350</f>
        <v>55.68</v>
      </c>
      <c r="BP350" s="1">
        <f>DO350*3*D350</f>
        <v>86.4</v>
      </c>
      <c r="BQ350" s="1">
        <f>FJ350*3*D350</f>
        <v>67.2</v>
      </c>
      <c r="BR350" s="1">
        <f>GL350*3*D350</f>
        <v>57.6</v>
      </c>
      <c r="BT350">
        <v>36.04</v>
      </c>
      <c r="BU350">
        <v>8</v>
      </c>
      <c r="BV350" t="s">
        <v>5355</v>
      </c>
      <c r="BW350" t="s">
        <v>5836</v>
      </c>
      <c r="BX350" t="s">
        <v>5837</v>
      </c>
      <c r="BY350" t="s">
        <v>6041</v>
      </c>
      <c r="BZ350" t="s">
        <v>6042</v>
      </c>
      <c r="CA350" t="s">
        <v>2437</v>
      </c>
      <c r="CC350" t="s">
        <v>2518</v>
      </c>
      <c r="CD350" t="s">
        <v>2508</v>
      </c>
      <c r="CE350" t="s">
        <v>2440</v>
      </c>
      <c r="CG350" t="s">
        <v>2509</v>
      </c>
      <c r="CH350" t="s">
        <v>2510</v>
      </c>
      <c r="CI350" t="s">
        <v>2443</v>
      </c>
      <c r="CK350" t="s">
        <v>2511</v>
      </c>
      <c r="CL350" t="s">
        <v>2512</v>
      </c>
      <c r="CM350" t="s">
        <v>2446</v>
      </c>
      <c r="CO350" t="s">
        <v>2513</v>
      </c>
      <c r="CP350" t="s">
        <v>2514</v>
      </c>
      <c r="CQ350" t="s">
        <v>2449</v>
      </c>
      <c r="CS350" t="s">
        <v>2523</v>
      </c>
      <c r="CT350" t="s">
        <v>2524</v>
      </c>
      <c r="CV350">
        <v>9</v>
      </c>
      <c r="CW350">
        <v>9</v>
      </c>
      <c r="CX350">
        <v>9</v>
      </c>
      <c r="CY350">
        <v>9</v>
      </c>
      <c r="CZ350">
        <v>9</v>
      </c>
      <c r="DA350">
        <v>0.1</v>
      </c>
      <c r="DB350">
        <v>0.1</v>
      </c>
      <c r="DC350">
        <v>0.2</v>
      </c>
      <c r="DD350">
        <v>0.3</v>
      </c>
      <c r="DE350">
        <v>0.3</v>
      </c>
      <c r="DF350">
        <v>0.9</v>
      </c>
      <c r="DG350">
        <v>0.9</v>
      </c>
      <c r="DH350">
        <v>1.8</v>
      </c>
      <c r="DI350">
        <v>2.7</v>
      </c>
      <c r="DJ350">
        <v>2.7</v>
      </c>
      <c r="DK350">
        <v>8</v>
      </c>
      <c r="DL350">
        <v>0</v>
      </c>
      <c r="DM350">
        <v>8</v>
      </c>
      <c r="DN350">
        <v>9</v>
      </c>
      <c r="DO350">
        <f>AVERAGE(CV350:CZ350)</f>
        <v>9</v>
      </c>
      <c r="DQ350">
        <v>7</v>
      </c>
      <c r="DR350" t="s">
        <v>65</v>
      </c>
      <c r="DS350" t="s">
        <v>66</v>
      </c>
      <c r="DT350" t="s">
        <v>123</v>
      </c>
      <c r="DU350" t="s">
        <v>80</v>
      </c>
      <c r="DV350" t="s">
        <v>124</v>
      </c>
      <c r="DW350" t="s">
        <v>3836</v>
      </c>
      <c r="DX350" t="s">
        <v>3770</v>
      </c>
      <c r="DY350" t="s">
        <v>4951</v>
      </c>
      <c r="DZ350" t="s">
        <v>4952</v>
      </c>
      <c r="EA350" t="s">
        <v>3860</v>
      </c>
      <c r="EB350" t="s">
        <v>3807</v>
      </c>
      <c r="EC350" t="s">
        <v>4953</v>
      </c>
      <c r="ED350" t="s">
        <v>4954</v>
      </c>
      <c r="EE350" t="s">
        <v>3819</v>
      </c>
      <c r="EF350" t="s">
        <v>3967</v>
      </c>
      <c r="EG350" t="s">
        <v>4048</v>
      </c>
      <c r="EH350" t="s">
        <v>4955</v>
      </c>
      <c r="EI350" t="s">
        <v>4105</v>
      </c>
      <c r="EJ350" t="s">
        <v>3813</v>
      </c>
      <c r="EK350" t="s">
        <v>4049</v>
      </c>
      <c r="EL350" t="s">
        <v>4956</v>
      </c>
      <c r="EM350" t="s">
        <v>3816</v>
      </c>
      <c r="EN350" t="s">
        <v>3931</v>
      </c>
      <c r="EO350" t="s">
        <v>4164</v>
      </c>
      <c r="EP350" t="s">
        <v>4018</v>
      </c>
      <c r="EQ350">
        <v>7</v>
      </c>
      <c r="ER350">
        <v>7</v>
      </c>
      <c r="ES350">
        <v>7</v>
      </c>
      <c r="ET350">
        <v>7</v>
      </c>
      <c r="EU350">
        <v>7</v>
      </c>
      <c r="EV350">
        <v>0.1</v>
      </c>
      <c r="EW350">
        <v>0.1</v>
      </c>
      <c r="EX350">
        <v>0.2</v>
      </c>
      <c r="EY350">
        <v>0.3</v>
      </c>
      <c r="EZ350">
        <v>0.3</v>
      </c>
      <c r="FA350">
        <f>EV350*EQ350</f>
        <v>0.70000000000000007</v>
      </c>
      <c r="FB350">
        <f>EW350*ER350</f>
        <v>0.70000000000000007</v>
      </c>
      <c r="FC350">
        <f>EX350*ES350</f>
        <v>1.4000000000000001</v>
      </c>
      <c r="FD350">
        <f>EY350*ET350</f>
        <v>2.1</v>
      </c>
      <c r="FE350">
        <f>EZ350*EU350</f>
        <v>2.1</v>
      </c>
      <c r="FF350">
        <v>14</v>
      </c>
      <c r="FG350">
        <v>0</v>
      </c>
      <c r="FH350">
        <v>7</v>
      </c>
      <c r="FI350">
        <f>FA350+FB350+FC350+FD350+FE350</f>
        <v>7</v>
      </c>
      <c r="FJ350">
        <f>MEDIAN(EQ350:EU350)</f>
        <v>7</v>
      </c>
      <c r="FL350">
        <v>39.94</v>
      </c>
      <c r="FM350">
        <v>5.6</v>
      </c>
      <c r="FN350" t="s">
        <v>2258</v>
      </c>
      <c r="FO350" t="s">
        <v>2259</v>
      </c>
      <c r="FP350" t="s">
        <v>2260</v>
      </c>
      <c r="FQ350" t="s">
        <v>2261</v>
      </c>
      <c r="FR350" t="s">
        <v>2262</v>
      </c>
      <c r="FS350">
        <v>5</v>
      </c>
      <c r="FT350">
        <v>8</v>
      </c>
      <c r="FU350">
        <v>6</v>
      </c>
      <c r="FV350">
        <v>7</v>
      </c>
      <c r="FW350">
        <v>4</v>
      </c>
      <c r="FX350">
        <v>0.1</v>
      </c>
      <c r="FY350">
        <v>0.1</v>
      </c>
      <c r="FZ350">
        <v>0.2</v>
      </c>
      <c r="GA350">
        <v>0.3</v>
      </c>
      <c r="GB350">
        <v>0.3</v>
      </c>
      <c r="GC350">
        <f>FS350*FX350</f>
        <v>0.5</v>
      </c>
      <c r="GD350">
        <f>FT350*FY350</f>
        <v>0.8</v>
      </c>
      <c r="GE350">
        <f>FU350*FZ350</f>
        <v>1.2000000000000002</v>
      </c>
      <c r="GF350">
        <f>FV350*GA350</f>
        <v>2.1</v>
      </c>
      <c r="GG350">
        <f>FW350*GB350</f>
        <v>1.2</v>
      </c>
      <c r="GH350">
        <v>5.6</v>
      </c>
      <c r="GJ350">
        <v>5.6</v>
      </c>
      <c r="GK350">
        <f>GC350+GD350+GE350+GF350+GG350</f>
        <v>5.8</v>
      </c>
      <c r="GL350">
        <f>MEDIAN(FS350:FW350)</f>
        <v>6</v>
      </c>
    </row>
    <row r="351" spans="1:194" hidden="1" x14ac:dyDescent="0.25">
      <c r="A351">
        <v>350</v>
      </c>
      <c r="B351" t="s">
        <v>2</v>
      </c>
      <c r="C351" s="4">
        <v>86.4</v>
      </c>
      <c r="D351">
        <v>3.6</v>
      </c>
      <c r="E351" s="1">
        <f>C351/3/D351</f>
        <v>8</v>
      </c>
      <c r="G351">
        <v>81.760000000000005</v>
      </c>
      <c r="H351">
        <v>8.6999999999999993</v>
      </c>
      <c r="I351">
        <f>H351*D351*3</f>
        <v>93.96</v>
      </c>
      <c r="J351">
        <v>17.72</v>
      </c>
      <c r="K351">
        <v>8.4</v>
      </c>
      <c r="L351" s="3">
        <f>K351*3*D351</f>
        <v>90.720000000000013</v>
      </c>
      <c r="M351">
        <v>5.0999999999999996</v>
      </c>
      <c r="N351">
        <v>5</v>
      </c>
      <c r="O351">
        <f>N351*D351*3</f>
        <v>54</v>
      </c>
      <c r="P351" s="5">
        <v>7.5</v>
      </c>
      <c r="Q351" s="5">
        <f>P351*D351*3</f>
        <v>81</v>
      </c>
      <c r="S351" t="s">
        <v>6472</v>
      </c>
      <c r="T351">
        <v>8.1999999999999993</v>
      </c>
      <c r="U351" s="8">
        <f>T351*D351*3</f>
        <v>88.56</v>
      </c>
      <c r="V351">
        <v>39.770000000000003</v>
      </c>
      <c r="W351">
        <v>8.4</v>
      </c>
      <c r="X351" s="5">
        <f>W351*D351*3</f>
        <v>90.72</v>
      </c>
      <c r="Y351">
        <v>9.31</v>
      </c>
      <c r="Z351">
        <v>7.8</v>
      </c>
      <c r="AA351">
        <f>Z351*D351*3</f>
        <v>84.24</v>
      </c>
      <c r="AC351">
        <v>144.18</v>
      </c>
      <c r="AD351">
        <v>8</v>
      </c>
      <c r="AE351" s="1">
        <f>AD351*3*D351</f>
        <v>86.4</v>
      </c>
      <c r="AF351">
        <v>11.9</v>
      </c>
      <c r="AG351" s="5">
        <v>7</v>
      </c>
      <c r="AH351" s="5">
        <f>AG351*D351*3</f>
        <v>75.599999999999994</v>
      </c>
      <c r="AI351" s="13"/>
      <c r="AJ351">
        <v>21</v>
      </c>
      <c r="AK351" s="8">
        <f>AJ351*D351*3</f>
        <v>226.8</v>
      </c>
      <c r="AL351" s="13"/>
      <c r="AM351">
        <v>31.67</v>
      </c>
      <c r="AN351">
        <v>7.2</v>
      </c>
      <c r="AO351" s="8">
        <f>AN351*D351*3</f>
        <v>77.760000000000005</v>
      </c>
      <c r="AP351">
        <v>12.24</v>
      </c>
      <c r="AQ351">
        <v>10</v>
      </c>
      <c r="AR351">
        <f>AQ351*D351*3</f>
        <v>108</v>
      </c>
      <c r="AT351">
        <v>9</v>
      </c>
      <c r="AU351">
        <f>AT351*D351*3</f>
        <v>97.199999999999989</v>
      </c>
      <c r="AX351">
        <v>9.1</v>
      </c>
      <c r="AY351">
        <f>AX351*D351*3</f>
        <v>98.28</v>
      </c>
      <c r="BA351">
        <v>9</v>
      </c>
      <c r="BB351">
        <f>BA351*D351*3</f>
        <v>97.199999999999989</v>
      </c>
      <c r="BC351">
        <v>30.7</v>
      </c>
      <c r="BD351">
        <v>8.6</v>
      </c>
      <c r="BE351">
        <f>BD351*D351*3</f>
        <v>92.88</v>
      </c>
      <c r="BG351" s="10"/>
      <c r="BH351" s="1">
        <f>CHOOSE(MATCH(MIN(ABS(BP351-C351),ABS(BQ351-C351),ABS(BR351-C351)),CHOOSE({1;2;3},ABS(BP351-C351),ABS(BQ351-C351),ABS(BR351-C351)),0),BP351,BQ351,BR351)</f>
        <v>86.4</v>
      </c>
      <c r="BJ351" s="1" cm="1">
        <f t="array" ref="BJ351">(INDEX(_xlfn._xlws.SORT(CHOOSE({1;2;3;4;5;6},BQ351,BR351,L351,AE351,BO351,BP351)),3) + INDEX(_xlfn._xlws.SORT(CHOOSE({1;2;3;4;5;6},BQ351,BR351,L351,AE351,BO351,BP351)),4))/2</f>
        <v>92.88000000000001</v>
      </c>
      <c r="BK351">
        <v>7.9747909430923301</v>
      </c>
      <c r="BL351" t="s">
        <v>6117</v>
      </c>
      <c r="BM351" s="1">
        <f>BK351*3*D351</f>
        <v>86.127742185397167</v>
      </c>
      <c r="BN351" s="1">
        <f>BM351-C351</f>
        <v>-0.27225781460283827</v>
      </c>
      <c r="BO351" s="1">
        <f>GK351*3*D351</f>
        <v>104.75999999999999</v>
      </c>
      <c r="BP351" s="1">
        <f>DO351*3*D351</f>
        <v>95.04</v>
      </c>
      <c r="BQ351" s="1">
        <f>FJ351*3*D351</f>
        <v>86.4</v>
      </c>
      <c r="BR351" s="1">
        <f>GL351*3*D351</f>
        <v>108</v>
      </c>
      <c r="BT351">
        <v>81.760000000000005</v>
      </c>
      <c r="BU351">
        <v>8.6999999999999993</v>
      </c>
      <c r="BV351" t="s">
        <v>5746</v>
      </c>
      <c r="BW351" t="s">
        <v>5004</v>
      </c>
      <c r="BX351" t="s">
        <v>5327</v>
      </c>
      <c r="BY351" t="s">
        <v>5891</v>
      </c>
      <c r="BZ351" t="s">
        <v>5892</v>
      </c>
      <c r="CA351" t="s">
        <v>2550</v>
      </c>
      <c r="CC351" t="s">
        <v>2634</v>
      </c>
      <c r="CD351" t="s">
        <v>2635</v>
      </c>
      <c r="CE351" t="s">
        <v>3034</v>
      </c>
      <c r="CG351" t="s">
        <v>2634</v>
      </c>
      <c r="CH351" t="s">
        <v>2637</v>
      </c>
      <c r="CI351" t="s">
        <v>2774</v>
      </c>
      <c r="CK351" t="s">
        <v>2634</v>
      </c>
      <c r="CL351" t="s">
        <v>2994</v>
      </c>
      <c r="CM351" t="s">
        <v>3280</v>
      </c>
      <c r="CO351" t="s">
        <v>2634</v>
      </c>
      <c r="CP351" t="s">
        <v>3035</v>
      </c>
      <c r="CQ351" t="s">
        <v>2607</v>
      </c>
      <c r="CR351" t="s">
        <v>2837</v>
      </c>
      <c r="CS351" t="s">
        <v>3548</v>
      </c>
      <c r="CT351" t="s">
        <v>3698</v>
      </c>
      <c r="CV351">
        <v>9</v>
      </c>
      <c r="CW351">
        <v>9</v>
      </c>
      <c r="CX351">
        <v>9</v>
      </c>
      <c r="CY351">
        <v>9</v>
      </c>
      <c r="CZ351">
        <v>8</v>
      </c>
      <c r="DA351">
        <v>0.1</v>
      </c>
      <c r="DB351">
        <v>0.1</v>
      </c>
      <c r="DC351">
        <v>0.2</v>
      </c>
      <c r="DD351">
        <v>0.3</v>
      </c>
      <c r="DE351">
        <v>0.3</v>
      </c>
      <c r="DF351">
        <v>0.9</v>
      </c>
      <c r="DG351">
        <v>0.9</v>
      </c>
      <c r="DH351">
        <v>1.8</v>
      </c>
      <c r="DI351">
        <v>2.7</v>
      </c>
      <c r="DJ351">
        <v>2.4</v>
      </c>
      <c r="DK351">
        <v>8.6999999999999993</v>
      </c>
      <c r="DL351">
        <v>0</v>
      </c>
      <c r="DM351">
        <v>8.6999999999999993</v>
      </c>
      <c r="DN351">
        <v>8.4</v>
      </c>
      <c r="DO351">
        <f>AVERAGE(CV351:CZ351)</f>
        <v>8.8000000000000007</v>
      </c>
      <c r="DQ351">
        <v>8</v>
      </c>
      <c r="DR351" t="s">
        <v>33</v>
      </c>
      <c r="DS351" t="s">
        <v>223</v>
      </c>
      <c r="DT351" t="s">
        <v>35</v>
      </c>
      <c r="DU351" t="s">
        <v>371</v>
      </c>
      <c r="DV351" t="s">
        <v>200</v>
      </c>
      <c r="DW351" t="s">
        <v>3788</v>
      </c>
      <c r="DX351" t="s">
        <v>3789</v>
      </c>
      <c r="DY351" t="s">
        <v>3790</v>
      </c>
      <c r="DZ351" t="s">
        <v>3791</v>
      </c>
      <c r="EA351" t="s">
        <v>3792</v>
      </c>
      <c r="EB351" t="s">
        <v>3793</v>
      </c>
      <c r="EC351" t="s">
        <v>4261</v>
      </c>
      <c r="ED351" t="s">
        <v>3795</v>
      </c>
      <c r="EE351" t="s">
        <v>3796</v>
      </c>
      <c r="EF351" t="s">
        <v>3797</v>
      </c>
      <c r="EG351" t="s">
        <v>3798</v>
      </c>
      <c r="EH351" t="s">
        <v>3798</v>
      </c>
      <c r="EI351" t="s">
        <v>4194</v>
      </c>
      <c r="EJ351" t="s">
        <v>3800</v>
      </c>
      <c r="EK351" t="s">
        <v>4573</v>
      </c>
      <c r="EL351" t="s">
        <v>4573</v>
      </c>
      <c r="EM351" t="s">
        <v>4227</v>
      </c>
      <c r="EN351" t="s">
        <v>3803</v>
      </c>
      <c r="EO351" t="s">
        <v>4228</v>
      </c>
      <c r="EP351" t="s">
        <v>4262</v>
      </c>
      <c r="EQ351">
        <v>8</v>
      </c>
      <c r="ER351">
        <v>8</v>
      </c>
      <c r="ES351">
        <v>8</v>
      </c>
      <c r="ET351">
        <v>8</v>
      </c>
      <c r="EU351">
        <v>8</v>
      </c>
      <c r="EV351">
        <v>0.1</v>
      </c>
      <c r="EW351">
        <v>0.1</v>
      </c>
      <c r="EX351">
        <v>0.2</v>
      </c>
      <c r="EY351">
        <v>0.3</v>
      </c>
      <c r="EZ351">
        <v>0.3</v>
      </c>
      <c r="FA351">
        <f>EV351*EQ351</f>
        <v>0.8</v>
      </c>
      <c r="FB351">
        <f>EW351*ER351</f>
        <v>0.8</v>
      </c>
      <c r="FC351">
        <f>EX351*ES351</f>
        <v>1.6</v>
      </c>
      <c r="FD351">
        <f>EY351*ET351</f>
        <v>2.4</v>
      </c>
      <c r="FE351">
        <f>EZ351*EU351</f>
        <v>2.4</v>
      </c>
      <c r="FF351">
        <v>16</v>
      </c>
      <c r="FG351">
        <v>0</v>
      </c>
      <c r="FH351">
        <v>8</v>
      </c>
      <c r="FI351">
        <f>FA351+FB351+FC351+FD351+FE351</f>
        <v>8</v>
      </c>
      <c r="FJ351">
        <f>MEDIAN(EQ351:EU351)</f>
        <v>8</v>
      </c>
      <c r="FL351">
        <v>75.44</v>
      </c>
      <c r="FM351">
        <v>10.4</v>
      </c>
      <c r="FN351" t="s">
        <v>1150</v>
      </c>
      <c r="FO351" t="s">
        <v>2263</v>
      </c>
      <c r="FP351" t="s">
        <v>2264</v>
      </c>
      <c r="FQ351" t="s">
        <v>2265</v>
      </c>
      <c r="FR351" t="s">
        <v>2266</v>
      </c>
      <c r="FS351">
        <v>10</v>
      </c>
      <c r="FT351">
        <v>10</v>
      </c>
      <c r="FU351">
        <v>10</v>
      </c>
      <c r="FV351">
        <v>9</v>
      </c>
      <c r="FW351">
        <v>10</v>
      </c>
      <c r="FX351">
        <v>0.1</v>
      </c>
      <c r="FY351">
        <v>0.1</v>
      </c>
      <c r="FZ351">
        <v>0.2</v>
      </c>
      <c r="GA351">
        <v>0.3</v>
      </c>
      <c r="GB351">
        <v>0.3</v>
      </c>
      <c r="GC351">
        <f>FS351*FX351</f>
        <v>1</v>
      </c>
      <c r="GD351">
        <f>FT351*FY351</f>
        <v>1</v>
      </c>
      <c r="GE351">
        <f>FU351*FZ351</f>
        <v>2</v>
      </c>
      <c r="GF351">
        <f>FV351*GA351</f>
        <v>2.6999999999999997</v>
      </c>
      <c r="GG351">
        <f>FW351*GB351</f>
        <v>3</v>
      </c>
      <c r="GH351">
        <v>10.4</v>
      </c>
      <c r="GI351">
        <v>0</v>
      </c>
      <c r="GJ351">
        <v>10.4</v>
      </c>
      <c r="GK351">
        <f>GC351+GD351+GE351+GF351+GG351</f>
        <v>9.6999999999999993</v>
      </c>
      <c r="GL351">
        <f>MEDIAN(FS351:FW351)</f>
        <v>10</v>
      </c>
    </row>
    <row r="352" spans="1:194" hidden="1" x14ac:dyDescent="0.25">
      <c r="A352">
        <v>351</v>
      </c>
      <c r="B352" t="s">
        <v>2</v>
      </c>
      <c r="C352" s="4">
        <v>66.599999999999994</v>
      </c>
      <c r="D352">
        <v>3.7</v>
      </c>
      <c r="E352" s="1">
        <f>C352/3/D352</f>
        <v>5.9999999999999991</v>
      </c>
      <c r="G352">
        <v>100.56</v>
      </c>
      <c r="H352">
        <v>7.4</v>
      </c>
      <c r="I352">
        <f>H352*D352*3</f>
        <v>82.140000000000015</v>
      </c>
      <c r="J352">
        <v>16.78</v>
      </c>
      <c r="K352">
        <v>8.4</v>
      </c>
      <c r="L352" s="3">
        <f>K352*3*D352</f>
        <v>93.240000000000009</v>
      </c>
      <c r="M352">
        <v>4.09</v>
      </c>
      <c r="N352">
        <v>8.9</v>
      </c>
      <c r="O352">
        <f>N352*D352*3</f>
        <v>98.789999999999992</v>
      </c>
      <c r="P352" s="5">
        <v>8.1999999999999993</v>
      </c>
      <c r="Q352" s="5">
        <f>P352*D352*3</f>
        <v>91.02</v>
      </c>
      <c r="S352" t="s">
        <v>6473</v>
      </c>
      <c r="T352">
        <v>5.3</v>
      </c>
      <c r="U352" s="8">
        <f>T352*D352*3</f>
        <v>58.83</v>
      </c>
      <c r="V352">
        <v>44.88</v>
      </c>
      <c r="W352">
        <v>8.4</v>
      </c>
      <c r="X352" s="5">
        <f>W352*D352*3</f>
        <v>93.240000000000009</v>
      </c>
      <c r="Y352">
        <v>10.01</v>
      </c>
      <c r="Z352">
        <v>7.5</v>
      </c>
      <c r="AA352">
        <f>Z352*D352*3</f>
        <v>83.25</v>
      </c>
      <c r="AC352">
        <v>136.16</v>
      </c>
      <c r="AD352">
        <v>7</v>
      </c>
      <c r="AE352" s="1">
        <f>AD352*3*D352</f>
        <v>77.7</v>
      </c>
      <c r="AF352">
        <v>12.03</v>
      </c>
      <c r="AG352" s="5">
        <v>7</v>
      </c>
      <c r="AH352" s="5">
        <f>AG352*D352*3</f>
        <v>77.7</v>
      </c>
      <c r="AI352" s="13"/>
      <c r="AJ352">
        <v>42</v>
      </c>
      <c r="AK352" s="8">
        <f>AJ352*D352*3</f>
        <v>466.20000000000005</v>
      </c>
      <c r="AL352" s="13"/>
      <c r="AM352">
        <v>31.1</v>
      </c>
      <c r="AN352">
        <v>7</v>
      </c>
      <c r="AO352" s="8">
        <f>AN352*D352*3</f>
        <v>77.7</v>
      </c>
      <c r="AP352">
        <v>14.76</v>
      </c>
      <c r="AQ352">
        <v>10</v>
      </c>
      <c r="AR352">
        <f>AQ352*D352*3</f>
        <v>111</v>
      </c>
      <c r="AT352">
        <v>9</v>
      </c>
      <c r="AU352">
        <f>AT352*D352*3</f>
        <v>99.9</v>
      </c>
      <c r="AX352">
        <v>8.8000000000000007</v>
      </c>
      <c r="AY352">
        <f>AX352*D352*3</f>
        <v>97.68</v>
      </c>
      <c r="BA352">
        <v>9.4</v>
      </c>
      <c r="BB352">
        <f>BA352*D352*3</f>
        <v>104.34</v>
      </c>
      <c r="BC352">
        <v>28.84</v>
      </c>
      <c r="BD352">
        <v>8.9</v>
      </c>
      <c r="BE352">
        <f>BD352*D352*3</f>
        <v>98.789999999999992</v>
      </c>
      <c r="BG352" s="10"/>
      <c r="BH352" s="1">
        <f>CHOOSE(MATCH(MIN(ABS(BP352-C352),ABS(BQ352-C352),ABS(BR352-C352)),CHOOSE({1;2;3},ABS(BP352-C352),ABS(BQ352-C352),ABS(BR352-C352)),0),BP352,BQ352,BR352)</f>
        <v>77.7</v>
      </c>
      <c r="BJ352" s="1" cm="1">
        <f t="array" ref="BJ352">(INDEX(_xlfn._xlws.SORT(CHOOSE({1;2;3;4;5;6},BQ352,BR352,L352,AE352,BO352,BP352)),3) + INDEX(_xlfn._xlws.SORT(CHOOSE({1;2;3;4;5;6},BQ352,BR352,L352,AE352,BO352,BP352)),4))/2</f>
        <v>86.025000000000006</v>
      </c>
      <c r="BK352">
        <v>6.0756519843454102</v>
      </c>
      <c r="BL352" t="s">
        <v>6117</v>
      </c>
      <c r="BM352" s="1">
        <f>BK352*3*D352</f>
        <v>67.439737026234056</v>
      </c>
      <c r="BN352" s="1">
        <f>BM352-C352</f>
        <v>0.83973702623406155</v>
      </c>
      <c r="BO352" s="1">
        <f>GK352*3*D352</f>
        <v>85.47</v>
      </c>
      <c r="BP352" s="1">
        <f>DO352*3*D352</f>
        <v>86.58</v>
      </c>
      <c r="BQ352" s="1">
        <f>FJ352*3*D352</f>
        <v>77.7</v>
      </c>
      <c r="BR352" s="1">
        <f>GL352*3*D352</f>
        <v>88.800000000000011</v>
      </c>
      <c r="BT352">
        <v>100.56</v>
      </c>
      <c r="BU352">
        <v>7.4</v>
      </c>
      <c r="BV352" t="s">
        <v>6043</v>
      </c>
      <c r="BW352" t="s">
        <v>5056</v>
      </c>
      <c r="BX352" t="s">
        <v>5057</v>
      </c>
      <c r="BY352" t="s">
        <v>6044</v>
      </c>
      <c r="BZ352" t="s">
        <v>5059</v>
      </c>
      <c r="CA352" t="s">
        <v>2452</v>
      </c>
      <c r="CC352" t="s">
        <v>2438</v>
      </c>
      <c r="CD352" t="s">
        <v>2453</v>
      </c>
      <c r="CE352" t="s">
        <v>2698</v>
      </c>
      <c r="CG352" t="s">
        <v>2441</v>
      </c>
      <c r="CH352" t="s">
        <v>2587</v>
      </c>
      <c r="CI352" t="s">
        <v>3648</v>
      </c>
      <c r="CJ352" t="s">
        <v>2458</v>
      </c>
      <c r="CK352" t="s">
        <v>3649</v>
      </c>
      <c r="CL352" t="s">
        <v>2588</v>
      </c>
      <c r="CM352" t="s">
        <v>3298</v>
      </c>
      <c r="CO352" t="s">
        <v>2447</v>
      </c>
      <c r="CP352" t="s">
        <v>2590</v>
      </c>
      <c r="CQ352" t="s">
        <v>3195</v>
      </c>
      <c r="CR352" t="s">
        <v>3195</v>
      </c>
      <c r="CS352" t="s">
        <v>3650</v>
      </c>
      <c r="CT352" t="s">
        <v>3651</v>
      </c>
      <c r="CV352">
        <v>9</v>
      </c>
      <c r="CW352">
        <v>9</v>
      </c>
      <c r="CX352">
        <v>7</v>
      </c>
      <c r="CY352">
        <v>9</v>
      </c>
      <c r="CZ352">
        <v>5</v>
      </c>
      <c r="DA352">
        <v>0.1</v>
      </c>
      <c r="DB352">
        <v>0.1</v>
      </c>
      <c r="DC352">
        <v>0.2</v>
      </c>
      <c r="DD352">
        <v>0.3</v>
      </c>
      <c r="DE352">
        <v>0.3</v>
      </c>
      <c r="DF352">
        <v>0.9</v>
      </c>
      <c r="DG352">
        <v>0.9</v>
      </c>
      <c r="DH352">
        <v>1.4</v>
      </c>
      <c r="DI352">
        <v>2.7</v>
      </c>
      <c r="DJ352">
        <v>1.5</v>
      </c>
      <c r="DK352">
        <v>7.4</v>
      </c>
      <c r="DL352">
        <v>0</v>
      </c>
      <c r="DM352">
        <v>7.4</v>
      </c>
      <c r="DN352">
        <v>8.4</v>
      </c>
      <c r="DO352">
        <f>AVERAGE(CV352:CZ352)</f>
        <v>7.8</v>
      </c>
      <c r="DQ352" t="s">
        <v>27</v>
      </c>
      <c r="DR352" t="s">
        <v>65</v>
      </c>
      <c r="DS352" t="s">
        <v>66</v>
      </c>
      <c r="DT352" t="s">
        <v>67</v>
      </c>
      <c r="DU352" t="s">
        <v>68</v>
      </c>
      <c r="DV352" t="s">
        <v>468</v>
      </c>
      <c r="DW352" t="s">
        <v>3805</v>
      </c>
      <c r="DX352" t="s">
        <v>3770</v>
      </c>
      <c r="DY352" t="s">
        <v>3771</v>
      </c>
      <c r="DZ352" t="s">
        <v>3772</v>
      </c>
      <c r="EA352" t="s">
        <v>3806</v>
      </c>
      <c r="EB352" t="s">
        <v>3774</v>
      </c>
      <c r="EC352" t="s">
        <v>3775</v>
      </c>
      <c r="ED352" t="s">
        <v>3776</v>
      </c>
      <c r="EE352" t="s">
        <v>3886</v>
      </c>
      <c r="EF352" t="s">
        <v>4020</v>
      </c>
      <c r="EG352" t="s">
        <v>4906</v>
      </c>
      <c r="EH352" t="s">
        <v>4015</v>
      </c>
      <c r="EI352" t="s">
        <v>4045</v>
      </c>
      <c r="EJ352" t="s">
        <v>3928</v>
      </c>
      <c r="EK352" t="s">
        <v>4908</v>
      </c>
      <c r="EL352" t="s">
        <v>3815</v>
      </c>
      <c r="EM352" t="s">
        <v>4544</v>
      </c>
      <c r="EN352" t="s">
        <v>3823</v>
      </c>
      <c r="EO352" t="s">
        <v>4909</v>
      </c>
      <c r="EP352" t="s">
        <v>3818</v>
      </c>
      <c r="EQ352">
        <v>7</v>
      </c>
      <c r="ER352">
        <v>7</v>
      </c>
      <c r="ES352">
        <v>7</v>
      </c>
      <c r="ET352">
        <v>7</v>
      </c>
      <c r="EU352">
        <v>7</v>
      </c>
      <c r="EV352">
        <v>0.1</v>
      </c>
      <c r="EW352">
        <v>0.1</v>
      </c>
      <c r="EX352">
        <v>0.2</v>
      </c>
      <c r="EY352">
        <v>0.3</v>
      </c>
      <c r="EZ352">
        <v>0.3</v>
      </c>
      <c r="FA352">
        <f>EV352*EQ352</f>
        <v>0.70000000000000007</v>
      </c>
      <c r="FB352">
        <f>EW352*ER352</f>
        <v>0.70000000000000007</v>
      </c>
      <c r="FC352">
        <f>EX352*ES352</f>
        <v>1.4000000000000001</v>
      </c>
      <c r="FD352">
        <f>EY352*ET352</f>
        <v>2.1</v>
      </c>
      <c r="FE352">
        <f>EZ352*EU352</f>
        <v>2.1</v>
      </c>
      <c r="FF352">
        <v>19</v>
      </c>
      <c r="FG352">
        <v>0</v>
      </c>
      <c r="FH352">
        <v>19</v>
      </c>
      <c r="FI352">
        <f>FA352+FB352+FC352+FD352+FE352</f>
        <v>7</v>
      </c>
      <c r="FJ352">
        <f>MEDIAN(EQ352:EU352)</f>
        <v>7</v>
      </c>
      <c r="FL352">
        <v>82.56</v>
      </c>
      <c r="FM352">
        <v>8</v>
      </c>
      <c r="FN352" t="s">
        <v>2267</v>
      </c>
      <c r="FO352" t="s">
        <v>2268</v>
      </c>
      <c r="FP352" t="s">
        <v>2269</v>
      </c>
      <c r="FQ352" t="s">
        <v>2270</v>
      </c>
      <c r="FR352" t="s">
        <v>2271</v>
      </c>
      <c r="FS352">
        <v>8</v>
      </c>
      <c r="FT352">
        <v>9</v>
      </c>
      <c r="FU352">
        <v>7.5</v>
      </c>
      <c r="FV352">
        <v>8</v>
      </c>
      <c r="FW352">
        <v>7</v>
      </c>
      <c r="FX352">
        <v>0.1</v>
      </c>
      <c r="FY352">
        <v>0.1</v>
      </c>
      <c r="FZ352">
        <v>0.2</v>
      </c>
      <c r="GA352">
        <v>0.3</v>
      </c>
      <c r="GB352">
        <v>0.3</v>
      </c>
      <c r="GC352">
        <f>FS352*FX352</f>
        <v>0.8</v>
      </c>
      <c r="GD352">
        <f>FT352*FY352</f>
        <v>0.9</v>
      </c>
      <c r="GE352">
        <f>FU352*FZ352</f>
        <v>1.5</v>
      </c>
      <c r="GF352">
        <f>FV352*GA352</f>
        <v>2.4</v>
      </c>
      <c r="GG352">
        <f>FW352*GB352</f>
        <v>2.1</v>
      </c>
      <c r="GH352">
        <v>7.8</v>
      </c>
      <c r="GI352">
        <v>0.2</v>
      </c>
      <c r="GJ352">
        <v>8</v>
      </c>
      <c r="GK352">
        <f>GC352+GD352+GE352+GF352+GG352</f>
        <v>7.6999999999999993</v>
      </c>
      <c r="GL352">
        <f>MEDIAN(FS352:FW352)</f>
        <v>8</v>
      </c>
    </row>
    <row r="353" spans="1:194" hidden="1" x14ac:dyDescent="0.25">
      <c r="A353">
        <v>352</v>
      </c>
      <c r="B353" t="s">
        <v>2</v>
      </c>
      <c r="C353" s="4">
        <v>86.4</v>
      </c>
      <c r="D353">
        <v>3.6</v>
      </c>
      <c r="E353" s="1">
        <f>C353/3/D353</f>
        <v>8</v>
      </c>
      <c r="G353">
        <v>38.4</v>
      </c>
      <c r="H353">
        <v>8.1999999999999993</v>
      </c>
      <c r="I353">
        <f>H353*D353*3</f>
        <v>88.56</v>
      </c>
      <c r="J353">
        <v>16.64</v>
      </c>
      <c r="K353">
        <v>9</v>
      </c>
      <c r="L353" s="3">
        <f>K353*3*D353</f>
        <v>97.2</v>
      </c>
      <c r="M353">
        <v>4.5999999999999996</v>
      </c>
      <c r="N353">
        <v>7.8</v>
      </c>
      <c r="O353">
        <f>N353*D353*3</f>
        <v>84.24</v>
      </c>
      <c r="P353" s="5">
        <v>7.7</v>
      </c>
      <c r="Q353" s="5">
        <f>P353*D353*3</f>
        <v>83.160000000000011</v>
      </c>
      <c r="S353" t="s">
        <v>6474</v>
      </c>
      <c r="T353">
        <v>6.8</v>
      </c>
      <c r="U353" s="8">
        <f>T353*D353*3</f>
        <v>73.44</v>
      </c>
      <c r="V353">
        <v>64.02</v>
      </c>
      <c r="X353" s="5">
        <f>W353*D353*3</f>
        <v>0</v>
      </c>
      <c r="Y353">
        <v>9.19</v>
      </c>
      <c r="Z353">
        <v>6</v>
      </c>
      <c r="AA353">
        <f>Z353*D353*3</f>
        <v>64.800000000000011</v>
      </c>
      <c r="AC353">
        <v>153.88999999999999</v>
      </c>
      <c r="AD353">
        <v>7.1</v>
      </c>
      <c r="AE353" s="1">
        <f>AD353*3*D353</f>
        <v>76.679999999999993</v>
      </c>
      <c r="AF353">
        <v>11.87</v>
      </c>
      <c r="AG353" s="5">
        <v>7</v>
      </c>
      <c r="AH353" s="5">
        <f>AG353*D353*3</f>
        <v>75.599999999999994</v>
      </c>
      <c r="AI353" s="13"/>
      <c r="AJ353">
        <v>21.5</v>
      </c>
      <c r="AK353" s="8">
        <f>AJ353*D353*3</f>
        <v>232.20000000000002</v>
      </c>
      <c r="AL353" s="13"/>
      <c r="AM353">
        <v>30.94</v>
      </c>
      <c r="AN353">
        <v>7.6</v>
      </c>
      <c r="AO353" s="8">
        <f>AN353*D353*3</f>
        <v>82.08</v>
      </c>
      <c r="AP353">
        <v>12.46</v>
      </c>
      <c r="AQ353">
        <v>10</v>
      </c>
      <c r="AR353">
        <f>AQ353*D353*3</f>
        <v>108</v>
      </c>
      <c r="AT353">
        <v>8.1999999999999993</v>
      </c>
      <c r="AU353">
        <f>AT353*D353*3</f>
        <v>88.56</v>
      </c>
      <c r="AX353">
        <v>9.9</v>
      </c>
      <c r="AY353">
        <f>AX353*D353*3</f>
        <v>106.92</v>
      </c>
      <c r="BA353">
        <v>8.4</v>
      </c>
      <c r="BB353">
        <f>BA353*D353*3</f>
        <v>90.72</v>
      </c>
      <c r="BC353">
        <v>28.74</v>
      </c>
      <c r="BD353">
        <v>8.1</v>
      </c>
      <c r="BE353">
        <f>BD353*D353*3</f>
        <v>87.48</v>
      </c>
      <c r="BG353" s="10"/>
      <c r="BH353" s="1">
        <f>CHOOSE(MATCH(MIN(ABS(BP353-C353),ABS(BQ353-C353),ABS(BR353-C353)),CHOOSE({1;2;3},ABS(BP353-C353),ABS(BQ353-C353),ABS(BR353-C353)),0),BP353,BQ353,BR353)</f>
        <v>97.2</v>
      </c>
      <c r="BJ353" s="1" cm="1">
        <f t="array" ref="BJ353">(INDEX(_xlfn._xlws.SORT(CHOOSE({1;2;3;4;5;6},BQ353,BR353,L353,AE353,BO353,BP353)),3) + INDEX(_xlfn._xlws.SORT(CHOOSE({1;2;3;4;5;6},BQ353,BR353,L353,AE353,BO353,BP353)),4))/2</f>
        <v>76.14</v>
      </c>
      <c r="BK353">
        <v>8.0280359702571396</v>
      </c>
      <c r="BL353" t="s">
        <v>6117</v>
      </c>
      <c r="BM353" s="1">
        <f>BK353*3*D353</f>
        <v>86.702788478777109</v>
      </c>
      <c r="BN353" s="1">
        <f>BM353-C353</f>
        <v>0.30278847877710291</v>
      </c>
      <c r="BO353" s="1">
        <f>GK353*3*D353</f>
        <v>51.840000000000011</v>
      </c>
      <c r="BP353" s="1">
        <f>DO353*3*D353</f>
        <v>97.2</v>
      </c>
      <c r="BQ353" s="1">
        <f>FJ353*3*D353</f>
        <v>75.600000000000009</v>
      </c>
      <c r="BR353" s="1">
        <f>GL353*3*D353</f>
        <v>64.8</v>
      </c>
      <c r="BT353">
        <v>38.4</v>
      </c>
      <c r="BU353">
        <v>8.1999999999999993</v>
      </c>
      <c r="BV353" t="s">
        <v>4991</v>
      </c>
      <c r="BW353" t="s">
        <v>4999</v>
      </c>
      <c r="BX353" t="s">
        <v>5060</v>
      </c>
      <c r="BY353" t="s">
        <v>6045</v>
      </c>
      <c r="BZ353" t="s">
        <v>6046</v>
      </c>
      <c r="CA353" t="s">
        <v>2550</v>
      </c>
      <c r="CC353" t="s">
        <v>2551</v>
      </c>
      <c r="CD353" t="s">
        <v>2552</v>
      </c>
      <c r="CE353" t="s">
        <v>2553</v>
      </c>
      <c r="CG353" t="s">
        <v>2424</v>
      </c>
      <c r="CH353" t="s">
        <v>2554</v>
      </c>
      <c r="CI353" t="s">
        <v>3226</v>
      </c>
      <c r="CK353" t="s">
        <v>2556</v>
      </c>
      <c r="CL353" t="s">
        <v>2557</v>
      </c>
      <c r="CM353" t="s">
        <v>3059</v>
      </c>
      <c r="CO353" t="s">
        <v>2431</v>
      </c>
      <c r="CP353" t="s">
        <v>2559</v>
      </c>
      <c r="CQ353" t="s">
        <v>2560</v>
      </c>
      <c r="CR353" t="s">
        <v>3487</v>
      </c>
      <c r="CS353" t="s">
        <v>2435</v>
      </c>
      <c r="CT353" t="s">
        <v>2562</v>
      </c>
      <c r="CV353">
        <v>9</v>
      </c>
      <c r="CW353">
        <v>9</v>
      </c>
      <c r="CX353">
        <v>9</v>
      </c>
      <c r="CY353">
        <v>9</v>
      </c>
      <c r="CZ353">
        <v>9</v>
      </c>
      <c r="DA353">
        <v>0.1</v>
      </c>
      <c r="DB353">
        <v>0.1</v>
      </c>
      <c r="DC353">
        <v>0.2</v>
      </c>
      <c r="DD353">
        <v>0.3</v>
      </c>
      <c r="DE353">
        <v>0.3</v>
      </c>
      <c r="DF353">
        <v>0.9</v>
      </c>
      <c r="DG353">
        <v>0.9</v>
      </c>
      <c r="DH353">
        <v>1.8</v>
      </c>
      <c r="DI353">
        <v>2.7</v>
      </c>
      <c r="DJ353">
        <v>2.7</v>
      </c>
      <c r="DK353">
        <v>8.1999999999999993</v>
      </c>
      <c r="DL353">
        <v>0</v>
      </c>
      <c r="DM353">
        <v>8.1999999999999993</v>
      </c>
      <c r="DN353">
        <v>9</v>
      </c>
      <c r="DO353">
        <f>AVERAGE(CV353:CZ353)</f>
        <v>9</v>
      </c>
      <c r="DQ353" t="s">
        <v>125</v>
      </c>
      <c r="DR353" t="s">
        <v>33</v>
      </c>
      <c r="DS353" t="s">
        <v>336</v>
      </c>
      <c r="DT353" t="s">
        <v>279</v>
      </c>
      <c r="DU353" t="s">
        <v>168</v>
      </c>
      <c r="DV353" t="s">
        <v>280</v>
      </c>
      <c r="DW353" t="s">
        <v>3788</v>
      </c>
      <c r="DX353" t="s">
        <v>3789</v>
      </c>
      <c r="DY353" t="s">
        <v>4145</v>
      </c>
      <c r="DZ353" t="s">
        <v>4145</v>
      </c>
      <c r="EA353" t="s">
        <v>3993</v>
      </c>
      <c r="EB353" t="s">
        <v>4146</v>
      </c>
      <c r="EC353" t="s">
        <v>4424</v>
      </c>
      <c r="ED353" t="s">
        <v>4424</v>
      </c>
      <c r="EE353" t="s">
        <v>4425</v>
      </c>
      <c r="EF353" t="s">
        <v>4426</v>
      </c>
      <c r="EG353" t="s">
        <v>4426</v>
      </c>
      <c r="EH353" t="s">
        <v>4426</v>
      </c>
      <c r="EI353" t="s">
        <v>4427</v>
      </c>
      <c r="EJ353" t="s">
        <v>4151</v>
      </c>
      <c r="EK353" t="s">
        <v>4151</v>
      </c>
      <c r="EL353" t="s">
        <v>4151</v>
      </c>
      <c r="EM353" t="s">
        <v>4428</v>
      </c>
      <c r="EN353" t="s">
        <v>4429</v>
      </c>
      <c r="EO353" t="s">
        <v>4430</v>
      </c>
      <c r="EP353" t="s">
        <v>4429</v>
      </c>
      <c r="EQ353">
        <v>8</v>
      </c>
      <c r="ER353">
        <v>7</v>
      </c>
      <c r="ES353">
        <v>7</v>
      </c>
      <c r="ET353">
        <v>7</v>
      </c>
      <c r="EU353">
        <v>7</v>
      </c>
      <c r="EV353">
        <v>0.1</v>
      </c>
      <c r="EW353">
        <v>0.1</v>
      </c>
      <c r="EX353">
        <v>0.2</v>
      </c>
      <c r="EY353">
        <v>0.3</v>
      </c>
      <c r="EZ353">
        <v>0.3</v>
      </c>
      <c r="FA353">
        <f>EV353*EQ353</f>
        <v>0.8</v>
      </c>
      <c r="FB353">
        <f>EW353*ER353</f>
        <v>0.70000000000000007</v>
      </c>
      <c r="FC353">
        <f>EX353*ES353</f>
        <v>1.4000000000000001</v>
      </c>
      <c r="FD353">
        <f>EY353*ET353</f>
        <v>2.1</v>
      </c>
      <c r="FE353">
        <f>EZ353*EU353</f>
        <v>2.1</v>
      </c>
      <c r="FF353">
        <v>15</v>
      </c>
      <c r="FG353">
        <v>0</v>
      </c>
      <c r="FH353">
        <v>9</v>
      </c>
      <c r="FI353">
        <f>FA353+FB353+FC353+FD353+FE353</f>
        <v>7.1</v>
      </c>
      <c r="FJ353">
        <f>MEDIAN(EQ353:EU353)</f>
        <v>7</v>
      </c>
      <c r="FL353">
        <v>42.07</v>
      </c>
      <c r="FM353">
        <v>4.5999999999999996</v>
      </c>
      <c r="FN353" t="s">
        <v>2272</v>
      </c>
      <c r="FO353" t="s">
        <v>2273</v>
      </c>
      <c r="FP353" t="s">
        <v>2274</v>
      </c>
      <c r="FQ353" t="s">
        <v>2275</v>
      </c>
      <c r="FR353" t="s">
        <v>2276</v>
      </c>
      <c r="FS353">
        <v>7</v>
      </c>
      <c r="FT353">
        <v>8</v>
      </c>
      <c r="FU353">
        <v>6</v>
      </c>
      <c r="FV353">
        <v>4</v>
      </c>
      <c r="FW353">
        <v>3</v>
      </c>
      <c r="FX353">
        <v>0.1</v>
      </c>
      <c r="FY353">
        <v>0.1</v>
      </c>
      <c r="FZ353">
        <v>0.2</v>
      </c>
      <c r="GA353">
        <v>0.3</v>
      </c>
      <c r="GB353">
        <v>0.3</v>
      </c>
      <c r="GC353">
        <f>FS353*FX353</f>
        <v>0.70000000000000007</v>
      </c>
      <c r="GD353">
        <f>FT353*FY353</f>
        <v>0.8</v>
      </c>
      <c r="GE353">
        <f>FU353*FZ353</f>
        <v>1.2000000000000002</v>
      </c>
      <c r="GF353">
        <f>FV353*GA353</f>
        <v>1.2</v>
      </c>
      <c r="GG353">
        <f>FW353*GB353</f>
        <v>0.89999999999999991</v>
      </c>
      <c r="GH353">
        <v>4.8</v>
      </c>
      <c r="GI353">
        <v>-0.2</v>
      </c>
      <c r="GJ353">
        <v>4.5999999999999996</v>
      </c>
      <c r="GK353">
        <f>GC353+GD353+GE353+GF353+GG353</f>
        <v>4.8000000000000007</v>
      </c>
      <c r="GL353">
        <f>MEDIAN(FS353:FW353)</f>
        <v>6</v>
      </c>
    </row>
    <row r="354" spans="1:194" x14ac:dyDescent="0.25">
      <c r="A354">
        <v>291</v>
      </c>
      <c r="B354" t="s">
        <v>2</v>
      </c>
      <c r="C354" s="4">
        <v>41.25</v>
      </c>
      <c r="D354">
        <v>3.3</v>
      </c>
      <c r="E354" s="1">
        <f>C354/3/D354</f>
        <v>4.166666666666667</v>
      </c>
      <c r="G354">
        <v>37.659999999999997</v>
      </c>
      <c r="H354">
        <v>8.1999999999999993</v>
      </c>
      <c r="I354">
        <f>H354*D354*3</f>
        <v>81.179999999999978</v>
      </c>
      <c r="J354">
        <v>18.57</v>
      </c>
      <c r="K354">
        <v>9</v>
      </c>
      <c r="L354" s="3">
        <f>K354*3*D354</f>
        <v>89.1</v>
      </c>
      <c r="M354">
        <v>4.78</v>
      </c>
      <c r="N354">
        <v>6</v>
      </c>
      <c r="O354">
        <f>N354*D354*3</f>
        <v>59.399999999999991</v>
      </c>
      <c r="P354" s="5">
        <v>7.9</v>
      </c>
      <c r="Q354" s="5">
        <f>P354*D354*3</f>
        <v>78.210000000000008</v>
      </c>
      <c r="S354" t="s">
        <v>6417</v>
      </c>
      <c r="T354">
        <v>6.2</v>
      </c>
      <c r="U354" s="8">
        <f>T354*D354*3</f>
        <v>61.38</v>
      </c>
      <c r="V354">
        <v>31.44</v>
      </c>
      <c r="W354">
        <v>8.4</v>
      </c>
      <c r="X354" s="5">
        <f>W354*D354*3</f>
        <v>83.16</v>
      </c>
      <c r="Y354">
        <v>9.89</v>
      </c>
      <c r="Z354">
        <v>7</v>
      </c>
      <c r="AA354">
        <f>Z354*D354*3</f>
        <v>69.3</v>
      </c>
      <c r="AC354">
        <v>130.37</v>
      </c>
      <c r="AD354">
        <v>7.9</v>
      </c>
      <c r="AE354" s="1">
        <f>AD354*3*D354</f>
        <v>78.210000000000008</v>
      </c>
      <c r="AF354">
        <v>12.03</v>
      </c>
      <c r="AG354" s="5">
        <v>7</v>
      </c>
      <c r="AH354" s="5">
        <f>AG354*D354*3</f>
        <v>69.3</v>
      </c>
      <c r="AI354" s="13"/>
      <c r="AJ354">
        <v>0.8</v>
      </c>
      <c r="AK354" s="8">
        <f>AJ354*D354*3</f>
        <v>7.92</v>
      </c>
      <c r="AL354" s="13"/>
      <c r="AM354">
        <v>31.34</v>
      </c>
      <c r="AN354">
        <v>6.5</v>
      </c>
      <c r="AO354" s="8">
        <f>AN354*D354*3</f>
        <v>64.349999999999994</v>
      </c>
      <c r="AP354">
        <v>13.62</v>
      </c>
      <c r="AQ354">
        <v>8.3000000000000007</v>
      </c>
      <c r="AR354">
        <f>AQ354*D354*3</f>
        <v>82.17</v>
      </c>
      <c r="AT354">
        <v>9</v>
      </c>
      <c r="AU354">
        <f>AT354*D354*3</f>
        <v>89.1</v>
      </c>
      <c r="AX354">
        <v>9.1999999999999993</v>
      </c>
      <c r="AY354">
        <f>AX354*D354*3</f>
        <v>91.079999999999984</v>
      </c>
      <c r="BA354">
        <v>8.4</v>
      </c>
      <c r="BB354">
        <f>BA354*D354*3</f>
        <v>83.16</v>
      </c>
      <c r="BD354">
        <v>8.9</v>
      </c>
      <c r="BE354">
        <f>BD354*D354*3</f>
        <v>88.11</v>
      </c>
      <c r="BG354" s="10"/>
      <c r="BH354" s="1">
        <f>CHOOSE(MATCH(MIN(ABS(BP354-C354),ABS(BQ354-C354),ABS(BR354-C354)),CHOOSE({1;2;3},ABS(BP354-C354),ABS(BQ354-C354),ABS(BR354-C354)),0),BP354,BQ354,BR354)</f>
        <v>69.3</v>
      </c>
      <c r="BJ354" s="1" cm="1">
        <f t="array" ref="BJ354">(INDEX(_xlfn._xlws.SORT(CHOOSE({1;2;3;4;5;6},BQ354,BR354,L354,AE354,BO354,BP354)),3) + INDEX(_xlfn._xlws.SORT(CHOOSE({1;2;3;4;5;6},BQ354,BR354,L354,AE354,BO354,BP354)),4))/2</f>
        <v>78.704999999999998</v>
      </c>
      <c r="BK354">
        <v>7.3457332098028401</v>
      </c>
      <c r="BL354" s="11" t="s">
        <v>6116</v>
      </c>
      <c r="BM354" s="1">
        <f>BK354*3*D354</f>
        <v>72.722758777048114</v>
      </c>
      <c r="BN354" s="1">
        <f>BM354-C354</f>
        <v>31.472758777048114</v>
      </c>
      <c r="BO354" s="1">
        <f>GK354*3*D354</f>
        <v>66.825000000000003</v>
      </c>
      <c r="BP354" s="1">
        <f>DO354*3*D354</f>
        <v>89.1</v>
      </c>
      <c r="BQ354" s="1">
        <f>FJ354*3*D354</f>
        <v>79.199999999999989</v>
      </c>
      <c r="BR354" s="1">
        <f>GL354*3*D354</f>
        <v>69.3</v>
      </c>
      <c r="BT354">
        <v>37.659999999999997</v>
      </c>
      <c r="BU354">
        <v>8.1999999999999993</v>
      </c>
      <c r="BV354" t="s">
        <v>5468</v>
      </c>
      <c r="BW354" t="s">
        <v>5893</v>
      </c>
      <c r="BX354" t="s">
        <v>5894</v>
      </c>
      <c r="BY354" t="s">
        <v>5895</v>
      </c>
      <c r="BZ354" t="s">
        <v>5896</v>
      </c>
      <c r="CA354" t="s">
        <v>3239</v>
      </c>
      <c r="CC354" t="s">
        <v>2525</v>
      </c>
      <c r="CD354" t="s">
        <v>2526</v>
      </c>
      <c r="CE354" t="s">
        <v>3240</v>
      </c>
      <c r="CG354" t="s">
        <v>2593</v>
      </c>
      <c r="CH354" t="s">
        <v>2456</v>
      </c>
      <c r="CI354" t="s">
        <v>3405</v>
      </c>
      <c r="CK354" t="s">
        <v>2594</v>
      </c>
      <c r="CL354" t="s">
        <v>2460</v>
      </c>
      <c r="CM354" t="s">
        <v>3526</v>
      </c>
      <c r="CO354" t="s">
        <v>3527</v>
      </c>
      <c r="CP354" t="s">
        <v>2464</v>
      </c>
      <c r="CQ354" t="s">
        <v>3528</v>
      </c>
      <c r="CS354" t="s">
        <v>3529</v>
      </c>
      <c r="CT354" t="s">
        <v>2468</v>
      </c>
      <c r="CV354">
        <v>9</v>
      </c>
      <c r="CW354">
        <v>9</v>
      </c>
      <c r="CX354">
        <v>9</v>
      </c>
      <c r="CY354">
        <v>9</v>
      </c>
      <c r="CZ354">
        <v>9</v>
      </c>
      <c r="DA354">
        <v>0.1</v>
      </c>
      <c r="DB354">
        <v>0.1</v>
      </c>
      <c r="DC354">
        <v>0.2</v>
      </c>
      <c r="DD354">
        <v>0.3</v>
      </c>
      <c r="DE354">
        <v>0.3</v>
      </c>
      <c r="DF354">
        <v>0.9</v>
      </c>
      <c r="DG354">
        <v>0.9</v>
      </c>
      <c r="DH354">
        <v>1.8</v>
      </c>
      <c r="DI354">
        <v>2.7</v>
      </c>
      <c r="DJ354">
        <v>2.7</v>
      </c>
      <c r="DK354">
        <v>8.1999999999999993</v>
      </c>
      <c r="DL354">
        <v>0</v>
      </c>
      <c r="DM354">
        <v>8.1999999999999993</v>
      </c>
      <c r="DN354">
        <v>9</v>
      </c>
      <c r="DO354">
        <f>AVERAGE(CV354:CZ354)</f>
        <v>9</v>
      </c>
      <c r="DQ354">
        <v>8</v>
      </c>
      <c r="DR354" t="s">
        <v>213</v>
      </c>
      <c r="DS354" t="s">
        <v>29</v>
      </c>
      <c r="DT354" t="s">
        <v>180</v>
      </c>
      <c r="DU354" t="s">
        <v>58</v>
      </c>
      <c r="DV354" t="s">
        <v>193</v>
      </c>
      <c r="DW354" t="s">
        <v>3769</v>
      </c>
      <c r="DX354" t="s">
        <v>3770</v>
      </c>
      <c r="DY354" t="s">
        <v>3771</v>
      </c>
      <c r="DZ354" t="s">
        <v>3772</v>
      </c>
      <c r="EA354" t="s">
        <v>3806</v>
      </c>
      <c r="EB354" t="s">
        <v>3807</v>
      </c>
      <c r="EC354" t="s">
        <v>3775</v>
      </c>
      <c r="ED354" t="s">
        <v>3776</v>
      </c>
      <c r="EE354" t="s">
        <v>3819</v>
      </c>
      <c r="EF354" t="s">
        <v>4104</v>
      </c>
      <c r="EG354" t="s">
        <v>3810</v>
      </c>
      <c r="EH354" t="s">
        <v>3811</v>
      </c>
      <c r="EI354" t="s">
        <v>3820</v>
      </c>
      <c r="EJ354" t="s">
        <v>4174</v>
      </c>
      <c r="EK354" t="s">
        <v>3855</v>
      </c>
      <c r="EL354" t="s">
        <v>4548</v>
      </c>
      <c r="EM354" t="s">
        <v>4719</v>
      </c>
      <c r="EN354" t="s">
        <v>4050</v>
      </c>
      <c r="EO354" t="s">
        <v>4572</v>
      </c>
      <c r="EP354" t="s">
        <v>4824</v>
      </c>
      <c r="EQ354">
        <v>7</v>
      </c>
      <c r="ER354">
        <v>8</v>
      </c>
      <c r="ES354">
        <v>8</v>
      </c>
      <c r="ET354">
        <v>8</v>
      </c>
      <c r="EU354">
        <v>8</v>
      </c>
      <c r="EV354">
        <v>0.1</v>
      </c>
      <c r="EW354">
        <v>0.1</v>
      </c>
      <c r="EX354">
        <v>0.2</v>
      </c>
      <c r="EY354">
        <v>0.3</v>
      </c>
      <c r="EZ354">
        <v>0.3</v>
      </c>
      <c r="FA354">
        <f>EV354*EQ354</f>
        <v>0.70000000000000007</v>
      </c>
      <c r="FB354">
        <f>EW354*ER354</f>
        <v>0.8</v>
      </c>
      <c r="FC354">
        <f>EX354*ES354</f>
        <v>1.6</v>
      </c>
      <c r="FD354">
        <f>EY354*ET354</f>
        <v>2.4</v>
      </c>
      <c r="FE354">
        <f>EZ354*EU354</f>
        <v>2.4</v>
      </c>
      <c r="FF354">
        <v>15</v>
      </c>
      <c r="FG354">
        <v>0</v>
      </c>
      <c r="FH354">
        <v>15</v>
      </c>
      <c r="FI354">
        <f>FA354+FB354+FC354+FD354+FE354</f>
        <v>7.9</v>
      </c>
      <c r="FJ354">
        <f>MEDIAN(EQ354:EU354)</f>
        <v>8</v>
      </c>
      <c r="FL354">
        <v>58.12</v>
      </c>
      <c r="FM354">
        <v>7.9</v>
      </c>
      <c r="FN354" t="s">
        <v>1986</v>
      </c>
      <c r="FO354" t="s">
        <v>1987</v>
      </c>
      <c r="FP354" t="s">
        <v>1988</v>
      </c>
      <c r="FQ354" t="s">
        <v>1989</v>
      </c>
      <c r="FR354" t="s">
        <v>1990</v>
      </c>
      <c r="FS354">
        <v>8</v>
      </c>
      <c r="FT354">
        <v>7.5</v>
      </c>
      <c r="FU354">
        <v>6.5</v>
      </c>
      <c r="FV354">
        <v>7</v>
      </c>
      <c r="FW354">
        <v>6</v>
      </c>
      <c r="FX354">
        <v>0.1</v>
      </c>
      <c r="FY354">
        <v>0.1</v>
      </c>
      <c r="FZ354">
        <v>0.2</v>
      </c>
      <c r="GA354">
        <v>0.3</v>
      </c>
      <c r="GB354">
        <v>0.3</v>
      </c>
      <c r="GC354">
        <f>FS354*FX354</f>
        <v>0.8</v>
      </c>
      <c r="GD354">
        <f>FT354*FY354</f>
        <v>0.75</v>
      </c>
      <c r="GE354">
        <f>FU354*FZ354</f>
        <v>1.3</v>
      </c>
      <c r="GF354">
        <f>FV354*GA354</f>
        <v>2.1</v>
      </c>
      <c r="GG354">
        <f>FW354*GB354</f>
        <v>1.7999999999999998</v>
      </c>
      <c r="GH354">
        <v>7.9</v>
      </c>
      <c r="GJ354">
        <v>7.9</v>
      </c>
      <c r="GK354">
        <f>GC354+GD354+GE354+GF354+GG354</f>
        <v>6.75</v>
      </c>
      <c r="GL354">
        <f>MEDIAN(FS354:FW354)</f>
        <v>7</v>
      </c>
    </row>
    <row r="355" spans="1:194" hidden="1" x14ac:dyDescent="0.25">
      <c r="A355">
        <v>354</v>
      </c>
      <c r="B355" t="s">
        <v>2</v>
      </c>
      <c r="C355" s="4">
        <v>72</v>
      </c>
      <c r="D355">
        <v>3.2</v>
      </c>
      <c r="E355" s="1">
        <f>C355/3/D355</f>
        <v>7.5</v>
      </c>
      <c r="G355">
        <v>36.33</v>
      </c>
      <c r="H355">
        <v>8</v>
      </c>
      <c r="I355">
        <f>H355*D355*3</f>
        <v>76.800000000000011</v>
      </c>
      <c r="J355">
        <v>17.84</v>
      </c>
      <c r="K355">
        <v>8.4</v>
      </c>
      <c r="L355" s="3">
        <f>K355*3*D355</f>
        <v>80.640000000000015</v>
      </c>
      <c r="M355">
        <v>4.87</v>
      </c>
      <c r="N355">
        <v>5</v>
      </c>
      <c r="O355">
        <f>N355*D355*3</f>
        <v>48</v>
      </c>
      <c r="P355" s="5">
        <v>8.9</v>
      </c>
      <c r="Q355" s="5">
        <f>P355*D355*3</f>
        <v>85.440000000000012</v>
      </c>
      <c r="S355" t="s">
        <v>6476</v>
      </c>
      <c r="T355">
        <v>5.3</v>
      </c>
      <c r="U355" s="8">
        <f>T355*D355*3</f>
        <v>50.88</v>
      </c>
      <c r="V355">
        <v>55.83</v>
      </c>
      <c r="W355">
        <v>9</v>
      </c>
      <c r="X355" s="5">
        <f>W355*D355*3</f>
        <v>86.4</v>
      </c>
      <c r="Y355">
        <v>11.84</v>
      </c>
      <c r="Z355">
        <v>7.8</v>
      </c>
      <c r="AA355">
        <f>Z355*D355*3</f>
        <v>74.88</v>
      </c>
      <c r="AC355">
        <v>124.23</v>
      </c>
      <c r="AD355">
        <v>8</v>
      </c>
      <c r="AE355" s="1">
        <f>AD355*3*D355</f>
        <v>76.800000000000011</v>
      </c>
      <c r="AF355">
        <v>11.83</v>
      </c>
      <c r="AG355" s="5">
        <v>7</v>
      </c>
      <c r="AH355" s="5">
        <f>AG355*D355*3</f>
        <v>67.2</v>
      </c>
      <c r="AI355" s="13"/>
      <c r="AJ355">
        <v>27</v>
      </c>
      <c r="AK355" s="8">
        <f>AJ355*D355*3</f>
        <v>259.20000000000005</v>
      </c>
      <c r="AL355" s="13"/>
      <c r="AM355">
        <v>30.65</v>
      </c>
      <c r="AN355">
        <v>7.2</v>
      </c>
      <c r="AO355" s="8">
        <f>AN355*D355*3</f>
        <v>69.12</v>
      </c>
      <c r="AP355">
        <v>12.47</v>
      </c>
      <c r="AQ355">
        <v>10</v>
      </c>
      <c r="AR355">
        <f>AQ355*D355*3</f>
        <v>96</v>
      </c>
      <c r="AT355">
        <v>8.5</v>
      </c>
      <c r="AU355">
        <f>AT355*D355*3</f>
        <v>81.600000000000009</v>
      </c>
      <c r="AX355">
        <v>9.4</v>
      </c>
      <c r="AY355">
        <f>AX355*D355*3</f>
        <v>90.240000000000009</v>
      </c>
      <c r="BA355">
        <v>8.6999999999999993</v>
      </c>
      <c r="BB355">
        <f>BA355*D355*3</f>
        <v>83.52</v>
      </c>
      <c r="BC355">
        <v>27.73</v>
      </c>
      <c r="BD355">
        <v>9</v>
      </c>
      <c r="BE355">
        <f>BD355*D355*3</f>
        <v>86.4</v>
      </c>
      <c r="BG355" s="10"/>
      <c r="BH355" s="1">
        <f>CHOOSE(MATCH(MIN(ABS(BP355-C355),ABS(BQ355-C355),ABS(BR355-C355)),CHOOSE({1;2;3},ABS(BP355-C355),ABS(BQ355-C355),ABS(BR355-C355)),0),BP355,BQ355,BR355)</f>
        <v>76.800000000000011</v>
      </c>
      <c r="BJ355" s="1" cm="1">
        <f t="array" ref="BJ355">(INDEX(_xlfn._xlws.SORT(CHOOSE({1;2;3;4;5;6},BQ355,BR355,L355,AE355,BO355,BP355)),3) + INDEX(_xlfn._xlws.SORT(CHOOSE({1;2;3;4;5;6},BQ355,BR355,L355,AE355,BO355,BP355)),4))/2</f>
        <v>76.800000000000011</v>
      </c>
      <c r="BK355">
        <v>7.4799522646606604</v>
      </c>
      <c r="BL355" t="s">
        <v>6117</v>
      </c>
      <c r="BM355" s="1">
        <f>BK355*3*D355</f>
        <v>71.807541740742337</v>
      </c>
      <c r="BN355" s="1">
        <f>BM355-C355</f>
        <v>-0.19245825925766269</v>
      </c>
      <c r="BO355" s="1">
        <f>GK355*3*D355</f>
        <v>53.760000000000005</v>
      </c>
      <c r="BP355" s="1">
        <f>DO355*3*D355</f>
        <v>86.4</v>
      </c>
      <c r="BQ355" s="1">
        <f>FJ355*3*D355</f>
        <v>76.800000000000011</v>
      </c>
      <c r="BR355" s="1">
        <f>GL355*3*D355</f>
        <v>57.6</v>
      </c>
      <c r="BT355">
        <v>36.33</v>
      </c>
      <c r="BU355">
        <v>8</v>
      </c>
      <c r="BV355" t="s">
        <v>5028</v>
      </c>
      <c r="BW355" t="s">
        <v>5004</v>
      </c>
      <c r="BX355" t="s">
        <v>5029</v>
      </c>
      <c r="BY355" t="s">
        <v>5053</v>
      </c>
      <c r="BZ355" t="s">
        <v>5054</v>
      </c>
      <c r="CA355" t="s">
        <v>2437</v>
      </c>
      <c r="CC355" t="s">
        <v>2438</v>
      </c>
      <c r="CD355" t="s">
        <v>2439</v>
      </c>
      <c r="CE355" t="s">
        <v>2440</v>
      </c>
      <c r="CG355" t="s">
        <v>2441</v>
      </c>
      <c r="CH355" t="s">
        <v>2442</v>
      </c>
      <c r="CI355" t="s">
        <v>2443</v>
      </c>
      <c r="CK355" t="s">
        <v>2444</v>
      </c>
      <c r="CL355" t="s">
        <v>2445</v>
      </c>
      <c r="CM355" t="s">
        <v>2446</v>
      </c>
      <c r="CO355" t="s">
        <v>2447</v>
      </c>
      <c r="CP355" t="s">
        <v>2448</v>
      </c>
      <c r="CQ355" t="s">
        <v>2449</v>
      </c>
      <c r="CS355" t="s">
        <v>2450</v>
      </c>
      <c r="CT355" t="s">
        <v>2451</v>
      </c>
      <c r="CV355">
        <v>9</v>
      </c>
      <c r="CW355">
        <v>9</v>
      </c>
      <c r="CX355">
        <v>9</v>
      </c>
      <c r="CY355">
        <v>9</v>
      </c>
      <c r="CZ355">
        <v>9</v>
      </c>
      <c r="DA355">
        <v>0.1</v>
      </c>
      <c r="DB355">
        <v>0.1</v>
      </c>
      <c r="DC355">
        <v>0.2</v>
      </c>
      <c r="DD355">
        <v>0.3</v>
      </c>
      <c r="DE355">
        <v>0.3</v>
      </c>
      <c r="DF355">
        <v>0.9</v>
      </c>
      <c r="DG355">
        <v>0.9</v>
      </c>
      <c r="DH355">
        <v>1.8</v>
      </c>
      <c r="DI355">
        <v>2.7</v>
      </c>
      <c r="DJ355">
        <v>2.7</v>
      </c>
      <c r="DK355">
        <v>8</v>
      </c>
      <c r="DL355">
        <v>0</v>
      </c>
      <c r="DM355">
        <v>8</v>
      </c>
      <c r="DN355">
        <v>8.4</v>
      </c>
      <c r="DO355">
        <f>AVERAGE(CV355:CZ355)</f>
        <v>9</v>
      </c>
      <c r="DQ355" t="s">
        <v>27</v>
      </c>
      <c r="DR355" t="s">
        <v>52</v>
      </c>
      <c r="DS355" t="s">
        <v>61</v>
      </c>
      <c r="DT355" t="s">
        <v>118</v>
      </c>
      <c r="DU355" t="s">
        <v>68</v>
      </c>
      <c r="DV355" t="s">
        <v>563</v>
      </c>
      <c r="DW355" t="s">
        <v>3836</v>
      </c>
      <c r="DX355" t="s">
        <v>3858</v>
      </c>
      <c r="DY355" t="s">
        <v>4033</v>
      </c>
      <c r="DZ355" t="s">
        <v>4034</v>
      </c>
      <c r="EA355" t="s">
        <v>3860</v>
      </c>
      <c r="EB355" t="s">
        <v>3840</v>
      </c>
      <c r="EC355" t="s">
        <v>4035</v>
      </c>
      <c r="ED355" t="s">
        <v>4036</v>
      </c>
      <c r="EE355" t="s">
        <v>3966</v>
      </c>
      <c r="EF355" t="s">
        <v>3844</v>
      </c>
      <c r="EG355" t="s">
        <v>4775</v>
      </c>
      <c r="EH355" t="s">
        <v>3966</v>
      </c>
      <c r="EI355" t="s">
        <v>3246</v>
      </c>
      <c r="EJ355" t="s">
        <v>4299</v>
      </c>
      <c r="EK355" t="s">
        <v>4957</v>
      </c>
      <c r="EL355" t="s">
        <v>3246</v>
      </c>
      <c r="EM355" t="s">
        <v>4039</v>
      </c>
      <c r="EN355" t="s">
        <v>4958</v>
      </c>
      <c r="EO355" t="s">
        <v>3873</v>
      </c>
      <c r="EP355" t="s">
        <v>4959</v>
      </c>
      <c r="EQ355">
        <v>8</v>
      </c>
      <c r="ER355">
        <v>8</v>
      </c>
      <c r="ES355">
        <v>8</v>
      </c>
      <c r="ET355">
        <v>8</v>
      </c>
      <c r="EU355">
        <v>8</v>
      </c>
      <c r="EV355">
        <v>0.1</v>
      </c>
      <c r="EW355">
        <v>0.1</v>
      </c>
      <c r="EX355">
        <v>0.2</v>
      </c>
      <c r="EY355">
        <v>0.3</v>
      </c>
      <c r="EZ355">
        <v>0.3</v>
      </c>
      <c r="FA355">
        <f>EV355*EQ355</f>
        <v>0.8</v>
      </c>
      <c r="FB355">
        <f>EW355*ER355</f>
        <v>0.8</v>
      </c>
      <c r="FC355">
        <f>EX355*ES355</f>
        <v>1.6</v>
      </c>
      <c r="FD355">
        <f>EY355*ET355</f>
        <v>2.4</v>
      </c>
      <c r="FE355">
        <f>EZ355*EU355</f>
        <v>2.4</v>
      </c>
      <c r="FF355">
        <v>16</v>
      </c>
      <c r="FG355">
        <v>0</v>
      </c>
      <c r="FH355">
        <v>8</v>
      </c>
      <c r="FI355">
        <f>FA355+FB355+FC355+FD355+FE355</f>
        <v>8</v>
      </c>
      <c r="FJ355">
        <f>MEDIAN(EQ355:EU355)</f>
        <v>8</v>
      </c>
      <c r="FL355">
        <v>35.659999999999997</v>
      </c>
      <c r="FM355">
        <v>5.3</v>
      </c>
      <c r="FN355" t="s">
        <v>2282</v>
      </c>
      <c r="FO355" t="s">
        <v>2283</v>
      </c>
      <c r="FP355" t="s">
        <v>2284</v>
      </c>
      <c r="FQ355" t="s">
        <v>2285</v>
      </c>
      <c r="FR355" t="s">
        <v>2286</v>
      </c>
      <c r="FS355">
        <v>5</v>
      </c>
      <c r="FT355">
        <v>7.5</v>
      </c>
      <c r="FU355">
        <v>6</v>
      </c>
      <c r="FV355">
        <v>6.5</v>
      </c>
      <c r="FW355">
        <v>4</v>
      </c>
      <c r="FX355">
        <v>0.1</v>
      </c>
      <c r="FY355">
        <v>0.1</v>
      </c>
      <c r="FZ355">
        <v>0.2</v>
      </c>
      <c r="GA355">
        <v>0.3</v>
      </c>
      <c r="GB355">
        <v>0.3</v>
      </c>
      <c r="GC355">
        <f>FS355*FX355</f>
        <v>0.5</v>
      </c>
      <c r="GD355">
        <f>FT355*FY355</f>
        <v>0.75</v>
      </c>
      <c r="GE355">
        <f>FU355*FZ355</f>
        <v>1.2000000000000002</v>
      </c>
      <c r="GF355">
        <f>FV355*GA355</f>
        <v>1.95</v>
      </c>
      <c r="GG355">
        <f>FW355*GB355</f>
        <v>1.2</v>
      </c>
      <c r="GH355">
        <v>5.85</v>
      </c>
      <c r="GI355">
        <v>-0.5</v>
      </c>
      <c r="GJ355">
        <v>5.3</v>
      </c>
      <c r="GK355">
        <f>GC355+GD355+GE355+GF355+GG355</f>
        <v>5.6000000000000005</v>
      </c>
      <c r="GL355">
        <f>MEDIAN(FS355:FW355)</f>
        <v>6</v>
      </c>
    </row>
    <row r="356" spans="1:194" hidden="1" x14ac:dyDescent="0.25">
      <c r="A356">
        <v>355</v>
      </c>
      <c r="B356" t="s">
        <v>2</v>
      </c>
      <c r="C356" s="4">
        <v>60.45</v>
      </c>
      <c r="D356">
        <v>3.1</v>
      </c>
      <c r="E356" s="1">
        <f>C356/3/D356</f>
        <v>6.5000000000000009</v>
      </c>
      <c r="G356">
        <v>36.619999999999997</v>
      </c>
      <c r="H356">
        <v>8.1999999999999993</v>
      </c>
      <c r="I356">
        <f>H356*D356*3</f>
        <v>76.259999999999991</v>
      </c>
      <c r="J356">
        <v>17.14</v>
      </c>
      <c r="K356">
        <v>8.4</v>
      </c>
      <c r="L356" s="3">
        <f>K356*3*D356</f>
        <v>78.12</v>
      </c>
      <c r="M356">
        <v>4.8099999999999996</v>
      </c>
      <c r="N356">
        <v>9</v>
      </c>
      <c r="O356">
        <f>N356*D356*3</f>
        <v>83.7</v>
      </c>
      <c r="P356" s="5">
        <v>9</v>
      </c>
      <c r="Q356" s="5">
        <f>P356*D356*3</f>
        <v>83.7</v>
      </c>
      <c r="S356" t="s">
        <v>6448</v>
      </c>
      <c r="T356">
        <v>6.7</v>
      </c>
      <c r="U356" s="8">
        <f>T356*D356*3</f>
        <v>62.31</v>
      </c>
      <c r="V356">
        <v>56.43</v>
      </c>
      <c r="W356">
        <v>9</v>
      </c>
      <c r="X356" s="5">
        <f>W356*D356*3</f>
        <v>83.7</v>
      </c>
      <c r="Y356">
        <v>9.0299999999999994</v>
      </c>
      <c r="Z356">
        <v>6.7</v>
      </c>
      <c r="AA356">
        <f>Z356*D356*3</f>
        <v>62.31</v>
      </c>
      <c r="AC356">
        <v>143.07</v>
      </c>
      <c r="AD356">
        <v>8</v>
      </c>
      <c r="AE356" s="1">
        <f>AD356*3*D356</f>
        <v>74.400000000000006</v>
      </c>
      <c r="AF356">
        <v>12.21</v>
      </c>
      <c r="AG356" s="5">
        <v>7</v>
      </c>
      <c r="AH356" s="5">
        <f>AG356*D356*3</f>
        <v>65.099999999999994</v>
      </c>
      <c r="AI356" s="13"/>
      <c r="AJ356">
        <v>0.9</v>
      </c>
      <c r="AK356" s="8">
        <f>AJ356*D356*3</f>
        <v>8.370000000000001</v>
      </c>
      <c r="AL356" s="13"/>
      <c r="AM356">
        <v>30.79</v>
      </c>
      <c r="AN356">
        <v>7.2</v>
      </c>
      <c r="AO356" s="8">
        <f>AN356*D356*3</f>
        <v>66.960000000000008</v>
      </c>
      <c r="AP356">
        <v>14.84</v>
      </c>
      <c r="AQ356">
        <v>10</v>
      </c>
      <c r="AR356">
        <f>AQ356*D356*3</f>
        <v>93</v>
      </c>
      <c r="AT356">
        <v>9.1999999999999993</v>
      </c>
      <c r="AU356">
        <f>AT356*D356*3</f>
        <v>85.56</v>
      </c>
      <c r="AX356">
        <v>9.6</v>
      </c>
      <c r="AY356">
        <f>AX356*D356*3</f>
        <v>89.28</v>
      </c>
      <c r="BA356">
        <v>9.6</v>
      </c>
      <c r="BB356">
        <f>BA356*D356*3</f>
        <v>89.28</v>
      </c>
      <c r="BC356">
        <v>30.55</v>
      </c>
      <c r="BD356">
        <v>8.6</v>
      </c>
      <c r="BE356">
        <f>BD356*D356*3</f>
        <v>79.98</v>
      </c>
      <c r="BG356" s="10"/>
      <c r="BH356" s="1">
        <f>CHOOSE(MATCH(MIN(ABS(BP356-C356),ABS(BQ356-C356),ABS(BR356-C356)),CHOOSE({1;2;3},ABS(BP356-C356),ABS(BQ356-C356),ABS(BR356-C356)),0),BP356,BQ356,BR356)</f>
        <v>60.45</v>
      </c>
      <c r="BJ356" s="1" cm="1">
        <f t="array" ref="BJ356">(INDEX(_xlfn._xlws.SORT(CHOOSE({1;2;3;4;5;6},BQ356,BR356,L356,AE356,BO356,BP356)),3) + INDEX(_xlfn._xlws.SORT(CHOOSE({1;2;3;4;5;6},BQ356,BR356,L356,AE356,BO356,BP356)),4))/2</f>
        <v>74.400000000000006</v>
      </c>
      <c r="BK356">
        <v>6.5240446583714</v>
      </c>
      <c r="BL356" t="s">
        <v>6117</v>
      </c>
      <c r="BM356" s="1">
        <f>BK356*3*D356</f>
        <v>60.673615322854019</v>
      </c>
      <c r="BN356" s="1">
        <f>BM356-C356</f>
        <v>0.22361532285401609</v>
      </c>
      <c r="BO356" s="1">
        <f>GK356*3*D356</f>
        <v>64.170000000000016</v>
      </c>
      <c r="BP356" s="1">
        <f>DO356*3*D356</f>
        <v>83.7</v>
      </c>
      <c r="BQ356" s="1">
        <f>FJ356*3*D356</f>
        <v>74.400000000000006</v>
      </c>
      <c r="BR356" s="1">
        <f>GL356*3*D356</f>
        <v>60.45</v>
      </c>
      <c r="BT356">
        <v>36.619999999999997</v>
      </c>
      <c r="BU356">
        <v>8.1999999999999993</v>
      </c>
      <c r="BV356" t="s">
        <v>6048</v>
      </c>
      <c r="BW356" t="s">
        <v>5056</v>
      </c>
      <c r="BX356" t="s">
        <v>5057</v>
      </c>
      <c r="BY356" t="s">
        <v>6049</v>
      </c>
      <c r="BZ356" t="s">
        <v>6050</v>
      </c>
      <c r="CA356" t="s">
        <v>2506</v>
      </c>
      <c r="CC356" t="s">
        <v>2507</v>
      </c>
      <c r="CD356" t="s">
        <v>2508</v>
      </c>
      <c r="CE356" t="s">
        <v>2440</v>
      </c>
      <c r="CG356" t="s">
        <v>2509</v>
      </c>
      <c r="CH356" t="s">
        <v>2510</v>
      </c>
      <c r="CI356" t="s">
        <v>2443</v>
      </c>
      <c r="CK356" t="s">
        <v>2511</v>
      </c>
      <c r="CL356" t="s">
        <v>2512</v>
      </c>
      <c r="CM356" t="s">
        <v>2446</v>
      </c>
      <c r="CO356" t="s">
        <v>2513</v>
      </c>
      <c r="CP356" t="s">
        <v>2514</v>
      </c>
      <c r="CQ356" t="s">
        <v>2449</v>
      </c>
      <c r="CS356" t="s">
        <v>2523</v>
      </c>
      <c r="CT356" t="s">
        <v>2524</v>
      </c>
      <c r="CV356">
        <v>9</v>
      </c>
      <c r="CW356">
        <v>9</v>
      </c>
      <c r="CX356">
        <v>9</v>
      </c>
      <c r="CY356">
        <v>9</v>
      </c>
      <c r="CZ356">
        <v>9</v>
      </c>
      <c r="DA356">
        <v>0.1</v>
      </c>
      <c r="DB356">
        <v>0.1</v>
      </c>
      <c r="DC356">
        <v>0.2</v>
      </c>
      <c r="DD356">
        <v>0.3</v>
      </c>
      <c r="DE356">
        <v>0.3</v>
      </c>
      <c r="DF356">
        <v>0.9</v>
      </c>
      <c r="DG356">
        <v>0.9</v>
      </c>
      <c r="DH356">
        <v>1.8</v>
      </c>
      <c r="DI356">
        <v>2.7</v>
      </c>
      <c r="DJ356">
        <v>2.7</v>
      </c>
      <c r="DK356">
        <v>8.1999999999999993</v>
      </c>
      <c r="DL356">
        <v>0</v>
      </c>
      <c r="DM356">
        <v>8.1999999999999993</v>
      </c>
      <c r="DN356">
        <v>8.4</v>
      </c>
      <c r="DO356">
        <f>AVERAGE(CV356:CZ356)</f>
        <v>9</v>
      </c>
      <c r="DQ356">
        <v>8</v>
      </c>
      <c r="DR356" t="s">
        <v>33</v>
      </c>
      <c r="DS356" t="s">
        <v>223</v>
      </c>
      <c r="DT356" t="s">
        <v>35</v>
      </c>
      <c r="DU356" t="s">
        <v>36</v>
      </c>
      <c r="DV356" t="s">
        <v>200</v>
      </c>
      <c r="DW356" t="s">
        <v>3788</v>
      </c>
      <c r="DX356" t="s">
        <v>3789</v>
      </c>
      <c r="DY356" t="s">
        <v>3790</v>
      </c>
      <c r="DZ356" t="s">
        <v>3791</v>
      </c>
      <c r="EA356" t="s">
        <v>3792</v>
      </c>
      <c r="EB356" t="s">
        <v>3793</v>
      </c>
      <c r="EC356" t="s">
        <v>4261</v>
      </c>
      <c r="ED356" t="s">
        <v>3795</v>
      </c>
      <c r="EE356" t="s">
        <v>3796</v>
      </c>
      <c r="EF356" t="s">
        <v>3797</v>
      </c>
      <c r="EG356" t="s">
        <v>3798</v>
      </c>
      <c r="EH356" t="s">
        <v>3798</v>
      </c>
      <c r="EI356" t="s">
        <v>3799</v>
      </c>
      <c r="EJ356" t="s">
        <v>3800</v>
      </c>
      <c r="EK356" t="s">
        <v>3801</v>
      </c>
      <c r="EL356" t="s">
        <v>3801</v>
      </c>
      <c r="EM356" t="s">
        <v>4227</v>
      </c>
      <c r="EN356" t="s">
        <v>3803</v>
      </c>
      <c r="EO356" t="s">
        <v>4228</v>
      </c>
      <c r="EP356" t="s">
        <v>4262</v>
      </c>
      <c r="EQ356">
        <v>8</v>
      </c>
      <c r="ER356">
        <v>8</v>
      </c>
      <c r="ES356">
        <v>8</v>
      </c>
      <c r="ET356">
        <v>8</v>
      </c>
      <c r="EU356">
        <v>8</v>
      </c>
      <c r="EV356">
        <v>0.1</v>
      </c>
      <c r="EW356">
        <v>0.1</v>
      </c>
      <c r="EX356">
        <v>0.2</v>
      </c>
      <c r="EY356">
        <v>0.3</v>
      </c>
      <c r="EZ356">
        <v>0.3</v>
      </c>
      <c r="FA356">
        <f>EV356*EQ356</f>
        <v>0.8</v>
      </c>
      <c r="FB356">
        <f>EW356*ER356</f>
        <v>0.8</v>
      </c>
      <c r="FC356">
        <f>EX356*ES356</f>
        <v>1.6</v>
      </c>
      <c r="FD356">
        <f>EY356*ET356</f>
        <v>2.4</v>
      </c>
      <c r="FE356">
        <f>EZ356*EU356</f>
        <v>2.4</v>
      </c>
      <c r="FF356">
        <v>16</v>
      </c>
      <c r="FG356">
        <v>0</v>
      </c>
      <c r="FH356">
        <v>8</v>
      </c>
      <c r="FI356">
        <f>FA356+FB356+FC356+FD356+FE356</f>
        <v>8</v>
      </c>
      <c r="FJ356">
        <f>MEDIAN(EQ356:EU356)</f>
        <v>8</v>
      </c>
      <c r="FL356">
        <v>37.049999999999997</v>
      </c>
      <c r="FM356">
        <v>8</v>
      </c>
      <c r="FN356" t="s">
        <v>2287</v>
      </c>
      <c r="FO356" t="s">
        <v>2288</v>
      </c>
      <c r="FP356" t="s">
        <v>2289</v>
      </c>
      <c r="FQ356" t="s">
        <v>2290</v>
      </c>
      <c r="FR356" t="s">
        <v>704</v>
      </c>
      <c r="FS356">
        <v>6.5</v>
      </c>
      <c r="FT356">
        <v>7</v>
      </c>
      <c r="FU356">
        <v>6</v>
      </c>
      <c r="FV356">
        <v>6.5</v>
      </c>
      <c r="FW356">
        <v>8</v>
      </c>
      <c r="FX356">
        <v>0.1</v>
      </c>
      <c r="FY356">
        <v>0.1</v>
      </c>
      <c r="FZ356">
        <v>0.2</v>
      </c>
      <c r="GA356">
        <v>0.3</v>
      </c>
      <c r="GB356">
        <v>0.3</v>
      </c>
      <c r="GC356">
        <f>FS356*FX356</f>
        <v>0.65</v>
      </c>
      <c r="GD356">
        <f>FT356*FY356</f>
        <v>0.70000000000000007</v>
      </c>
      <c r="GE356">
        <f>FU356*FZ356</f>
        <v>1.2000000000000002</v>
      </c>
      <c r="GF356">
        <f>FV356*GA356</f>
        <v>1.95</v>
      </c>
      <c r="GG356">
        <f>FW356*GB356</f>
        <v>2.4</v>
      </c>
      <c r="GH356">
        <v>7.8</v>
      </c>
      <c r="GI356">
        <v>0.2</v>
      </c>
      <c r="GJ356">
        <v>8</v>
      </c>
      <c r="GK356">
        <f>GC356+GD356+GE356+GF356+GG356</f>
        <v>6.9</v>
      </c>
      <c r="GL356">
        <f>MEDIAN(FS356:FW356)</f>
        <v>6.5</v>
      </c>
    </row>
    <row r="357" spans="1:194" hidden="1" x14ac:dyDescent="0.25">
      <c r="A357">
        <v>356</v>
      </c>
      <c r="B357" t="s">
        <v>2</v>
      </c>
      <c r="C357" s="4">
        <v>66.599999999999994</v>
      </c>
      <c r="D357">
        <v>3.7</v>
      </c>
      <c r="E357" s="1">
        <f>C357/3/D357</f>
        <v>5.9999999999999991</v>
      </c>
      <c r="G357">
        <v>99.01</v>
      </c>
      <c r="H357">
        <v>6.3</v>
      </c>
      <c r="I357">
        <f>H357*D357*3</f>
        <v>69.929999999999993</v>
      </c>
      <c r="J357">
        <v>24.16</v>
      </c>
      <c r="K357">
        <v>9</v>
      </c>
      <c r="L357" s="3">
        <f>K357*3*D357</f>
        <v>99.9</v>
      </c>
      <c r="M357">
        <v>3.98</v>
      </c>
      <c r="N357">
        <v>8</v>
      </c>
      <c r="O357">
        <f>N357*D357*3</f>
        <v>88.800000000000011</v>
      </c>
      <c r="P357" s="5">
        <v>7.5</v>
      </c>
      <c r="Q357" s="5">
        <f>P357*D357*3</f>
        <v>83.25</v>
      </c>
      <c r="S357" t="s">
        <v>6477</v>
      </c>
      <c r="T357">
        <v>6</v>
      </c>
      <c r="U357" s="8">
        <f>T357*D357*3</f>
        <v>66.600000000000009</v>
      </c>
      <c r="V357">
        <v>54.68</v>
      </c>
      <c r="W357">
        <v>8.4</v>
      </c>
      <c r="X357" s="5">
        <f>W357*D357*3</f>
        <v>93.240000000000009</v>
      </c>
      <c r="Y357">
        <v>9.14</v>
      </c>
      <c r="Z357">
        <v>6</v>
      </c>
      <c r="AA357">
        <f>Z357*D357*3</f>
        <v>66.600000000000009</v>
      </c>
      <c r="AC357">
        <v>126.87</v>
      </c>
      <c r="AD357">
        <v>7.9</v>
      </c>
      <c r="AE357" s="1">
        <f>AD357*3*D357</f>
        <v>87.690000000000012</v>
      </c>
      <c r="AF357">
        <v>12.25</v>
      </c>
      <c r="AG357" s="5">
        <v>7</v>
      </c>
      <c r="AH357" s="5">
        <f>AG357*D357*3</f>
        <v>77.7</v>
      </c>
      <c r="AI357" s="13"/>
      <c r="AJ357">
        <v>2.8</v>
      </c>
      <c r="AK357" s="8">
        <f>AJ357*D357*3</f>
        <v>31.08</v>
      </c>
      <c r="AL357" s="13"/>
      <c r="AM357">
        <v>31.14</v>
      </c>
      <c r="AN357">
        <v>7</v>
      </c>
      <c r="AO357" s="8">
        <f>AN357*D357*3</f>
        <v>77.7</v>
      </c>
      <c r="AP357">
        <v>14.28</v>
      </c>
      <c r="AQ357">
        <v>10</v>
      </c>
      <c r="AR357">
        <f>AQ357*D357*3</f>
        <v>111</v>
      </c>
      <c r="AT357">
        <v>9</v>
      </c>
      <c r="AU357">
        <f>AT357*D357*3</f>
        <v>99.9</v>
      </c>
      <c r="AX357">
        <v>8.1999999999999993</v>
      </c>
      <c r="AY357">
        <f>AX357*D357*3</f>
        <v>91.02</v>
      </c>
      <c r="BA357">
        <v>9.1</v>
      </c>
      <c r="BB357">
        <f>BA357*D357*3</f>
        <v>101.01</v>
      </c>
      <c r="BC357">
        <v>28.18</v>
      </c>
      <c r="BD357">
        <v>8.9</v>
      </c>
      <c r="BE357">
        <f>BD357*D357*3</f>
        <v>98.789999999999992</v>
      </c>
      <c r="BG357" s="10"/>
      <c r="BH357" s="1">
        <f>CHOOSE(MATCH(MIN(ABS(BP357-C357),ABS(BQ357-C357),ABS(BR357-C357)),CHOOSE({1;2;3},ABS(BP357-C357),ABS(BQ357-C357),ABS(BR357-C357)),0),BP357,BQ357,BR357)</f>
        <v>84.36</v>
      </c>
      <c r="BJ357" s="1" cm="1">
        <f t="array" ref="BJ357">(INDEX(_xlfn._xlws.SORT(CHOOSE({1;2;3;4;5;6},BQ357,BR357,L357,AE357,BO357,BP357)),3) + INDEX(_xlfn._xlws.SORT(CHOOSE({1;2;3;4;5;6},BQ357,BR357,L357,AE357,BO357,BP357)),4))/2</f>
        <v>94.350000000000009</v>
      </c>
      <c r="BK357">
        <v>6.0294565454192703</v>
      </c>
      <c r="BL357" t="s">
        <v>6117</v>
      </c>
      <c r="BM357" s="1">
        <f>BK357*3*D357</f>
        <v>66.926967654153898</v>
      </c>
      <c r="BN357" s="1">
        <f>BM357-C357</f>
        <v>0.32696765415390416</v>
      </c>
      <c r="BO357" s="1">
        <f>GK357*3*D357</f>
        <v>104.33999999999999</v>
      </c>
      <c r="BP357" s="1">
        <f>DO357*3*D357</f>
        <v>84.36</v>
      </c>
      <c r="BQ357" s="1">
        <f>FJ357*3*D357</f>
        <v>88.800000000000011</v>
      </c>
      <c r="BR357" s="1">
        <f>GL357*3*D357</f>
        <v>111</v>
      </c>
      <c r="BT357">
        <v>99.01</v>
      </c>
      <c r="BU357">
        <v>6.3</v>
      </c>
      <c r="BV357" t="s">
        <v>6051</v>
      </c>
      <c r="BW357" t="s">
        <v>6052</v>
      </c>
      <c r="BX357" t="s">
        <v>5545</v>
      </c>
      <c r="BY357" t="s">
        <v>6053</v>
      </c>
      <c r="BZ357" t="s">
        <v>6054</v>
      </c>
      <c r="CA357" t="s">
        <v>2452</v>
      </c>
      <c r="CC357" t="s">
        <v>2438</v>
      </c>
      <c r="CD357" t="s">
        <v>2453</v>
      </c>
      <c r="CE357" t="s">
        <v>2454</v>
      </c>
      <c r="CG357" t="s">
        <v>2455</v>
      </c>
      <c r="CH357" t="s">
        <v>2456</v>
      </c>
      <c r="CI357" t="s">
        <v>3289</v>
      </c>
      <c r="CJ357" t="s">
        <v>2458</v>
      </c>
      <c r="CK357" t="s">
        <v>3206</v>
      </c>
      <c r="CL357" t="s">
        <v>3207</v>
      </c>
      <c r="CM357" t="s">
        <v>3702</v>
      </c>
      <c r="CN357" t="s">
        <v>2886</v>
      </c>
      <c r="CO357" t="s">
        <v>3208</v>
      </c>
      <c r="CP357" t="s">
        <v>3209</v>
      </c>
      <c r="CQ357" t="s">
        <v>3703</v>
      </c>
      <c r="CR357" t="s">
        <v>2837</v>
      </c>
      <c r="CS357" t="s">
        <v>3704</v>
      </c>
      <c r="CT357" t="s">
        <v>3212</v>
      </c>
      <c r="CV357">
        <v>9</v>
      </c>
      <c r="CW357">
        <v>9</v>
      </c>
      <c r="CX357">
        <v>7</v>
      </c>
      <c r="CY357">
        <v>6</v>
      </c>
      <c r="CZ357">
        <v>7</v>
      </c>
      <c r="DA357">
        <v>0.1</v>
      </c>
      <c r="DB357">
        <v>0.1</v>
      </c>
      <c r="DC357">
        <v>0.2</v>
      </c>
      <c r="DD357">
        <v>0.3</v>
      </c>
      <c r="DE357">
        <v>0.3</v>
      </c>
      <c r="DF357">
        <v>0.9</v>
      </c>
      <c r="DG357">
        <v>0.9</v>
      </c>
      <c r="DH357">
        <v>1.4</v>
      </c>
      <c r="DI357">
        <v>1.8</v>
      </c>
      <c r="DJ357">
        <v>2.1</v>
      </c>
      <c r="DK357">
        <v>6.3</v>
      </c>
      <c r="DL357">
        <v>0</v>
      </c>
      <c r="DM357">
        <v>6.3</v>
      </c>
      <c r="DN357">
        <v>9</v>
      </c>
      <c r="DO357">
        <f>AVERAGE(CV357:CZ357)</f>
        <v>7.6</v>
      </c>
      <c r="DQ357">
        <v>8</v>
      </c>
      <c r="DR357" t="s">
        <v>47</v>
      </c>
      <c r="DS357" t="s">
        <v>251</v>
      </c>
      <c r="DT357" t="s">
        <v>118</v>
      </c>
      <c r="DU357" t="s">
        <v>564</v>
      </c>
      <c r="DV357" t="s">
        <v>468</v>
      </c>
      <c r="DW357" t="s">
        <v>3805</v>
      </c>
      <c r="DX357" t="s">
        <v>4341</v>
      </c>
      <c r="DY357" t="s">
        <v>4342</v>
      </c>
      <c r="DZ357" t="s">
        <v>4876</v>
      </c>
      <c r="EA357" t="s">
        <v>4344</v>
      </c>
      <c r="EB357" t="s">
        <v>4344</v>
      </c>
      <c r="EE357" t="s">
        <v>3966</v>
      </c>
      <c r="EF357" t="s">
        <v>4044</v>
      </c>
      <c r="EI357" t="s">
        <v>4960</v>
      </c>
      <c r="EJ357" t="s">
        <v>4960</v>
      </c>
      <c r="EM357" t="s">
        <v>3971</v>
      </c>
      <c r="EN357" t="s">
        <v>4346</v>
      </c>
      <c r="EQ357">
        <v>7</v>
      </c>
      <c r="ER357">
        <v>8</v>
      </c>
      <c r="ES357">
        <v>8</v>
      </c>
      <c r="ET357">
        <v>8</v>
      </c>
      <c r="EU357">
        <v>8</v>
      </c>
      <c r="EV357">
        <v>0.1</v>
      </c>
      <c r="EW357">
        <v>0.1</v>
      </c>
      <c r="EX357">
        <v>0.2</v>
      </c>
      <c r="EY357">
        <v>0.3</v>
      </c>
      <c r="EZ357">
        <v>0.3</v>
      </c>
      <c r="FA357">
        <f>EV357*EQ357</f>
        <v>0.70000000000000007</v>
      </c>
      <c r="FB357">
        <f>EW357*ER357</f>
        <v>0.8</v>
      </c>
      <c r="FC357">
        <f>EX357*ES357</f>
        <v>1.6</v>
      </c>
      <c r="FD357">
        <f>EY357*ET357</f>
        <v>2.4</v>
      </c>
      <c r="FE357">
        <f>EZ357*EU357</f>
        <v>2.4</v>
      </c>
      <c r="FF357">
        <v>20</v>
      </c>
      <c r="FG357">
        <v>0</v>
      </c>
      <c r="FH357">
        <v>8</v>
      </c>
      <c r="FI357">
        <f>FA357+FB357+FC357+FD357+FE357</f>
        <v>7.9</v>
      </c>
      <c r="FJ357">
        <f>MEDIAN(EQ357:EU357)</f>
        <v>8</v>
      </c>
      <c r="FL357">
        <v>85.99</v>
      </c>
      <c r="FM357">
        <v>10</v>
      </c>
      <c r="FN357" t="s">
        <v>1070</v>
      </c>
      <c r="FO357" t="s">
        <v>2291</v>
      </c>
      <c r="FP357" t="s">
        <v>2292</v>
      </c>
      <c r="FQ357" t="s">
        <v>2293</v>
      </c>
      <c r="FR357" t="s">
        <v>2294</v>
      </c>
      <c r="FS357">
        <v>10</v>
      </c>
      <c r="FT357">
        <v>10</v>
      </c>
      <c r="FU357">
        <v>10</v>
      </c>
      <c r="FV357">
        <v>9.5</v>
      </c>
      <c r="FW357">
        <v>8.5</v>
      </c>
      <c r="FX357">
        <v>0.1</v>
      </c>
      <c r="FY357">
        <v>0.1</v>
      </c>
      <c r="FZ357">
        <v>0.2</v>
      </c>
      <c r="GA357">
        <v>0.3</v>
      </c>
      <c r="GB357">
        <v>0.3</v>
      </c>
      <c r="GC357">
        <f>FS357*FX357</f>
        <v>1</v>
      </c>
      <c r="GD357">
        <f>FT357*FY357</f>
        <v>1</v>
      </c>
      <c r="GE357">
        <f>FU357*FZ357</f>
        <v>2</v>
      </c>
      <c r="GF357">
        <f>FV357*GA357</f>
        <v>2.85</v>
      </c>
      <c r="GG357">
        <f>FW357*GB357</f>
        <v>2.5499999999999998</v>
      </c>
      <c r="GH357">
        <v>10</v>
      </c>
      <c r="GI357">
        <v>0</v>
      </c>
      <c r="GJ357">
        <v>10</v>
      </c>
      <c r="GK357">
        <f>GC357+GD357+GE357+GF357+GG357</f>
        <v>9.3999999999999986</v>
      </c>
      <c r="GL357">
        <f>MEDIAN(FS357:FW357)</f>
        <v>10</v>
      </c>
    </row>
    <row r="358" spans="1:194" hidden="1" x14ac:dyDescent="0.25">
      <c r="A358">
        <v>357</v>
      </c>
      <c r="B358" t="s">
        <v>2</v>
      </c>
      <c r="C358" s="4">
        <v>69.3</v>
      </c>
      <c r="D358">
        <v>3.3</v>
      </c>
      <c r="E358" s="1">
        <f>C358/3/D358</f>
        <v>7</v>
      </c>
      <c r="G358">
        <v>40.44</v>
      </c>
      <c r="H358">
        <v>7.3</v>
      </c>
      <c r="I358">
        <f>H358*D358*3</f>
        <v>72.27</v>
      </c>
      <c r="J358">
        <v>16.52</v>
      </c>
      <c r="K358">
        <v>8.1</v>
      </c>
      <c r="L358" s="3">
        <f>K358*3*D358</f>
        <v>80.189999999999984</v>
      </c>
      <c r="M358">
        <v>4.9000000000000004</v>
      </c>
      <c r="N358">
        <v>3.7</v>
      </c>
      <c r="O358">
        <f>N358*D358*3</f>
        <v>36.629999999999995</v>
      </c>
      <c r="P358" s="5">
        <v>6.5</v>
      </c>
      <c r="Q358" s="5">
        <f>P358*D358*3</f>
        <v>64.349999999999994</v>
      </c>
      <c r="S358" t="s">
        <v>6478</v>
      </c>
      <c r="T358">
        <v>4.4000000000000004</v>
      </c>
      <c r="U358" s="8">
        <f>T358*D358*3</f>
        <v>43.56</v>
      </c>
      <c r="V358">
        <v>58</v>
      </c>
      <c r="W358">
        <v>4</v>
      </c>
      <c r="X358" s="5">
        <f>W358*D358*3</f>
        <v>39.599999999999994</v>
      </c>
      <c r="Y358">
        <v>8.83</v>
      </c>
      <c r="Z358">
        <v>6</v>
      </c>
      <c r="AA358">
        <f>Z358*D358*3</f>
        <v>59.399999999999991</v>
      </c>
      <c r="AC358">
        <v>128.24</v>
      </c>
      <c r="AD358">
        <v>8</v>
      </c>
      <c r="AE358" s="1">
        <f>AD358*3*D358</f>
        <v>79.199999999999989</v>
      </c>
      <c r="AF358">
        <v>11.83</v>
      </c>
      <c r="AG358" s="5">
        <v>7</v>
      </c>
      <c r="AH358" s="5">
        <f>AG358*D358*3</f>
        <v>69.3</v>
      </c>
      <c r="AI358" s="13"/>
      <c r="AK358" s="8">
        <f>AJ358*D358*3</f>
        <v>0</v>
      </c>
      <c r="AL358" s="13"/>
      <c r="AM358">
        <v>30.69</v>
      </c>
      <c r="AN358">
        <v>7.6</v>
      </c>
      <c r="AO358" s="8">
        <f>AN358*D358*3</f>
        <v>75.239999999999995</v>
      </c>
      <c r="AP358">
        <v>14.98</v>
      </c>
      <c r="AQ358">
        <v>9.5</v>
      </c>
      <c r="AR358">
        <f>AQ358*D358*3</f>
        <v>94.05</v>
      </c>
      <c r="AT358">
        <v>9</v>
      </c>
      <c r="AU358">
        <f>AT358*D358*3</f>
        <v>89.1</v>
      </c>
      <c r="AX358">
        <v>9.9</v>
      </c>
      <c r="AY358">
        <f>AX358*D358*3</f>
        <v>98.01</v>
      </c>
      <c r="BA358">
        <v>9</v>
      </c>
      <c r="BB358">
        <f>BA358*D358*3</f>
        <v>89.1</v>
      </c>
      <c r="BC358">
        <v>27.3</v>
      </c>
      <c r="BD358">
        <v>8.9</v>
      </c>
      <c r="BE358">
        <f>BD358*D358*3</f>
        <v>88.11</v>
      </c>
      <c r="BG358" s="10"/>
      <c r="BH358" s="1">
        <f>CHOOSE(MATCH(MIN(ABS(BP358-C358),ABS(BQ358-C358),ABS(BR358-C358)),CHOOSE({1;2;3},ABS(BP358-C358),ABS(BQ358-C358),ABS(BR358-C358)),0),BP358,BQ358,BR358)</f>
        <v>77.219999999999985</v>
      </c>
      <c r="BJ358" s="1" cm="1">
        <f t="array" ref="BJ358">(INDEX(_xlfn._xlws.SORT(CHOOSE({1;2;3;4;5;6},BQ358,BR358,L358,AE358,BO358,BP358)),3) + INDEX(_xlfn._xlws.SORT(CHOOSE({1;2;3;4;5;6},BQ358,BR358,L358,AE358,BO358,BP358)),4))/2</f>
        <v>79.694999999999993</v>
      </c>
      <c r="BK358">
        <v>7.0157430417503397</v>
      </c>
      <c r="BL358" t="s">
        <v>6117</v>
      </c>
      <c r="BM358" s="1">
        <f>BK358*3*D358</f>
        <v>69.455856113328352</v>
      </c>
      <c r="BN358" s="1">
        <f>BM358-C358</f>
        <v>0.1558561133283547</v>
      </c>
      <c r="BO358" s="1">
        <f>GK358*3*D358</f>
        <v>86.625</v>
      </c>
      <c r="BP358" s="1">
        <f>DO358*3*D358</f>
        <v>77.219999999999985</v>
      </c>
      <c r="BQ358" s="1">
        <f>FJ358*3*D358</f>
        <v>79.199999999999989</v>
      </c>
      <c r="BR358" s="1">
        <f>GL358*3*D358</f>
        <v>89.1</v>
      </c>
      <c r="BT358">
        <v>40.44</v>
      </c>
      <c r="BU358">
        <v>7.3</v>
      </c>
      <c r="BV358" t="s">
        <v>5032</v>
      </c>
      <c r="BW358" t="s">
        <v>5321</v>
      </c>
      <c r="BX358" t="s">
        <v>6055</v>
      </c>
      <c r="BY358" t="s">
        <v>6056</v>
      </c>
      <c r="BZ358" t="s">
        <v>6057</v>
      </c>
      <c r="CA358" t="s">
        <v>3705</v>
      </c>
      <c r="CC358" t="s">
        <v>2438</v>
      </c>
      <c r="CD358" t="s">
        <v>2533</v>
      </c>
      <c r="CE358" t="s">
        <v>3706</v>
      </c>
      <c r="CG358" t="s">
        <v>2441</v>
      </c>
      <c r="CH358" t="s">
        <v>2534</v>
      </c>
      <c r="CI358" t="s">
        <v>3707</v>
      </c>
      <c r="CJ358" t="s">
        <v>2458</v>
      </c>
      <c r="CK358" t="s">
        <v>3708</v>
      </c>
      <c r="CL358" t="s">
        <v>3709</v>
      </c>
      <c r="CM358" t="s">
        <v>3710</v>
      </c>
      <c r="CN358" t="s">
        <v>2462</v>
      </c>
      <c r="CO358" t="s">
        <v>3711</v>
      </c>
      <c r="CP358" t="s">
        <v>3712</v>
      </c>
      <c r="CQ358" t="s">
        <v>3713</v>
      </c>
      <c r="CR358" t="s">
        <v>2466</v>
      </c>
      <c r="CS358" t="s">
        <v>3714</v>
      </c>
      <c r="CT358" t="s">
        <v>3715</v>
      </c>
      <c r="CV358">
        <v>9</v>
      </c>
      <c r="CW358">
        <v>9</v>
      </c>
      <c r="CX358">
        <v>8</v>
      </c>
      <c r="CY358">
        <v>7</v>
      </c>
      <c r="CZ358">
        <v>6</v>
      </c>
      <c r="DA358">
        <v>0.1</v>
      </c>
      <c r="DB358">
        <v>0.1</v>
      </c>
      <c r="DC358">
        <v>0.2</v>
      </c>
      <c r="DD358">
        <v>0.3</v>
      </c>
      <c r="DE358">
        <v>0.3</v>
      </c>
      <c r="DF358">
        <v>0.9</v>
      </c>
      <c r="DG358">
        <v>0.9</v>
      </c>
      <c r="DH358">
        <v>1.6</v>
      </c>
      <c r="DI358">
        <v>2.1</v>
      </c>
      <c r="DJ358">
        <v>1.8</v>
      </c>
      <c r="DK358">
        <v>7.3</v>
      </c>
      <c r="DL358">
        <v>0</v>
      </c>
      <c r="DM358">
        <v>7.3</v>
      </c>
      <c r="DN358">
        <v>8.1</v>
      </c>
      <c r="DO358">
        <f>AVERAGE(CV358:CZ358)</f>
        <v>7.8</v>
      </c>
      <c r="DQ358">
        <v>8</v>
      </c>
      <c r="DR358" t="s">
        <v>33</v>
      </c>
      <c r="DS358" t="s">
        <v>104</v>
      </c>
      <c r="DT358" t="s">
        <v>565</v>
      </c>
      <c r="DU358" t="s">
        <v>566</v>
      </c>
      <c r="DV358" t="s">
        <v>567</v>
      </c>
      <c r="DW358" t="s">
        <v>3788</v>
      </c>
      <c r="DX358" t="s">
        <v>3789</v>
      </c>
      <c r="DY358" t="s">
        <v>4004</v>
      </c>
      <c r="DZ358" t="s">
        <v>4005</v>
      </c>
      <c r="EA358" t="s">
        <v>4006</v>
      </c>
      <c r="EB358" t="s">
        <v>3793</v>
      </c>
      <c r="EC358" t="s">
        <v>4007</v>
      </c>
      <c r="ED358" t="s">
        <v>4005</v>
      </c>
      <c r="EE358" t="s">
        <v>4008</v>
      </c>
      <c r="EF358" t="s">
        <v>3797</v>
      </c>
      <c r="EG358" t="s">
        <v>4009</v>
      </c>
      <c r="EH358" t="s">
        <v>4005</v>
      </c>
      <c r="EI358" t="s">
        <v>4379</v>
      </c>
      <c r="EJ358" t="s">
        <v>3800</v>
      </c>
      <c r="EK358" t="s">
        <v>4961</v>
      </c>
      <c r="EL358" t="s">
        <v>4005</v>
      </c>
      <c r="EM358" t="s">
        <v>4012</v>
      </c>
      <c r="EN358" t="s">
        <v>3803</v>
      </c>
      <c r="EO358" t="s">
        <v>4962</v>
      </c>
      <c r="EP358" t="s">
        <v>4005</v>
      </c>
      <c r="EQ358">
        <v>8</v>
      </c>
      <c r="ER358">
        <v>8</v>
      </c>
      <c r="ES358">
        <v>8</v>
      </c>
      <c r="ET358">
        <v>8</v>
      </c>
      <c r="EU358">
        <v>8</v>
      </c>
      <c r="EV358">
        <v>0.1</v>
      </c>
      <c r="EW358">
        <v>0.1</v>
      </c>
      <c r="EX358">
        <v>0.2</v>
      </c>
      <c r="EY358">
        <v>0.3</v>
      </c>
      <c r="EZ358">
        <v>0.3</v>
      </c>
      <c r="FA358">
        <f>EV358*EQ358</f>
        <v>0.8</v>
      </c>
      <c r="FB358">
        <f>EW358*ER358</f>
        <v>0.8</v>
      </c>
      <c r="FC358">
        <f>EX358*ES358</f>
        <v>1.6</v>
      </c>
      <c r="FD358">
        <f>EY358*ET358</f>
        <v>2.4</v>
      </c>
      <c r="FE358">
        <f>EZ358*EU358</f>
        <v>2.4</v>
      </c>
      <c r="FF358">
        <v>16</v>
      </c>
      <c r="FG358">
        <v>0</v>
      </c>
      <c r="FH358">
        <v>8</v>
      </c>
      <c r="FI358">
        <f>FA358+FB358+FC358+FD358+FE358</f>
        <v>8</v>
      </c>
      <c r="FJ358">
        <f>MEDIAN(EQ358:EU358)</f>
        <v>8</v>
      </c>
      <c r="FL358">
        <v>37.69</v>
      </c>
      <c r="FM358">
        <v>7.4</v>
      </c>
      <c r="FN358" t="s">
        <v>2295</v>
      </c>
      <c r="FO358" t="s">
        <v>2296</v>
      </c>
      <c r="FP358" t="s">
        <v>2297</v>
      </c>
      <c r="FQ358" t="s">
        <v>2298</v>
      </c>
      <c r="FR358" t="s">
        <v>2299</v>
      </c>
      <c r="FS358">
        <v>8</v>
      </c>
      <c r="FT358">
        <v>9</v>
      </c>
      <c r="FU358">
        <v>9</v>
      </c>
      <c r="FV358">
        <v>10</v>
      </c>
      <c r="FW358">
        <v>7.5</v>
      </c>
      <c r="FX358">
        <v>0.1</v>
      </c>
      <c r="FY358">
        <v>0.1</v>
      </c>
      <c r="FZ358">
        <v>0.2</v>
      </c>
      <c r="GA358">
        <v>0.3</v>
      </c>
      <c r="GB358">
        <v>0.3</v>
      </c>
      <c r="GC358">
        <f>FS358*FX358</f>
        <v>0.8</v>
      </c>
      <c r="GD358">
        <f>FT358*FY358</f>
        <v>0.9</v>
      </c>
      <c r="GE358">
        <f>FU358*FZ358</f>
        <v>1.8</v>
      </c>
      <c r="GF358">
        <f>FV358*GA358</f>
        <v>3</v>
      </c>
      <c r="GG358">
        <f>FW358*GB358</f>
        <v>2.25</v>
      </c>
      <c r="GH358">
        <v>6.95</v>
      </c>
      <c r="GI358">
        <v>0.05</v>
      </c>
      <c r="GJ358">
        <v>7.4</v>
      </c>
      <c r="GK358">
        <f>GC358+GD358+GE358+GF358+GG358</f>
        <v>8.75</v>
      </c>
      <c r="GL358">
        <f>MEDIAN(FS358:FW358)</f>
        <v>9</v>
      </c>
    </row>
    <row r="359" spans="1:194" hidden="1" x14ac:dyDescent="0.25">
      <c r="A359">
        <v>358</v>
      </c>
      <c r="B359" t="s">
        <v>2</v>
      </c>
      <c r="C359" s="4">
        <v>84.6</v>
      </c>
      <c r="D359">
        <v>3.6</v>
      </c>
      <c r="E359" s="1">
        <f>C359/3/D359</f>
        <v>7.833333333333333</v>
      </c>
      <c r="G359">
        <v>36.659999999999997</v>
      </c>
      <c r="H359">
        <v>8</v>
      </c>
      <c r="I359">
        <f>H359*D359*3</f>
        <v>86.4</v>
      </c>
      <c r="J359">
        <v>17.73</v>
      </c>
      <c r="K359">
        <v>8.4</v>
      </c>
      <c r="L359" s="3">
        <f>K359*3*D359</f>
        <v>90.720000000000013</v>
      </c>
      <c r="M359">
        <v>5.08</v>
      </c>
      <c r="N359">
        <v>5</v>
      </c>
      <c r="O359">
        <f>N359*D359*3</f>
        <v>54</v>
      </c>
      <c r="P359" s="5">
        <v>9</v>
      </c>
      <c r="Q359" s="5">
        <f>P359*D359*3</f>
        <v>97.199999999999989</v>
      </c>
      <c r="S359" t="s">
        <v>6479</v>
      </c>
      <c r="T359">
        <v>5.6</v>
      </c>
      <c r="U359" s="8">
        <f>T359*D359*3</f>
        <v>60.480000000000004</v>
      </c>
      <c r="V359">
        <v>51.22</v>
      </c>
      <c r="W359">
        <v>8.4</v>
      </c>
      <c r="X359" s="5">
        <f>W359*D359*3</f>
        <v>90.72</v>
      </c>
      <c r="Y359">
        <v>10.08</v>
      </c>
      <c r="Z359">
        <v>7.8</v>
      </c>
      <c r="AA359">
        <f>Z359*D359*3</f>
        <v>84.24</v>
      </c>
      <c r="AC359">
        <v>141.09</v>
      </c>
      <c r="AD359">
        <v>8</v>
      </c>
      <c r="AE359" s="1">
        <f>AD359*3*D359</f>
        <v>86.4</v>
      </c>
      <c r="AF359">
        <v>11.87</v>
      </c>
      <c r="AG359" s="5">
        <v>7</v>
      </c>
      <c r="AH359" s="5">
        <f>AG359*D359*3</f>
        <v>75.599999999999994</v>
      </c>
      <c r="AI359" s="13"/>
      <c r="AJ359">
        <v>0.9</v>
      </c>
      <c r="AK359" s="8">
        <f>AJ359*D359*3</f>
        <v>9.7200000000000006</v>
      </c>
      <c r="AL359" s="13"/>
      <c r="AM359">
        <v>30.84</v>
      </c>
      <c r="AN359">
        <v>7.9</v>
      </c>
      <c r="AO359" s="8">
        <f>AN359*D359*3</f>
        <v>85.320000000000007</v>
      </c>
      <c r="AP359">
        <v>14.79</v>
      </c>
      <c r="AQ359">
        <v>9.5</v>
      </c>
      <c r="AR359">
        <f>AQ359*D359*3</f>
        <v>102.60000000000001</v>
      </c>
      <c r="AT359">
        <v>9</v>
      </c>
      <c r="AU359">
        <f>AT359*D359*3</f>
        <v>97.199999999999989</v>
      </c>
      <c r="AX359">
        <v>8.8000000000000007</v>
      </c>
      <c r="AY359">
        <f>AX359*D359*3</f>
        <v>95.04</v>
      </c>
      <c r="BA359">
        <v>8.6999999999999993</v>
      </c>
      <c r="BB359">
        <f>BA359*D359*3</f>
        <v>93.96</v>
      </c>
      <c r="BC359">
        <v>26.73</v>
      </c>
      <c r="BD359">
        <v>8.1</v>
      </c>
      <c r="BE359">
        <f>BD359*D359*3</f>
        <v>87.48</v>
      </c>
      <c r="BG359" s="10"/>
      <c r="BH359" s="1">
        <f>CHOOSE(MATCH(MIN(ABS(BP359-C359),ABS(BQ359-C359),ABS(BR359-C359)),CHOOSE({1;2;3},ABS(BP359-C359),ABS(BQ359-C359),ABS(BR359-C359)),0),BP359,BQ359,BR359)</f>
        <v>86.4</v>
      </c>
      <c r="BJ359" s="1" cm="1">
        <f t="array" ref="BJ359">(INDEX(_xlfn._xlws.SORT(CHOOSE({1;2;3;4;5;6},BQ359,BR359,L359,AE359,BO359,BP359)),3) + INDEX(_xlfn._xlws.SORT(CHOOSE({1;2;3;4;5;6},BQ359,BR359,L359,AE359,BO359,BP359)),4))/2</f>
        <v>86.4</v>
      </c>
      <c r="BK359">
        <v>7.86031687468006</v>
      </c>
      <c r="BL359" t="s">
        <v>6117</v>
      </c>
      <c r="BM359" s="1">
        <f>BK359*3*D359</f>
        <v>84.89142224654465</v>
      </c>
      <c r="BN359" s="1">
        <f>BM359-C359</f>
        <v>0.29142224654465565</v>
      </c>
      <c r="BO359" s="1">
        <f>GK359*3*D359</f>
        <v>78.84</v>
      </c>
      <c r="BP359" s="1">
        <f>DO359*3*D359</f>
        <v>97.2</v>
      </c>
      <c r="BQ359" s="1">
        <f>FJ359*3*D359</f>
        <v>86.4</v>
      </c>
      <c r="BR359" s="1">
        <f>GL359*3*D359</f>
        <v>81</v>
      </c>
      <c r="BT359">
        <v>36.659999999999997</v>
      </c>
      <c r="BU359">
        <v>8</v>
      </c>
      <c r="BV359" t="s">
        <v>5003</v>
      </c>
      <c r="BW359" t="s">
        <v>5004</v>
      </c>
      <c r="BX359" t="s">
        <v>5005</v>
      </c>
      <c r="BY359" t="s">
        <v>5092</v>
      </c>
      <c r="BZ359" t="s">
        <v>5292</v>
      </c>
      <c r="CA359" t="s">
        <v>2437</v>
      </c>
      <c r="CC359" t="s">
        <v>2438</v>
      </c>
      <c r="CD359" t="s">
        <v>2439</v>
      </c>
      <c r="CE359" t="s">
        <v>2440</v>
      </c>
      <c r="CG359" t="s">
        <v>2441</v>
      </c>
      <c r="CH359" t="s">
        <v>2442</v>
      </c>
      <c r="CI359" t="s">
        <v>2738</v>
      </c>
      <c r="CK359" t="s">
        <v>2444</v>
      </c>
      <c r="CL359" t="s">
        <v>2445</v>
      </c>
      <c r="CM359" t="s">
        <v>2521</v>
      </c>
      <c r="CO359" t="s">
        <v>2447</v>
      </c>
      <c r="CP359" t="s">
        <v>2448</v>
      </c>
      <c r="CQ359" t="s">
        <v>2449</v>
      </c>
      <c r="CS359" t="s">
        <v>2450</v>
      </c>
      <c r="CT359" t="s">
        <v>2451</v>
      </c>
      <c r="CV359">
        <v>9</v>
      </c>
      <c r="CW359">
        <v>9</v>
      </c>
      <c r="CX359">
        <v>9</v>
      </c>
      <c r="CY359">
        <v>9</v>
      </c>
      <c r="CZ359">
        <v>9</v>
      </c>
      <c r="DA359">
        <v>0.1</v>
      </c>
      <c r="DB359">
        <v>0.1</v>
      </c>
      <c r="DC359">
        <v>0.2</v>
      </c>
      <c r="DD359">
        <v>0.3</v>
      </c>
      <c r="DE359">
        <v>0.3</v>
      </c>
      <c r="DF359">
        <v>0.9</v>
      </c>
      <c r="DG359">
        <v>0.9</v>
      </c>
      <c r="DH359">
        <v>1.8</v>
      </c>
      <c r="DI359">
        <v>2.7</v>
      </c>
      <c r="DJ359">
        <v>2.7</v>
      </c>
      <c r="DK359">
        <v>8</v>
      </c>
      <c r="DL359">
        <v>0</v>
      </c>
      <c r="DM359">
        <v>8</v>
      </c>
      <c r="DN359">
        <v>8.4</v>
      </c>
      <c r="DO359">
        <f>AVERAGE(CV359:CZ359)</f>
        <v>9</v>
      </c>
      <c r="DQ359" t="s">
        <v>27</v>
      </c>
      <c r="DR359" t="s">
        <v>33</v>
      </c>
      <c r="DS359" t="s">
        <v>170</v>
      </c>
      <c r="DT359" t="s">
        <v>98</v>
      </c>
      <c r="DU359" t="s">
        <v>171</v>
      </c>
      <c r="DV359" t="s">
        <v>172</v>
      </c>
      <c r="DW359" t="s">
        <v>3788</v>
      </c>
      <c r="DX359" t="s">
        <v>3789</v>
      </c>
      <c r="DY359" t="s">
        <v>3974</v>
      </c>
      <c r="DZ359" t="s">
        <v>3975</v>
      </c>
      <c r="EA359" t="s">
        <v>3934</v>
      </c>
      <c r="EB359" t="s">
        <v>3793</v>
      </c>
      <c r="EC359" t="s">
        <v>3976</v>
      </c>
      <c r="ED359" t="s">
        <v>4963</v>
      </c>
      <c r="EE359" t="s">
        <v>3978</v>
      </c>
      <c r="EF359" t="s">
        <v>3797</v>
      </c>
      <c r="EG359" t="s">
        <v>4155</v>
      </c>
      <c r="EH359" t="s">
        <v>4964</v>
      </c>
      <c r="EI359" t="s">
        <v>3981</v>
      </c>
      <c r="EJ359" t="s">
        <v>3800</v>
      </c>
      <c r="EK359" t="s">
        <v>3982</v>
      </c>
      <c r="EL359" t="s">
        <v>4965</v>
      </c>
      <c r="EM359" t="s">
        <v>4158</v>
      </c>
      <c r="EN359" t="s">
        <v>3803</v>
      </c>
      <c r="EO359" t="s">
        <v>3985</v>
      </c>
      <c r="EP359" t="s">
        <v>4966</v>
      </c>
      <c r="EQ359">
        <v>8</v>
      </c>
      <c r="ER359">
        <v>8</v>
      </c>
      <c r="ES359">
        <v>8</v>
      </c>
      <c r="ET359">
        <v>8</v>
      </c>
      <c r="EU359">
        <v>8</v>
      </c>
      <c r="EV359">
        <v>0.1</v>
      </c>
      <c r="EW359">
        <v>0.1</v>
      </c>
      <c r="EX359">
        <v>0.2</v>
      </c>
      <c r="EY359">
        <v>0.3</v>
      </c>
      <c r="EZ359">
        <v>0.3</v>
      </c>
      <c r="FA359">
        <f>EV359*EQ359</f>
        <v>0.8</v>
      </c>
      <c r="FB359">
        <f>EW359*ER359</f>
        <v>0.8</v>
      </c>
      <c r="FC359">
        <f>EX359*ES359</f>
        <v>1.6</v>
      </c>
      <c r="FD359">
        <f>EY359*ET359</f>
        <v>2.4</v>
      </c>
      <c r="FE359">
        <f>EZ359*EU359</f>
        <v>2.4</v>
      </c>
      <c r="FF359">
        <v>16</v>
      </c>
      <c r="FG359">
        <v>0</v>
      </c>
      <c r="FH359">
        <v>8</v>
      </c>
      <c r="FI359">
        <f>FA359+FB359+FC359+FD359+FE359</f>
        <v>8</v>
      </c>
      <c r="FJ359">
        <f>MEDIAN(EQ359:EU359)</f>
        <v>8</v>
      </c>
      <c r="FL359">
        <v>41.55</v>
      </c>
      <c r="FM359">
        <v>7.5</v>
      </c>
      <c r="FN359" t="s">
        <v>696</v>
      </c>
      <c r="FO359" t="s">
        <v>2300</v>
      </c>
      <c r="FP359" t="s">
        <v>2301</v>
      </c>
      <c r="FQ359" t="s">
        <v>2302</v>
      </c>
      <c r="FR359" t="s">
        <v>2303</v>
      </c>
      <c r="FS359">
        <v>8</v>
      </c>
      <c r="FT359">
        <v>7.5</v>
      </c>
      <c r="FU359">
        <v>8.5</v>
      </c>
      <c r="FV359">
        <v>6.5</v>
      </c>
      <c r="FW359">
        <v>7</v>
      </c>
      <c r="FX359">
        <v>0.1</v>
      </c>
      <c r="FY359">
        <v>0.1</v>
      </c>
      <c r="FZ359">
        <v>0.2</v>
      </c>
      <c r="GA359">
        <v>0.3</v>
      </c>
      <c r="GB359">
        <v>0.3</v>
      </c>
      <c r="GC359">
        <f>FS359*FX359</f>
        <v>0.8</v>
      </c>
      <c r="GD359">
        <f>FT359*FY359</f>
        <v>0.75</v>
      </c>
      <c r="GE359">
        <f>FU359*FZ359</f>
        <v>1.7000000000000002</v>
      </c>
      <c r="GF359">
        <f>FV359*GA359</f>
        <v>1.95</v>
      </c>
      <c r="GG359">
        <f>FW359*GB359</f>
        <v>2.1</v>
      </c>
      <c r="GH359">
        <v>6.45</v>
      </c>
      <c r="GI359">
        <v>0.5</v>
      </c>
      <c r="GJ359">
        <v>7.5</v>
      </c>
      <c r="GK359">
        <f>GC359+GD359+GE359+GF359+GG359</f>
        <v>7.3000000000000007</v>
      </c>
      <c r="GL359">
        <f>MEDIAN(FS359:FW359)</f>
        <v>7.5</v>
      </c>
    </row>
    <row r="360" spans="1:194" hidden="1" x14ac:dyDescent="0.25">
      <c r="A360">
        <v>359</v>
      </c>
      <c r="B360" t="s">
        <v>2</v>
      </c>
      <c r="C360" s="4">
        <v>79.8</v>
      </c>
      <c r="D360">
        <v>3.8</v>
      </c>
      <c r="E360" s="1">
        <f>C360/3/D360</f>
        <v>7</v>
      </c>
      <c r="G360">
        <v>86.19</v>
      </c>
      <c r="H360">
        <v>8.1999999999999993</v>
      </c>
      <c r="I360">
        <f>H360*D360*3</f>
        <v>93.47999999999999</v>
      </c>
      <c r="J360">
        <v>17.899999999999999</v>
      </c>
      <c r="K360">
        <v>8.8000000000000007</v>
      </c>
      <c r="L360" s="3">
        <f>K360*3*D360</f>
        <v>100.32000000000001</v>
      </c>
      <c r="M360">
        <v>5.63</v>
      </c>
      <c r="N360">
        <v>3</v>
      </c>
      <c r="O360">
        <f>N360*D360*3</f>
        <v>34.199999999999996</v>
      </c>
      <c r="P360" s="5">
        <v>8.5</v>
      </c>
      <c r="Q360" s="5">
        <f>P360*D360*3</f>
        <v>96.899999999999991</v>
      </c>
      <c r="S360" t="s">
        <v>6480</v>
      </c>
      <c r="T360">
        <v>6</v>
      </c>
      <c r="U360" s="8">
        <f>T360*D360*3</f>
        <v>68.399999999999991</v>
      </c>
      <c r="V360">
        <v>35.9</v>
      </c>
      <c r="W360">
        <v>8.4</v>
      </c>
      <c r="X360" s="5">
        <f>W360*D360*3</f>
        <v>95.759999999999991</v>
      </c>
      <c r="Y360">
        <v>9.82</v>
      </c>
      <c r="Z360">
        <v>7.5</v>
      </c>
      <c r="AA360">
        <f>Z360*D360*3</f>
        <v>85.5</v>
      </c>
      <c r="AC360">
        <v>140.52000000000001</v>
      </c>
      <c r="AD360">
        <v>7.9</v>
      </c>
      <c r="AE360" s="1">
        <f>AD360*3*D360</f>
        <v>90.06</v>
      </c>
      <c r="AF360">
        <v>11.82</v>
      </c>
      <c r="AG360" s="5">
        <v>7</v>
      </c>
      <c r="AH360" s="5">
        <f>AG360*D360*3</f>
        <v>79.8</v>
      </c>
      <c r="AI360" s="13"/>
      <c r="AJ360">
        <v>29</v>
      </c>
      <c r="AK360" s="8">
        <f>AJ360*D360*3</f>
        <v>330.59999999999997</v>
      </c>
      <c r="AL360" s="13"/>
      <c r="AM360">
        <v>31.21</v>
      </c>
      <c r="AN360">
        <v>7.1</v>
      </c>
      <c r="AO360" s="8">
        <f>AN360*D360*3</f>
        <v>80.94</v>
      </c>
      <c r="AP360">
        <v>14.95</v>
      </c>
      <c r="AQ360">
        <v>9.5</v>
      </c>
      <c r="AR360">
        <f>AQ360*D360*3</f>
        <v>108.30000000000001</v>
      </c>
      <c r="AT360">
        <v>9</v>
      </c>
      <c r="AU360">
        <f>AT360*D360*3</f>
        <v>102.6</v>
      </c>
      <c r="AX360">
        <v>9.3000000000000007</v>
      </c>
      <c r="AY360">
        <f>AX360*D360*3</f>
        <v>106.02000000000001</v>
      </c>
      <c r="BA360">
        <v>9.4</v>
      </c>
      <c r="BB360">
        <f>BA360*D360*3</f>
        <v>107.16</v>
      </c>
      <c r="BC360">
        <v>24.43</v>
      </c>
      <c r="BD360">
        <v>9</v>
      </c>
      <c r="BE360">
        <f>BD360*D360*3</f>
        <v>102.6</v>
      </c>
      <c r="BG360" s="10"/>
      <c r="BH360" s="1">
        <f>CHOOSE(MATCH(MIN(ABS(BP360-C360),ABS(BQ360-C360),ABS(BR360-C360)),CHOOSE({1;2;3},ABS(BP360-C360),ABS(BQ360-C360),ABS(BR360-C360)),0),BP360,BQ360,BR360)</f>
        <v>91.199999999999989</v>
      </c>
      <c r="BJ360" s="1" cm="1">
        <f t="array" ref="BJ360">(INDEX(_xlfn._xlws.SORT(CHOOSE({1;2;3;4;5;6},BQ360,BR360,L360,AE360,BO360,BP360)),3) + INDEX(_xlfn._xlws.SORT(CHOOSE({1;2;3;4;5;6},BQ360,BR360,L360,AE360,BO360,BP360)),4))/2</f>
        <v>101.46000000000001</v>
      </c>
      <c r="BK360">
        <v>7.0156402964925597</v>
      </c>
      <c r="BL360" t="s">
        <v>6117</v>
      </c>
      <c r="BM360" s="1">
        <f>BK360*3*D360</f>
        <v>79.978299380015173</v>
      </c>
      <c r="BN360" s="1">
        <f>BM360-C360</f>
        <v>0.17829938001517576</v>
      </c>
      <c r="BO360" s="1">
        <f>GK360*3*D360</f>
        <v>108.87</v>
      </c>
      <c r="BP360" s="1">
        <f>DO360*3*D360</f>
        <v>102.6</v>
      </c>
      <c r="BQ360" s="1">
        <f>FJ360*3*D360</f>
        <v>91.199999999999989</v>
      </c>
      <c r="BR360" s="1">
        <f>GL360*3*D360</f>
        <v>114</v>
      </c>
      <c r="BT360">
        <v>86.19</v>
      </c>
      <c r="BU360">
        <v>8.1999999999999993</v>
      </c>
      <c r="BV360" t="s">
        <v>6058</v>
      </c>
      <c r="BW360" t="s">
        <v>5047</v>
      </c>
      <c r="BX360" t="s">
        <v>6059</v>
      </c>
      <c r="BY360" t="s">
        <v>6060</v>
      </c>
      <c r="BZ360" t="s">
        <v>6061</v>
      </c>
      <c r="CA360" t="s">
        <v>2978</v>
      </c>
      <c r="CC360" t="s">
        <v>2842</v>
      </c>
      <c r="CD360" t="s">
        <v>2439</v>
      </c>
      <c r="CE360" t="s">
        <v>3037</v>
      </c>
      <c r="CG360" t="s">
        <v>3716</v>
      </c>
      <c r="CH360" t="s">
        <v>2442</v>
      </c>
      <c r="CI360" t="s">
        <v>3717</v>
      </c>
      <c r="CK360" t="s">
        <v>3718</v>
      </c>
      <c r="CL360" t="s">
        <v>2445</v>
      </c>
      <c r="CM360" t="s">
        <v>3719</v>
      </c>
      <c r="CO360" t="s">
        <v>3720</v>
      </c>
      <c r="CP360" t="s">
        <v>2448</v>
      </c>
      <c r="CQ360" t="s">
        <v>3721</v>
      </c>
      <c r="CS360" t="s">
        <v>3722</v>
      </c>
      <c r="CT360" t="s">
        <v>2451</v>
      </c>
      <c r="CV360">
        <v>9</v>
      </c>
      <c r="CW360">
        <v>9</v>
      </c>
      <c r="CX360">
        <v>9</v>
      </c>
      <c r="CY360">
        <v>9</v>
      </c>
      <c r="CZ360">
        <v>9</v>
      </c>
      <c r="DA360">
        <v>0.1</v>
      </c>
      <c r="DB360">
        <v>0.1</v>
      </c>
      <c r="DC360">
        <v>0.2</v>
      </c>
      <c r="DD360">
        <v>0.3</v>
      </c>
      <c r="DE360">
        <v>0.3</v>
      </c>
      <c r="DF360">
        <v>0.9</v>
      </c>
      <c r="DG360">
        <v>0.9</v>
      </c>
      <c r="DH360">
        <v>1.8</v>
      </c>
      <c r="DI360">
        <v>2.7</v>
      </c>
      <c r="DJ360">
        <v>2.7</v>
      </c>
      <c r="DK360">
        <v>8.1999999999999993</v>
      </c>
      <c r="DL360">
        <v>0</v>
      </c>
      <c r="DM360">
        <v>8.1999999999999993</v>
      </c>
      <c r="DN360">
        <v>8.8000000000000007</v>
      </c>
      <c r="DO360">
        <f>AVERAGE(CV360:CZ360)</f>
        <v>9</v>
      </c>
      <c r="DQ360">
        <v>15</v>
      </c>
      <c r="DR360" t="s">
        <v>213</v>
      </c>
      <c r="DS360" t="s">
        <v>29</v>
      </c>
      <c r="DT360" t="s">
        <v>180</v>
      </c>
      <c r="DU360" t="s">
        <v>58</v>
      </c>
      <c r="DV360" t="s">
        <v>59</v>
      </c>
      <c r="DW360" t="s">
        <v>3769</v>
      </c>
      <c r="DX360" t="s">
        <v>3770</v>
      </c>
      <c r="DY360" t="s">
        <v>3771</v>
      </c>
      <c r="DZ360" t="s">
        <v>3772</v>
      </c>
      <c r="EA360" t="s">
        <v>3806</v>
      </c>
      <c r="EB360" t="s">
        <v>3807</v>
      </c>
      <c r="EC360" t="s">
        <v>3775</v>
      </c>
      <c r="ED360" t="s">
        <v>3776</v>
      </c>
      <c r="EE360" t="s">
        <v>3819</v>
      </c>
      <c r="EF360" t="s">
        <v>4104</v>
      </c>
      <c r="EG360" t="s">
        <v>3810</v>
      </c>
      <c r="EH360" t="s">
        <v>3811</v>
      </c>
      <c r="EI360" t="s">
        <v>3820</v>
      </c>
      <c r="EJ360" t="s">
        <v>4174</v>
      </c>
      <c r="EK360" t="s">
        <v>3855</v>
      </c>
      <c r="EL360" t="s">
        <v>3856</v>
      </c>
      <c r="EM360" t="s">
        <v>3816</v>
      </c>
      <c r="EN360" t="s">
        <v>3823</v>
      </c>
      <c r="EO360" t="s">
        <v>3824</v>
      </c>
      <c r="EP360" t="s">
        <v>3857</v>
      </c>
      <c r="EQ360">
        <v>7</v>
      </c>
      <c r="ER360">
        <v>8</v>
      </c>
      <c r="ES360">
        <v>8</v>
      </c>
      <c r="ET360">
        <v>8</v>
      </c>
      <c r="EU360">
        <v>8</v>
      </c>
      <c r="EV360">
        <v>0.1</v>
      </c>
      <c r="EW360">
        <v>0.1</v>
      </c>
      <c r="EX360">
        <v>0.2</v>
      </c>
      <c r="EY360">
        <v>0.3</v>
      </c>
      <c r="EZ360">
        <v>0.3</v>
      </c>
      <c r="FA360">
        <f>EV360*EQ360</f>
        <v>0.70000000000000007</v>
      </c>
      <c r="FB360">
        <f>EW360*ER360</f>
        <v>0.8</v>
      </c>
      <c r="FC360">
        <f>EX360*ES360</f>
        <v>1.6</v>
      </c>
      <c r="FD360">
        <f>EY360*ET360</f>
        <v>2.4</v>
      </c>
      <c r="FE360">
        <f>EZ360*EU360</f>
        <v>2.4</v>
      </c>
      <c r="FF360">
        <v>15</v>
      </c>
      <c r="FG360">
        <v>0</v>
      </c>
      <c r="FH360">
        <v>15</v>
      </c>
      <c r="FI360">
        <f>FA360+FB360+FC360+FD360+FE360</f>
        <v>7.9</v>
      </c>
      <c r="FJ360">
        <f>MEDIAN(EQ360:EU360)</f>
        <v>8</v>
      </c>
      <c r="FL360">
        <v>85.57</v>
      </c>
      <c r="FM360">
        <v>9.5</v>
      </c>
      <c r="FN360" t="s">
        <v>2304</v>
      </c>
      <c r="FO360" t="s">
        <v>2305</v>
      </c>
      <c r="FP360" t="s">
        <v>2306</v>
      </c>
      <c r="FQ360" t="s">
        <v>2307</v>
      </c>
      <c r="FR360" t="s">
        <v>2308</v>
      </c>
      <c r="FS360">
        <v>10</v>
      </c>
      <c r="FT360">
        <v>10</v>
      </c>
      <c r="FU360">
        <v>10</v>
      </c>
      <c r="FV360">
        <v>10</v>
      </c>
      <c r="FW360">
        <v>8.5</v>
      </c>
      <c r="FX360">
        <v>0.1</v>
      </c>
      <c r="FY360">
        <v>0.1</v>
      </c>
      <c r="FZ360">
        <v>0.2</v>
      </c>
      <c r="GA360">
        <v>0.3</v>
      </c>
      <c r="GB360">
        <v>0.3</v>
      </c>
      <c r="GC360">
        <f>FS360*FX360</f>
        <v>1</v>
      </c>
      <c r="GD360">
        <f>FT360*FY360</f>
        <v>1</v>
      </c>
      <c r="GE360">
        <f>FU360*FZ360</f>
        <v>2</v>
      </c>
      <c r="GF360">
        <f>FV360*GA360</f>
        <v>3</v>
      </c>
      <c r="GG360">
        <f>FW360*GB360</f>
        <v>2.5499999999999998</v>
      </c>
      <c r="GH360">
        <v>10</v>
      </c>
      <c r="GI360">
        <v>-0.5</v>
      </c>
      <c r="GJ360">
        <v>9.5</v>
      </c>
      <c r="GK360">
        <f>GC360+GD360+GE360+GF360+GG360</f>
        <v>9.5500000000000007</v>
      </c>
      <c r="GL360">
        <f>MEDIAN(FS360:FW360)</f>
        <v>10</v>
      </c>
    </row>
    <row r="361" spans="1:194" x14ac:dyDescent="0.25">
      <c r="A361">
        <v>93</v>
      </c>
      <c r="B361" t="s">
        <v>2</v>
      </c>
      <c r="C361" s="4">
        <v>37.4</v>
      </c>
      <c r="D361">
        <v>3.4</v>
      </c>
      <c r="E361" s="1">
        <f>C361/3/D361</f>
        <v>3.666666666666667</v>
      </c>
      <c r="G361">
        <v>37.54</v>
      </c>
      <c r="H361">
        <v>6.5</v>
      </c>
      <c r="I361">
        <f>H361*D361*3</f>
        <v>66.3</v>
      </c>
      <c r="J361">
        <v>18.25</v>
      </c>
      <c r="K361">
        <v>8.4</v>
      </c>
      <c r="L361" s="3">
        <f>K361*3*D361</f>
        <v>85.68</v>
      </c>
      <c r="M361">
        <v>7.09</v>
      </c>
      <c r="N361">
        <v>3</v>
      </c>
      <c r="O361">
        <f>N361*D361*3</f>
        <v>30.599999999999998</v>
      </c>
      <c r="P361" s="5">
        <v>7</v>
      </c>
      <c r="Q361" s="5">
        <f>P361*D361*3</f>
        <v>71.400000000000006</v>
      </c>
      <c r="S361" t="s">
        <v>6230</v>
      </c>
      <c r="T361">
        <v>6.5</v>
      </c>
      <c r="U361" s="8">
        <f>T361*D361*3</f>
        <v>66.3</v>
      </c>
      <c r="V361">
        <v>30.01</v>
      </c>
      <c r="W361">
        <v>9</v>
      </c>
      <c r="X361" s="5">
        <f>W361*D361*3</f>
        <v>91.8</v>
      </c>
      <c r="Y361">
        <v>10.71</v>
      </c>
      <c r="Z361">
        <v>7.5</v>
      </c>
      <c r="AA361">
        <f>Z361*D361*3</f>
        <v>76.5</v>
      </c>
      <c r="AC361">
        <v>48.32</v>
      </c>
      <c r="AD361">
        <v>8</v>
      </c>
      <c r="AE361" s="1">
        <f>AD361*3*D361</f>
        <v>81.599999999999994</v>
      </c>
      <c r="AF361">
        <v>12.01</v>
      </c>
      <c r="AG361" s="5">
        <v>7</v>
      </c>
      <c r="AH361" s="5">
        <f>AG361*D361*3</f>
        <v>71.400000000000006</v>
      </c>
      <c r="AI361" s="13"/>
      <c r="AJ361">
        <v>2.7</v>
      </c>
      <c r="AK361" s="8">
        <f>AJ361*D361*3</f>
        <v>27.54</v>
      </c>
      <c r="AL361" s="13"/>
      <c r="AM361">
        <v>30.24</v>
      </c>
      <c r="AN361">
        <v>7</v>
      </c>
      <c r="AO361" s="8">
        <f>AN361*D361*3</f>
        <v>71.400000000000006</v>
      </c>
      <c r="AP361">
        <v>15.26</v>
      </c>
      <c r="AQ361">
        <v>10</v>
      </c>
      <c r="AR361">
        <f>AQ361*D361*3</f>
        <v>102</v>
      </c>
      <c r="AT361">
        <v>8.8000000000000007</v>
      </c>
      <c r="AU361">
        <f>AT361*D361*3</f>
        <v>89.76</v>
      </c>
      <c r="AW361">
        <v>27.38</v>
      </c>
      <c r="AX361">
        <v>9.1</v>
      </c>
      <c r="AY361">
        <f>AX361*D361*3</f>
        <v>92.82</v>
      </c>
      <c r="AZ361">
        <v>27.38</v>
      </c>
      <c r="BA361">
        <v>9</v>
      </c>
      <c r="BB361">
        <f>BA361*D361*3</f>
        <v>91.8</v>
      </c>
      <c r="BD361">
        <v>8.6</v>
      </c>
      <c r="BE361">
        <f>BD361*D361*3</f>
        <v>87.72</v>
      </c>
      <c r="BG361" s="10"/>
      <c r="BH361" s="1">
        <f>CHOOSE(MATCH(MIN(ABS(BP361-C361),ABS(BQ361-C361),ABS(BR361-C361)),CHOOSE({1;2;3},ABS(BP361-C361),ABS(BQ361-C361),ABS(BR361-C361)),0),BP361,BQ361,BR361)</f>
        <v>71.399999999999991</v>
      </c>
      <c r="BJ361" s="1" cm="1">
        <f t="array" ref="BJ361">(INDEX(_xlfn._xlws.SORT(CHOOSE({1;2;3;4;5;6},BQ361,BR361,L361,AE361,BO361,BP361)),3) + INDEX(_xlfn._xlws.SORT(CHOOSE({1;2;3;4;5;6},BQ361,BR361,L361,AE361,BO361,BP361)),4))/2</f>
        <v>78.03</v>
      </c>
      <c r="BK361">
        <v>7.28852681702051</v>
      </c>
      <c r="BL361" s="11" t="s">
        <v>6116</v>
      </c>
      <c r="BM361" s="1">
        <f>BK361*3*D361</f>
        <v>74.342973533609197</v>
      </c>
      <c r="BN361" s="1">
        <f>BM361-C361</f>
        <v>36.942973533609198</v>
      </c>
      <c r="BO361" s="1">
        <f>GK361*3*D361</f>
        <v>74.459999999999994</v>
      </c>
      <c r="BP361" s="1">
        <f>DO361*3*D361</f>
        <v>73.44</v>
      </c>
      <c r="BQ361" s="1">
        <f>FJ361*3*D361</f>
        <v>81.599999999999994</v>
      </c>
      <c r="BR361" s="1">
        <f>GL361*3*D361</f>
        <v>71.399999999999991</v>
      </c>
      <c r="BT361">
        <v>37.54</v>
      </c>
      <c r="BU361">
        <v>6.5</v>
      </c>
      <c r="BV361" t="s">
        <v>5018</v>
      </c>
      <c r="BW361" t="s">
        <v>5019</v>
      </c>
      <c r="BX361" t="s">
        <v>5325</v>
      </c>
      <c r="BY361" t="s">
        <v>5326</v>
      </c>
      <c r="BZ361" t="s">
        <v>5022</v>
      </c>
      <c r="CA361" t="s">
        <v>2437</v>
      </c>
      <c r="CC361" t="s">
        <v>2438</v>
      </c>
      <c r="CD361" t="s">
        <v>2744</v>
      </c>
      <c r="CE361" t="s">
        <v>2440</v>
      </c>
      <c r="CG361" t="s">
        <v>2791</v>
      </c>
      <c r="CH361" t="s">
        <v>2823</v>
      </c>
      <c r="CI361" t="s">
        <v>2535</v>
      </c>
      <c r="CJ361" t="s">
        <v>2427</v>
      </c>
      <c r="CK361" t="s">
        <v>2987</v>
      </c>
      <c r="CL361" t="s">
        <v>2825</v>
      </c>
      <c r="CM361" t="s">
        <v>3006</v>
      </c>
      <c r="CN361" t="s">
        <v>3006</v>
      </c>
      <c r="CO361" t="s">
        <v>3015</v>
      </c>
      <c r="CP361" t="s">
        <v>2828</v>
      </c>
      <c r="CQ361" t="s">
        <v>3009</v>
      </c>
      <c r="CR361" t="s">
        <v>3009</v>
      </c>
      <c r="CS361" t="s">
        <v>3016</v>
      </c>
      <c r="CT361" t="s">
        <v>2831</v>
      </c>
      <c r="CV361">
        <v>9</v>
      </c>
      <c r="CW361">
        <v>9</v>
      </c>
      <c r="CX361">
        <v>7</v>
      </c>
      <c r="CY361">
        <v>6</v>
      </c>
      <c r="CZ361">
        <v>5</v>
      </c>
      <c r="DA361">
        <v>0.1</v>
      </c>
      <c r="DB361">
        <v>0.1</v>
      </c>
      <c r="DC361">
        <v>0.2</v>
      </c>
      <c r="DD361">
        <v>0.3</v>
      </c>
      <c r="DE361">
        <v>0.3</v>
      </c>
      <c r="DF361">
        <v>0.9</v>
      </c>
      <c r="DG361">
        <v>0.9</v>
      </c>
      <c r="DH361">
        <v>1.4</v>
      </c>
      <c r="DI361">
        <v>1.8</v>
      </c>
      <c r="DJ361">
        <v>1.5</v>
      </c>
      <c r="DK361">
        <v>6.5</v>
      </c>
      <c r="DL361">
        <v>0</v>
      </c>
      <c r="DM361">
        <v>6.5</v>
      </c>
      <c r="DN361">
        <v>8.4</v>
      </c>
      <c r="DO361">
        <f>AVERAGE(CV361:CZ361)</f>
        <v>7.2</v>
      </c>
      <c r="DQ361">
        <v>8</v>
      </c>
      <c r="DR361" t="s">
        <v>33</v>
      </c>
      <c r="DS361" t="s">
        <v>86</v>
      </c>
      <c r="DT361" t="s">
        <v>87</v>
      </c>
      <c r="DU361" t="s">
        <v>88</v>
      </c>
      <c r="DV361" t="s">
        <v>248</v>
      </c>
      <c r="DW361" t="s">
        <v>3788</v>
      </c>
      <c r="DX361" t="s">
        <v>3789</v>
      </c>
      <c r="DY361" t="s">
        <v>3790</v>
      </c>
      <c r="DZ361" t="s">
        <v>3933</v>
      </c>
      <c r="EA361" t="s">
        <v>3952</v>
      </c>
      <c r="EB361" t="s">
        <v>3953</v>
      </c>
      <c r="EC361" t="s">
        <v>4323</v>
      </c>
      <c r="ED361" t="s">
        <v>3933</v>
      </c>
      <c r="EE361" t="s">
        <v>3956</v>
      </c>
      <c r="EF361" t="s">
        <v>3844</v>
      </c>
      <c r="EG361" t="s">
        <v>4324</v>
      </c>
      <c r="EH361" t="s">
        <v>4325</v>
      </c>
      <c r="EI361" t="s">
        <v>3959</v>
      </c>
      <c r="EJ361" t="s">
        <v>3848</v>
      </c>
      <c r="EK361" t="s">
        <v>4326</v>
      </c>
      <c r="EL361" t="s">
        <v>4325</v>
      </c>
      <c r="EM361" t="s">
        <v>4327</v>
      </c>
      <c r="EN361" t="s">
        <v>3852</v>
      </c>
      <c r="EO361" t="s">
        <v>4328</v>
      </c>
      <c r="EP361" t="s">
        <v>4329</v>
      </c>
      <c r="EQ361">
        <v>8</v>
      </c>
      <c r="ER361">
        <v>8</v>
      </c>
      <c r="ES361">
        <v>8</v>
      </c>
      <c r="ET361">
        <v>8</v>
      </c>
      <c r="EU361">
        <v>8</v>
      </c>
      <c r="EV361">
        <v>0.1</v>
      </c>
      <c r="EW361">
        <v>0.1</v>
      </c>
      <c r="EX361">
        <v>0.2</v>
      </c>
      <c r="EY361">
        <v>0.3</v>
      </c>
      <c r="EZ361">
        <v>0.3</v>
      </c>
      <c r="FA361">
        <f>EV361*EQ361</f>
        <v>0.8</v>
      </c>
      <c r="FB361">
        <f>EW361*ER361</f>
        <v>0.8</v>
      </c>
      <c r="FC361">
        <f>EX361*ES361</f>
        <v>1.6</v>
      </c>
      <c r="FD361">
        <f>EY361*ET361</f>
        <v>2.4</v>
      </c>
      <c r="FE361">
        <f>EZ361*EU361</f>
        <v>2.4</v>
      </c>
      <c r="FF361">
        <v>16</v>
      </c>
      <c r="FG361">
        <v>0</v>
      </c>
      <c r="FH361">
        <v>8</v>
      </c>
      <c r="FI361">
        <f>FA361+FB361+FC361+FD361+FE361</f>
        <v>8</v>
      </c>
      <c r="FJ361">
        <f>MEDIAN(EQ361:EU361)</f>
        <v>8</v>
      </c>
      <c r="FL361">
        <v>40.51</v>
      </c>
      <c r="FN361" t="s">
        <v>1047</v>
      </c>
      <c r="FO361" t="s">
        <v>1048</v>
      </c>
      <c r="FP361" t="s">
        <v>1049</v>
      </c>
      <c r="FQ361" t="s">
        <v>1050</v>
      </c>
      <c r="FR361" t="s">
        <v>1051</v>
      </c>
      <c r="FS361">
        <v>5</v>
      </c>
      <c r="FT361">
        <v>8</v>
      </c>
      <c r="FU361">
        <v>6</v>
      </c>
      <c r="FV361">
        <v>7</v>
      </c>
      <c r="FW361">
        <v>9</v>
      </c>
      <c r="FX361">
        <v>0.1</v>
      </c>
      <c r="FY361">
        <v>0.1</v>
      </c>
      <c r="FZ361">
        <v>0.2</v>
      </c>
      <c r="GA361">
        <v>0.3</v>
      </c>
      <c r="GB361">
        <v>0.3</v>
      </c>
      <c r="GC361">
        <f>FS361*FX361</f>
        <v>0.5</v>
      </c>
      <c r="GD361">
        <f>FT361*FY361</f>
        <v>0.8</v>
      </c>
      <c r="GE361">
        <f>FU361*FZ361</f>
        <v>1.2000000000000002</v>
      </c>
      <c r="GF361">
        <f>FV361*GA361</f>
        <v>2.1</v>
      </c>
      <c r="GG361">
        <f>FW361*GB361</f>
        <v>2.6999999999999997</v>
      </c>
      <c r="GH361">
        <v>8.6999999999999993</v>
      </c>
      <c r="GJ361">
        <v>9.1999999999999993</v>
      </c>
      <c r="GK361">
        <f>GC361+GD361+GE361+GF361+GG361</f>
        <v>7.2999999999999989</v>
      </c>
      <c r="GL361">
        <f>MEDIAN(FS361:FW361)</f>
        <v>7</v>
      </c>
    </row>
    <row r="362" spans="1:194" hidden="1" x14ac:dyDescent="0.25">
      <c r="A362">
        <v>361</v>
      </c>
      <c r="B362" t="s">
        <v>2</v>
      </c>
      <c r="C362" s="4">
        <v>93.6</v>
      </c>
      <c r="D362">
        <v>3.6</v>
      </c>
      <c r="E362" s="1">
        <f>C362/3/D362</f>
        <v>8.6666666666666661</v>
      </c>
      <c r="G362">
        <v>33.869999999999997</v>
      </c>
      <c r="H362">
        <v>7.4</v>
      </c>
      <c r="I362">
        <f>H362*D362*3</f>
        <v>79.92</v>
      </c>
      <c r="J362">
        <v>16.96</v>
      </c>
      <c r="K362">
        <v>9</v>
      </c>
      <c r="L362" s="3">
        <f>K362*3*D362</f>
        <v>97.2</v>
      </c>
      <c r="M362">
        <v>5.13</v>
      </c>
      <c r="N362">
        <v>5</v>
      </c>
      <c r="O362">
        <f>N362*D362*3</f>
        <v>54</v>
      </c>
      <c r="P362" s="5">
        <v>7</v>
      </c>
      <c r="Q362" s="5">
        <f>P362*D362*3</f>
        <v>75.599999999999994</v>
      </c>
      <c r="S362" t="s">
        <v>6482</v>
      </c>
      <c r="T362">
        <v>8.5</v>
      </c>
      <c r="U362" s="8">
        <f>T362*D362*3</f>
        <v>91.800000000000011</v>
      </c>
      <c r="V362">
        <v>42.34</v>
      </c>
      <c r="W362">
        <v>8.4</v>
      </c>
      <c r="X362" s="5">
        <f>W362*D362*3</f>
        <v>90.72</v>
      </c>
      <c r="Y362">
        <v>11.09</v>
      </c>
      <c r="Z362">
        <v>7.8</v>
      </c>
      <c r="AA362">
        <f>Z362*D362*3</f>
        <v>84.24</v>
      </c>
      <c r="AC362">
        <v>129.13</v>
      </c>
      <c r="AD362">
        <v>6.2</v>
      </c>
      <c r="AE362" s="1">
        <f>AD362*3*D362</f>
        <v>66.960000000000008</v>
      </c>
      <c r="AF362">
        <v>12.32</v>
      </c>
      <c r="AG362" s="5">
        <v>7</v>
      </c>
      <c r="AH362" s="5">
        <f>AG362*D362*3</f>
        <v>75.599999999999994</v>
      </c>
      <c r="AI362" s="13"/>
      <c r="AJ362">
        <v>8.1999999999999993</v>
      </c>
      <c r="AK362" s="8">
        <f>AJ362*D362*3</f>
        <v>88.56</v>
      </c>
      <c r="AL362" s="13"/>
      <c r="AM362">
        <v>31.99</v>
      </c>
      <c r="AN362">
        <v>7.2</v>
      </c>
      <c r="AO362" s="8">
        <f>AN362*D362*3</f>
        <v>77.760000000000005</v>
      </c>
      <c r="AP362">
        <v>13.06</v>
      </c>
      <c r="AQ362">
        <v>10</v>
      </c>
      <c r="AR362">
        <f>AQ362*D362*3</f>
        <v>108</v>
      </c>
      <c r="AT362">
        <v>8.6</v>
      </c>
      <c r="AU362">
        <f>AT362*D362*3</f>
        <v>92.88</v>
      </c>
      <c r="AX362">
        <v>9</v>
      </c>
      <c r="AY362">
        <f>AX362*D362*3</f>
        <v>97.199999999999989</v>
      </c>
      <c r="BA362">
        <v>9.1999999999999993</v>
      </c>
      <c r="BB362">
        <f>BA362*D362*3</f>
        <v>99.359999999999985</v>
      </c>
      <c r="BC362">
        <v>28.55</v>
      </c>
      <c r="BD362">
        <v>9</v>
      </c>
      <c r="BE362">
        <f>BD362*D362*3</f>
        <v>97.199999999999989</v>
      </c>
      <c r="BG362" s="10"/>
      <c r="BH362" s="1">
        <f>CHOOSE(MATCH(MIN(ABS(BP362-C362),ABS(BQ362-C362),ABS(BR362-C362)),CHOOSE({1;2;3},ABS(BP362-C362),ABS(BQ362-C362),ABS(BR362-C362)),0),BP362,BQ362,BR362)</f>
        <v>92.88</v>
      </c>
      <c r="BJ362" s="1" cm="1">
        <f t="array" ref="BJ362">(INDEX(_xlfn._xlws.SORT(CHOOSE({1;2;3;4;5;6},BQ362,BR362,L362,AE362,BO362,BP362)),3) + INDEX(_xlfn._xlws.SORT(CHOOSE({1;2;3;4;5;6},BQ362,BR362,L362,AE362,BO362,BP362)),4))/2</f>
        <v>71.28</v>
      </c>
      <c r="BK362">
        <v>8.6187026767400106</v>
      </c>
      <c r="BL362" t="s">
        <v>6117</v>
      </c>
      <c r="BM362" s="1">
        <f>BK362*3*D362</f>
        <v>93.081988908792113</v>
      </c>
      <c r="BN362" s="1">
        <f>BM362-C362</f>
        <v>-0.51801109120788169</v>
      </c>
      <c r="BO362" s="1">
        <f>GK362*3*D362</f>
        <v>66.960000000000008</v>
      </c>
      <c r="BP362" s="1">
        <f>DO362*3*D362</f>
        <v>92.88</v>
      </c>
      <c r="BQ362" s="1">
        <f>FJ362*3*D362</f>
        <v>64.8</v>
      </c>
      <c r="BR362" s="1">
        <f>GL362*3*D362</f>
        <v>75.600000000000009</v>
      </c>
      <c r="BT362">
        <v>33.869999999999997</v>
      </c>
      <c r="BU362">
        <v>7.4</v>
      </c>
      <c r="BV362" t="s">
        <v>5032</v>
      </c>
      <c r="BW362" t="s">
        <v>5321</v>
      </c>
      <c r="BX362" t="s">
        <v>5322</v>
      </c>
      <c r="BY362" t="s">
        <v>6066</v>
      </c>
      <c r="BZ362" t="s">
        <v>6067</v>
      </c>
      <c r="CA362" t="s">
        <v>2550</v>
      </c>
      <c r="CC362" t="s">
        <v>2634</v>
      </c>
      <c r="CD362" t="s">
        <v>3031</v>
      </c>
      <c r="CE362" t="s">
        <v>2553</v>
      </c>
      <c r="CG362" t="s">
        <v>2634</v>
      </c>
      <c r="CH362" t="s">
        <v>2773</v>
      </c>
      <c r="CI362" t="s">
        <v>2774</v>
      </c>
      <c r="CK362" t="s">
        <v>2634</v>
      </c>
      <c r="CL362" t="s">
        <v>2775</v>
      </c>
      <c r="CM362" t="s">
        <v>2595</v>
      </c>
      <c r="CO362" t="s">
        <v>2634</v>
      </c>
      <c r="CP362" t="s">
        <v>3238</v>
      </c>
      <c r="CQ362" t="s">
        <v>2777</v>
      </c>
      <c r="CR362" t="s">
        <v>2778</v>
      </c>
      <c r="CS362" t="s">
        <v>2779</v>
      </c>
      <c r="CT362" t="s">
        <v>3033</v>
      </c>
      <c r="CV362">
        <v>9</v>
      </c>
      <c r="CW362">
        <v>9</v>
      </c>
      <c r="CX362">
        <v>9</v>
      </c>
      <c r="CY362">
        <v>9</v>
      </c>
      <c r="CZ362">
        <v>7</v>
      </c>
      <c r="DA362">
        <v>0.1</v>
      </c>
      <c r="DB362">
        <v>0.1</v>
      </c>
      <c r="DC362">
        <v>0.2</v>
      </c>
      <c r="DD362">
        <v>0.3</v>
      </c>
      <c r="DE362">
        <v>0.3</v>
      </c>
      <c r="DF362">
        <v>0.9</v>
      </c>
      <c r="DG362">
        <v>0.9</v>
      </c>
      <c r="DH362">
        <v>1.8</v>
      </c>
      <c r="DI362">
        <v>2.7</v>
      </c>
      <c r="DJ362">
        <v>2.1</v>
      </c>
      <c r="DK362">
        <v>7.4</v>
      </c>
      <c r="DL362">
        <v>0</v>
      </c>
      <c r="DM362">
        <v>7.4</v>
      </c>
      <c r="DN362">
        <v>9</v>
      </c>
      <c r="DO362">
        <f>AVERAGE(CV362:CZ362)</f>
        <v>8.6</v>
      </c>
      <c r="DQ362">
        <v>6</v>
      </c>
      <c r="DR362" t="s">
        <v>173</v>
      </c>
      <c r="DS362" t="s">
        <v>181</v>
      </c>
      <c r="DT362" t="s">
        <v>182</v>
      </c>
      <c r="DU362" t="s">
        <v>572</v>
      </c>
      <c r="DV362" t="s">
        <v>177</v>
      </c>
      <c r="DW362" t="s">
        <v>3911</v>
      </c>
      <c r="DX362" t="s">
        <v>4160</v>
      </c>
      <c r="DY362" t="s">
        <v>4161</v>
      </c>
      <c r="DZ362" t="s">
        <v>4162</v>
      </c>
      <c r="EA362" t="s">
        <v>4178</v>
      </c>
      <c r="EB362" t="s">
        <v>4179</v>
      </c>
      <c r="EE362" t="s">
        <v>4180</v>
      </c>
      <c r="EF362" t="s">
        <v>3813</v>
      </c>
      <c r="EH362" t="s">
        <v>4049</v>
      </c>
      <c r="EI362" t="s">
        <v>4181</v>
      </c>
      <c r="EJ362" t="s">
        <v>4520</v>
      </c>
      <c r="EL362" t="s">
        <v>4521</v>
      </c>
      <c r="EM362" t="s">
        <v>4522</v>
      </c>
      <c r="EN362" t="s">
        <v>3967</v>
      </c>
      <c r="EP362" t="s">
        <v>4969</v>
      </c>
      <c r="EQ362">
        <v>4</v>
      </c>
      <c r="ER362">
        <v>8</v>
      </c>
      <c r="ES362">
        <v>7</v>
      </c>
      <c r="ET362">
        <v>6</v>
      </c>
      <c r="EU362">
        <v>6</v>
      </c>
      <c r="EV362">
        <v>0.1</v>
      </c>
      <c r="EW362">
        <v>0.1</v>
      </c>
      <c r="EX362">
        <v>0.2</v>
      </c>
      <c r="EY362">
        <v>0.3</v>
      </c>
      <c r="EZ362">
        <v>0.3</v>
      </c>
      <c r="FA362">
        <f>EV362*EQ362</f>
        <v>0.4</v>
      </c>
      <c r="FB362">
        <f>EW362*ER362</f>
        <v>0.8</v>
      </c>
      <c r="FC362">
        <f>EX362*ES362</f>
        <v>1.4000000000000001</v>
      </c>
      <c r="FD362">
        <f>EY362*ET362</f>
        <v>1.7999999999999998</v>
      </c>
      <c r="FE362">
        <f>EZ362*EU362</f>
        <v>1.7999999999999998</v>
      </c>
      <c r="FF362">
        <v>16</v>
      </c>
      <c r="FG362">
        <v>0</v>
      </c>
      <c r="FH362">
        <v>16</v>
      </c>
      <c r="FI362">
        <f>FA362+FB362+FC362+FD362+FE362</f>
        <v>6.2</v>
      </c>
      <c r="FJ362">
        <f>MEDIAN(EQ362:EU362)</f>
        <v>6</v>
      </c>
      <c r="FL362">
        <v>41.5</v>
      </c>
      <c r="FM362">
        <v>5</v>
      </c>
      <c r="FN362" t="s">
        <v>1070</v>
      </c>
      <c r="FO362" t="s">
        <v>2314</v>
      </c>
      <c r="FP362" t="s">
        <v>2315</v>
      </c>
      <c r="FQ362" t="s">
        <v>2316</v>
      </c>
      <c r="FR362" t="s">
        <v>2317</v>
      </c>
      <c r="FS362">
        <v>10</v>
      </c>
      <c r="FT362">
        <v>8</v>
      </c>
      <c r="FU362">
        <v>7</v>
      </c>
      <c r="FV362">
        <v>6</v>
      </c>
      <c r="FW362">
        <v>4</v>
      </c>
      <c r="FX362">
        <v>0.1</v>
      </c>
      <c r="FY362">
        <v>0.1</v>
      </c>
      <c r="FZ362">
        <v>0.2</v>
      </c>
      <c r="GA362">
        <v>0.3</v>
      </c>
      <c r="GB362">
        <v>0.3</v>
      </c>
      <c r="GC362">
        <f>FS362*FX362</f>
        <v>1</v>
      </c>
      <c r="GD362">
        <f>FT362*FY362</f>
        <v>0.8</v>
      </c>
      <c r="GE362">
        <f>FU362*FZ362</f>
        <v>1.4000000000000001</v>
      </c>
      <c r="GF362">
        <f>FV362*GA362</f>
        <v>1.7999999999999998</v>
      </c>
      <c r="GG362">
        <f>FW362*GB362</f>
        <v>1.2</v>
      </c>
      <c r="GH362">
        <v>5</v>
      </c>
      <c r="GI362">
        <v>0</v>
      </c>
      <c r="GJ362">
        <v>5</v>
      </c>
      <c r="GK362">
        <f>GC362+GD362+GE362+GF362+GG362</f>
        <v>6.2</v>
      </c>
      <c r="GL362">
        <f>MEDIAN(FS362:FW362)</f>
        <v>7</v>
      </c>
    </row>
    <row r="363" spans="1:194" hidden="1" x14ac:dyDescent="0.25">
      <c r="A363">
        <v>362</v>
      </c>
      <c r="B363" t="s">
        <v>2</v>
      </c>
      <c r="C363" s="4">
        <v>72.599999999999994</v>
      </c>
      <c r="D363">
        <v>3.3</v>
      </c>
      <c r="E363" s="1">
        <f>C363/3/D363</f>
        <v>7.3333333333333339</v>
      </c>
      <c r="G363">
        <v>38.1</v>
      </c>
      <c r="H363">
        <v>8</v>
      </c>
      <c r="I363">
        <f>H363*D363*3</f>
        <v>79.199999999999989</v>
      </c>
      <c r="J363">
        <v>16.13</v>
      </c>
      <c r="K363">
        <v>9</v>
      </c>
      <c r="L363" s="3">
        <f>K363*3*D363</f>
        <v>89.1</v>
      </c>
      <c r="M363">
        <v>4.92</v>
      </c>
      <c r="N363">
        <v>5</v>
      </c>
      <c r="O363">
        <f>N363*D363*3</f>
        <v>49.5</v>
      </c>
      <c r="P363" s="5">
        <v>7.9</v>
      </c>
      <c r="Q363" s="5">
        <f>P363*D363*3</f>
        <v>78.210000000000008</v>
      </c>
      <c r="S363" t="s">
        <v>6483</v>
      </c>
      <c r="T363">
        <v>5.6</v>
      </c>
      <c r="U363" s="8">
        <f>T363*D363*3</f>
        <v>55.439999999999991</v>
      </c>
      <c r="V363">
        <v>39.71</v>
      </c>
      <c r="W363">
        <v>8.4</v>
      </c>
      <c r="X363" s="5">
        <f>W363*D363*3</f>
        <v>83.16</v>
      </c>
      <c r="Y363">
        <v>9.57</v>
      </c>
      <c r="Z363">
        <v>7.5</v>
      </c>
      <c r="AA363">
        <f>Z363*D363*3</f>
        <v>74.25</v>
      </c>
      <c r="AC363">
        <v>136.85</v>
      </c>
      <c r="AD363">
        <v>7.1</v>
      </c>
      <c r="AE363" s="1">
        <f>AD363*3*D363</f>
        <v>70.289999999999992</v>
      </c>
      <c r="AF363">
        <v>11.87</v>
      </c>
      <c r="AG363" s="5">
        <v>7</v>
      </c>
      <c r="AH363" s="5">
        <f>AG363*D363*3</f>
        <v>69.3</v>
      </c>
      <c r="AI363" s="13"/>
      <c r="AK363" s="8">
        <f>AJ363*D363*3</f>
        <v>0</v>
      </c>
      <c r="AL363" s="13"/>
      <c r="AM363">
        <v>30.8</v>
      </c>
      <c r="AN363">
        <v>7.9</v>
      </c>
      <c r="AO363" s="8">
        <f>AN363*D363*3</f>
        <v>78.210000000000008</v>
      </c>
      <c r="AP363">
        <v>13.49</v>
      </c>
      <c r="AQ363">
        <v>10</v>
      </c>
      <c r="AR363">
        <f>AQ363*D363*3</f>
        <v>99</v>
      </c>
      <c r="AT363">
        <v>9</v>
      </c>
      <c r="AU363">
        <f>AT363*D363*3</f>
        <v>89.1</v>
      </c>
      <c r="AX363">
        <v>9.9</v>
      </c>
      <c r="AY363">
        <f>AX363*D363*3</f>
        <v>98.01</v>
      </c>
      <c r="BA363">
        <v>9.1</v>
      </c>
      <c r="BB363">
        <f>BA363*D363*3</f>
        <v>90.089999999999989</v>
      </c>
      <c r="BC363">
        <v>24.11</v>
      </c>
      <c r="BD363">
        <v>7.5</v>
      </c>
      <c r="BE363">
        <f>BD363*D363*3</f>
        <v>74.25</v>
      </c>
      <c r="BG363" s="10"/>
      <c r="BH363" s="1">
        <f>CHOOSE(MATCH(MIN(ABS(BP363-C363),ABS(BQ363-C363),ABS(BR363-C363)),CHOOSE({1;2;3},ABS(BP363-C363),ABS(BQ363-C363),ABS(BR363-C363)),0),BP363,BQ363,BR363)</f>
        <v>69.3</v>
      </c>
      <c r="BJ363" s="1" cm="1">
        <f t="array" ref="BJ363">(INDEX(_xlfn._xlws.SORT(CHOOSE({1;2;3;4;5;6},BQ363,BR363,L363,AE363,BO363,BP363)),3) + INDEX(_xlfn._xlws.SORT(CHOOSE({1;2;3;4;5;6},BQ363,BR363,L363,AE363,BO363,BP363)),4))/2</f>
        <v>69.794999999999987</v>
      </c>
      <c r="BK363">
        <v>7.3875381454914697</v>
      </c>
      <c r="BL363" t="s">
        <v>6117</v>
      </c>
      <c r="BM363" s="1">
        <f>BK363*3*D363</f>
        <v>73.136627640365546</v>
      </c>
      <c r="BN363" s="1">
        <f>BM363-C363</f>
        <v>0.53662764036555188</v>
      </c>
      <c r="BO363" s="1">
        <f>GK363*3*D363</f>
        <v>38.114999999999995</v>
      </c>
      <c r="BP363" s="1">
        <f>DO363*3*D363</f>
        <v>89.1</v>
      </c>
      <c r="BQ363" s="1">
        <f>FJ363*3*D363</f>
        <v>69.3</v>
      </c>
      <c r="BR363" s="1">
        <f>GL363*3*D363</f>
        <v>29.7</v>
      </c>
      <c r="BT363">
        <v>38.1</v>
      </c>
      <c r="BU363">
        <v>8</v>
      </c>
      <c r="BV363" t="s">
        <v>6068</v>
      </c>
      <c r="CA363" t="s">
        <v>2452</v>
      </c>
      <c r="CC363" t="s">
        <v>2438</v>
      </c>
      <c r="CD363" t="s">
        <v>2453</v>
      </c>
      <c r="CE363" t="s">
        <v>2586</v>
      </c>
      <c r="CG363" t="s">
        <v>3728</v>
      </c>
      <c r="CH363" t="s">
        <v>3729</v>
      </c>
      <c r="CI363" t="s">
        <v>2567</v>
      </c>
      <c r="CK363" t="s">
        <v>3730</v>
      </c>
      <c r="CL363" t="s">
        <v>3339</v>
      </c>
      <c r="CM363" t="s">
        <v>2589</v>
      </c>
      <c r="CO363" t="s">
        <v>3731</v>
      </c>
      <c r="CP363" t="s">
        <v>2863</v>
      </c>
      <c r="CQ363" t="s">
        <v>3030</v>
      </c>
      <c r="CS363" t="s">
        <v>3732</v>
      </c>
      <c r="CT363" t="s">
        <v>3342</v>
      </c>
      <c r="CV363">
        <v>9</v>
      </c>
      <c r="CW363">
        <v>9</v>
      </c>
      <c r="CX363">
        <v>9</v>
      </c>
      <c r="CY363">
        <v>9</v>
      </c>
      <c r="CZ363">
        <v>9</v>
      </c>
      <c r="DA363">
        <v>0.1</v>
      </c>
      <c r="DB363">
        <v>0.1</v>
      </c>
      <c r="DC363">
        <v>0.2</v>
      </c>
      <c r="DD363">
        <v>0.3</v>
      </c>
      <c r="DE363">
        <v>0.3</v>
      </c>
      <c r="DF363">
        <v>0.9</v>
      </c>
      <c r="DG363">
        <v>0.9</v>
      </c>
      <c r="DH363">
        <v>1.8</v>
      </c>
      <c r="DI363">
        <v>2.7</v>
      </c>
      <c r="DJ363">
        <v>2.7</v>
      </c>
      <c r="DK363">
        <v>8</v>
      </c>
      <c r="DL363">
        <v>0</v>
      </c>
      <c r="DM363">
        <v>8</v>
      </c>
      <c r="DN363">
        <v>9</v>
      </c>
      <c r="DO363">
        <f>AVERAGE(CV363:CZ363)</f>
        <v>9</v>
      </c>
      <c r="DQ363">
        <v>14</v>
      </c>
      <c r="DR363" t="s">
        <v>28</v>
      </c>
      <c r="DS363" t="s">
        <v>43</v>
      </c>
      <c r="DT363" t="s">
        <v>178</v>
      </c>
      <c r="DU363" t="s">
        <v>157</v>
      </c>
      <c r="DV363" t="s">
        <v>236</v>
      </c>
      <c r="DW363" t="s">
        <v>3805</v>
      </c>
      <c r="DX363" t="s">
        <v>3770</v>
      </c>
      <c r="DY363" t="s">
        <v>3771</v>
      </c>
      <c r="DZ363" t="s">
        <v>3772</v>
      </c>
      <c r="EA363" t="s">
        <v>3806</v>
      </c>
      <c r="EB363" t="s">
        <v>3807</v>
      </c>
      <c r="EC363" t="s">
        <v>3775</v>
      </c>
      <c r="ED363" t="s">
        <v>3776</v>
      </c>
      <c r="EE363" t="s">
        <v>3819</v>
      </c>
      <c r="EF363" t="s">
        <v>4104</v>
      </c>
      <c r="EG363" t="s">
        <v>4048</v>
      </c>
      <c r="EH363" t="s">
        <v>4015</v>
      </c>
      <c r="EI363" t="s">
        <v>4105</v>
      </c>
      <c r="EJ363" t="s">
        <v>3813</v>
      </c>
      <c r="EK363" t="s">
        <v>4049</v>
      </c>
      <c r="EL363" t="s">
        <v>3815</v>
      </c>
      <c r="EM363" t="s">
        <v>3816</v>
      </c>
      <c r="EN363" t="s">
        <v>3931</v>
      </c>
      <c r="EO363" t="s">
        <v>4164</v>
      </c>
      <c r="EP363" t="s">
        <v>3818</v>
      </c>
      <c r="EQ363">
        <v>7</v>
      </c>
      <c r="ER363">
        <v>8</v>
      </c>
      <c r="ES363">
        <v>7</v>
      </c>
      <c r="ET363">
        <v>7</v>
      </c>
      <c r="EU363">
        <v>7</v>
      </c>
      <c r="EV363">
        <v>0.1</v>
      </c>
      <c r="EW363">
        <v>0.1</v>
      </c>
      <c r="EX363">
        <v>0.2</v>
      </c>
      <c r="EY363">
        <v>0.3</v>
      </c>
      <c r="EZ363">
        <v>0.3</v>
      </c>
      <c r="FA363">
        <f>EV363*EQ363</f>
        <v>0.70000000000000007</v>
      </c>
      <c r="FB363">
        <f>EW363*ER363</f>
        <v>0.8</v>
      </c>
      <c r="FC363">
        <f>EX363*ES363</f>
        <v>1.4000000000000001</v>
      </c>
      <c r="FD363">
        <f>EY363*ET363</f>
        <v>2.1</v>
      </c>
      <c r="FE363">
        <f>EZ363*EU363</f>
        <v>2.1</v>
      </c>
      <c r="FF363">
        <v>14</v>
      </c>
      <c r="FG363">
        <v>0</v>
      </c>
      <c r="FH363">
        <v>14</v>
      </c>
      <c r="FI363">
        <f>FA363+FB363+FC363+FD363+FE363</f>
        <v>7.1</v>
      </c>
      <c r="FJ363">
        <f>MEDIAN(EQ363:EU363)</f>
        <v>7</v>
      </c>
      <c r="FL363">
        <v>37.880000000000003</v>
      </c>
      <c r="FM363">
        <v>7.5</v>
      </c>
      <c r="FN363" t="s">
        <v>2318</v>
      </c>
      <c r="FO363" t="s">
        <v>2319</v>
      </c>
      <c r="FP363" t="s">
        <v>2320</v>
      </c>
      <c r="FQ363" t="s">
        <v>2321</v>
      </c>
      <c r="FR363" t="s">
        <v>2322</v>
      </c>
      <c r="FS363">
        <v>2.5</v>
      </c>
      <c r="FT363">
        <v>3</v>
      </c>
      <c r="FU363">
        <v>1.5</v>
      </c>
      <c r="FV363">
        <v>4</v>
      </c>
      <c r="FW363">
        <v>6</v>
      </c>
      <c r="FX363">
        <v>0.1</v>
      </c>
      <c r="FY363">
        <v>0.1</v>
      </c>
      <c r="FZ363">
        <v>0.2</v>
      </c>
      <c r="GA363">
        <v>0.3</v>
      </c>
      <c r="GB363">
        <v>0.3</v>
      </c>
      <c r="GC363">
        <f>FS363*FX363</f>
        <v>0.25</v>
      </c>
      <c r="GD363">
        <f>FT363*FY363</f>
        <v>0.30000000000000004</v>
      </c>
      <c r="GE363">
        <f>FU363*FZ363</f>
        <v>0.30000000000000004</v>
      </c>
      <c r="GF363">
        <f>FV363*GA363</f>
        <v>1.2</v>
      </c>
      <c r="GG363">
        <f>FW363*GB363</f>
        <v>1.7999999999999998</v>
      </c>
      <c r="GH363">
        <v>7.5</v>
      </c>
      <c r="GI363">
        <v>0</v>
      </c>
      <c r="GJ363">
        <v>7.5</v>
      </c>
      <c r="GK363">
        <f>GC363+GD363+GE363+GF363+GG363</f>
        <v>3.8499999999999996</v>
      </c>
      <c r="GL363">
        <f>MEDIAN(FS363:FW363)</f>
        <v>3</v>
      </c>
    </row>
    <row r="364" spans="1:194" hidden="1" x14ac:dyDescent="0.25">
      <c r="A364">
        <v>363</v>
      </c>
      <c r="B364" t="s">
        <v>2</v>
      </c>
      <c r="C364" s="4">
        <v>70.2</v>
      </c>
      <c r="D364">
        <v>3.6</v>
      </c>
      <c r="E364" s="1">
        <f>C364/3/D364</f>
        <v>6.5</v>
      </c>
      <c r="G364">
        <v>41.34</v>
      </c>
      <c r="H364">
        <v>8.1999999999999993</v>
      </c>
      <c r="I364">
        <f>H364*D364*3</f>
        <v>88.56</v>
      </c>
      <c r="J364">
        <v>18.18</v>
      </c>
      <c r="K364">
        <v>9</v>
      </c>
      <c r="L364" s="3">
        <f>K364*3*D364</f>
        <v>97.2</v>
      </c>
      <c r="M364">
        <v>4.4800000000000004</v>
      </c>
      <c r="N364">
        <v>6</v>
      </c>
      <c r="O364">
        <f>N364*D364*3</f>
        <v>64.800000000000011</v>
      </c>
      <c r="P364" s="5">
        <v>7</v>
      </c>
      <c r="Q364" s="5">
        <f>P364*D364*3</f>
        <v>75.599999999999994</v>
      </c>
      <c r="S364" t="s">
        <v>6449</v>
      </c>
      <c r="T364">
        <v>5</v>
      </c>
      <c r="U364" s="8">
        <f>T364*D364*3</f>
        <v>54</v>
      </c>
      <c r="V364">
        <v>39.01</v>
      </c>
      <c r="W364">
        <v>8.6999999999999993</v>
      </c>
      <c r="X364" s="5">
        <f>W364*D364*3</f>
        <v>93.96</v>
      </c>
      <c r="Y364">
        <v>10.85</v>
      </c>
      <c r="Z364">
        <v>8</v>
      </c>
      <c r="AA364">
        <f>Z364*D364*3</f>
        <v>86.4</v>
      </c>
      <c r="AC364">
        <v>135.44</v>
      </c>
      <c r="AD364">
        <v>7.6</v>
      </c>
      <c r="AE364" s="1">
        <f>AD364*3*D364</f>
        <v>82.08</v>
      </c>
      <c r="AF364">
        <v>12.03</v>
      </c>
      <c r="AG364" s="5">
        <v>7</v>
      </c>
      <c r="AH364" s="5">
        <f>AG364*D364*3</f>
        <v>75.599999999999994</v>
      </c>
      <c r="AI364" s="13"/>
      <c r="AK364" s="8">
        <f>AJ364*D364*3</f>
        <v>0</v>
      </c>
      <c r="AL364" s="13"/>
      <c r="AM364">
        <v>29.98</v>
      </c>
      <c r="AN364">
        <v>7.4</v>
      </c>
      <c r="AO364" s="8">
        <f>AN364*D364*3</f>
        <v>79.92</v>
      </c>
      <c r="AP364">
        <v>11.91</v>
      </c>
      <c r="AQ364">
        <v>10</v>
      </c>
      <c r="AR364">
        <f>AQ364*D364*3</f>
        <v>108</v>
      </c>
      <c r="AT364">
        <v>8.6999999999999993</v>
      </c>
      <c r="AU364">
        <f>AT364*D364*3</f>
        <v>93.96</v>
      </c>
      <c r="AX364">
        <v>9.1999999999999993</v>
      </c>
      <c r="AY364">
        <f>AX364*D364*3</f>
        <v>99.359999999999985</v>
      </c>
      <c r="BA364">
        <v>9</v>
      </c>
      <c r="BB364">
        <f>BA364*D364*3</f>
        <v>97.199999999999989</v>
      </c>
      <c r="BC364">
        <v>28.5</v>
      </c>
      <c r="BD364">
        <v>8.9</v>
      </c>
      <c r="BE364">
        <f>BD364*D364*3</f>
        <v>96.12</v>
      </c>
      <c r="BG364" s="10"/>
      <c r="BH364" s="1">
        <f>CHOOSE(MATCH(MIN(ABS(BP364-C364),ABS(BQ364-C364),ABS(BR364-C364)),CHOOSE({1;2;3},ABS(BP364-C364),ABS(BQ364-C364),ABS(BR364-C364)),0),BP364,BQ364,BR364)</f>
        <v>64.8</v>
      </c>
      <c r="BJ364" s="1" cm="1">
        <f t="array" ref="BJ364">(INDEX(_xlfn._xlws.SORT(CHOOSE({1;2;3;4;5;6},BQ364,BR364,L364,AE364,BO364,BP364)),3) + INDEX(_xlfn._xlws.SORT(CHOOSE({1;2;3;4;5;6},BQ364,BR364,L364,AE364,BO364,BP364)),4))/2</f>
        <v>84.240000000000009</v>
      </c>
      <c r="BK364">
        <v>6.45807763410237</v>
      </c>
      <c r="BL364" t="s">
        <v>6117</v>
      </c>
      <c r="BM364" s="1">
        <f>BK364*3*D364</f>
        <v>69.747238448305595</v>
      </c>
      <c r="BN364" s="1">
        <f>BM364-C364</f>
        <v>-0.45276155169440813</v>
      </c>
      <c r="BO364" s="1">
        <f>GK364*3*D364</f>
        <v>62.639999999999993</v>
      </c>
      <c r="BP364" s="1">
        <f>DO364*3*D364</f>
        <v>97.2</v>
      </c>
      <c r="BQ364" s="1">
        <f>FJ364*3*D364</f>
        <v>86.4</v>
      </c>
      <c r="BR364" s="1">
        <f>GL364*3*D364</f>
        <v>64.8</v>
      </c>
      <c r="BT364">
        <v>41.34</v>
      </c>
      <c r="BU364">
        <v>8.1999999999999993</v>
      </c>
      <c r="BV364" t="s">
        <v>5412</v>
      </c>
      <c r="BW364" t="s">
        <v>6069</v>
      </c>
      <c r="BX364" t="s">
        <v>5095</v>
      </c>
      <c r="BY364" t="s">
        <v>6070</v>
      </c>
      <c r="BZ364" t="s">
        <v>6071</v>
      </c>
      <c r="CA364" t="s">
        <v>3239</v>
      </c>
      <c r="CC364" t="s">
        <v>2525</v>
      </c>
      <c r="CD364" t="s">
        <v>3733</v>
      </c>
      <c r="CE364" t="s">
        <v>3734</v>
      </c>
      <c r="CG364" t="s">
        <v>2593</v>
      </c>
      <c r="CH364" t="s">
        <v>3735</v>
      </c>
      <c r="CI364" t="s">
        <v>3736</v>
      </c>
      <c r="CK364" t="s">
        <v>3737</v>
      </c>
      <c r="CL364" t="s">
        <v>3738</v>
      </c>
      <c r="CM364" t="s">
        <v>3739</v>
      </c>
      <c r="CO364" t="s">
        <v>3740</v>
      </c>
      <c r="CP364" t="s">
        <v>3741</v>
      </c>
      <c r="CQ364" t="s">
        <v>3742</v>
      </c>
      <c r="CS364" t="s">
        <v>3743</v>
      </c>
      <c r="CT364" t="s">
        <v>3744</v>
      </c>
      <c r="CV364">
        <v>9</v>
      </c>
      <c r="CW364">
        <v>9</v>
      </c>
      <c r="CX364">
        <v>9</v>
      </c>
      <c r="CY364">
        <v>9</v>
      </c>
      <c r="CZ364">
        <v>9</v>
      </c>
      <c r="DA364">
        <v>0.1</v>
      </c>
      <c r="DB364">
        <v>0.1</v>
      </c>
      <c r="DC364">
        <v>0.2</v>
      </c>
      <c r="DD364">
        <v>0.3</v>
      </c>
      <c r="DE364">
        <v>0.3</v>
      </c>
      <c r="DF364">
        <v>0.9</v>
      </c>
      <c r="DG364">
        <v>0.9</v>
      </c>
      <c r="DH364">
        <v>1.8</v>
      </c>
      <c r="DI364">
        <v>2.7</v>
      </c>
      <c r="DJ364">
        <v>2.7</v>
      </c>
      <c r="DK364">
        <v>8.1999999999999993</v>
      </c>
      <c r="DL364">
        <v>0</v>
      </c>
      <c r="DM364">
        <v>8.1999999999999993</v>
      </c>
      <c r="DN364">
        <v>9</v>
      </c>
      <c r="DO364">
        <f>AVERAGE(CV364:CZ364)</f>
        <v>9</v>
      </c>
      <c r="DQ364">
        <v>8</v>
      </c>
      <c r="DR364" t="s">
        <v>38</v>
      </c>
      <c r="DS364" t="s">
        <v>29</v>
      </c>
      <c r="DT364" t="s">
        <v>573</v>
      </c>
      <c r="DU364" t="s">
        <v>415</v>
      </c>
      <c r="DV364" t="s">
        <v>574</v>
      </c>
      <c r="DW364" t="s">
        <v>3805</v>
      </c>
      <c r="DX364" t="s">
        <v>3770</v>
      </c>
      <c r="DY364" t="s">
        <v>3771</v>
      </c>
      <c r="DZ364" t="s">
        <v>3772</v>
      </c>
      <c r="EA364" t="s">
        <v>3806</v>
      </c>
      <c r="EB364" t="s">
        <v>3807</v>
      </c>
      <c r="EC364" t="s">
        <v>3775</v>
      </c>
      <c r="ED364" t="s">
        <v>3776</v>
      </c>
      <c r="EE364" t="s">
        <v>3808</v>
      </c>
      <c r="EF364" t="s">
        <v>4104</v>
      </c>
      <c r="EG364" t="s">
        <v>4588</v>
      </c>
      <c r="EH364" t="s">
        <v>3811</v>
      </c>
      <c r="EI364" t="s">
        <v>3820</v>
      </c>
      <c r="EJ364" t="s">
        <v>4174</v>
      </c>
      <c r="EK364" t="s">
        <v>4014</v>
      </c>
      <c r="EL364" t="s">
        <v>3815</v>
      </c>
      <c r="EM364" t="s">
        <v>4970</v>
      </c>
      <c r="EN364" t="s">
        <v>4050</v>
      </c>
      <c r="EO364" t="s">
        <v>4720</v>
      </c>
      <c r="EP364" t="s">
        <v>3818</v>
      </c>
      <c r="EQ364">
        <v>7</v>
      </c>
      <c r="ER364">
        <v>8</v>
      </c>
      <c r="ES364">
        <v>8</v>
      </c>
      <c r="ET364">
        <v>7</v>
      </c>
      <c r="EU364">
        <v>8</v>
      </c>
      <c r="EV364">
        <v>0.1</v>
      </c>
      <c r="EW364">
        <v>0.1</v>
      </c>
      <c r="EX364">
        <v>0.2</v>
      </c>
      <c r="EY364">
        <v>0.3</v>
      </c>
      <c r="EZ364">
        <v>0.3</v>
      </c>
      <c r="FA364">
        <f>EV364*EQ364</f>
        <v>0.70000000000000007</v>
      </c>
      <c r="FB364">
        <f>EW364*ER364</f>
        <v>0.8</v>
      </c>
      <c r="FC364">
        <f>EX364*ES364</f>
        <v>1.6</v>
      </c>
      <c r="FD364">
        <f>EY364*ET364</f>
        <v>2.1</v>
      </c>
      <c r="FE364">
        <f>EZ364*EU364</f>
        <v>2.4</v>
      </c>
      <c r="FF364">
        <v>17</v>
      </c>
      <c r="FG364">
        <v>0</v>
      </c>
      <c r="FH364">
        <v>8</v>
      </c>
      <c r="FI364">
        <f>FA364+FB364+FC364+FD364+FE364</f>
        <v>7.6</v>
      </c>
      <c r="FJ364">
        <f>MEDIAN(EQ364:EU364)</f>
        <v>8</v>
      </c>
      <c r="FL364">
        <v>36.89</v>
      </c>
      <c r="FM364">
        <v>9.1999999999999993</v>
      </c>
      <c r="FN364" t="s">
        <v>2323</v>
      </c>
      <c r="FO364" t="s">
        <v>2324</v>
      </c>
      <c r="FP364" t="s">
        <v>2325</v>
      </c>
      <c r="FQ364" t="s">
        <v>2326</v>
      </c>
      <c r="FR364" t="s">
        <v>2327</v>
      </c>
      <c r="FS364">
        <v>5</v>
      </c>
      <c r="FT364">
        <v>8</v>
      </c>
      <c r="FU364">
        <v>6</v>
      </c>
      <c r="FV364">
        <v>7</v>
      </c>
      <c r="FW364">
        <v>4</v>
      </c>
      <c r="FX364">
        <v>0.1</v>
      </c>
      <c r="FY364">
        <v>0.1</v>
      </c>
      <c r="FZ364">
        <v>0.2</v>
      </c>
      <c r="GA364">
        <v>0.3</v>
      </c>
      <c r="GB364">
        <v>0.3</v>
      </c>
      <c r="GC364">
        <f>FS364*FX364</f>
        <v>0.5</v>
      </c>
      <c r="GD364">
        <f>FT364*FY364</f>
        <v>0.8</v>
      </c>
      <c r="GE364">
        <f>FU364*FZ364</f>
        <v>1.2000000000000002</v>
      </c>
      <c r="GF364">
        <f>FV364*GA364</f>
        <v>2.1</v>
      </c>
      <c r="GG364">
        <f>FW364*GB364</f>
        <v>1.2</v>
      </c>
      <c r="GH364">
        <v>9.6</v>
      </c>
      <c r="GI364">
        <v>-0.4</v>
      </c>
      <c r="GJ364">
        <v>9.1999999999999993</v>
      </c>
      <c r="GK364">
        <f>GC364+GD364+GE364+GF364+GG364</f>
        <v>5.8</v>
      </c>
      <c r="GL364">
        <f>MEDIAN(FS364:FW364)</f>
        <v>6</v>
      </c>
    </row>
    <row r="365" spans="1:194" hidden="1" x14ac:dyDescent="0.25">
      <c r="A365">
        <v>364</v>
      </c>
      <c r="B365" t="s">
        <v>2</v>
      </c>
      <c r="C365" s="4">
        <v>97.2</v>
      </c>
      <c r="D365">
        <v>3.6</v>
      </c>
      <c r="E365" s="1">
        <f>C365/3/D365</f>
        <v>9</v>
      </c>
      <c r="G365">
        <v>37.659999999999997</v>
      </c>
      <c r="H365">
        <v>8.1999999999999993</v>
      </c>
      <c r="I365">
        <f>H365*D365*3</f>
        <v>88.56</v>
      </c>
      <c r="J365">
        <v>16.760000000000002</v>
      </c>
      <c r="K365">
        <v>8.6999999999999993</v>
      </c>
      <c r="L365" s="3">
        <f>K365*3*D365</f>
        <v>93.96</v>
      </c>
      <c r="M365">
        <v>5.08</v>
      </c>
      <c r="N365">
        <v>5</v>
      </c>
      <c r="O365">
        <f>N365*D365*3</f>
        <v>54</v>
      </c>
      <c r="P365" s="5">
        <v>8.1</v>
      </c>
      <c r="Q365" s="5">
        <f>P365*D365*3</f>
        <v>87.48</v>
      </c>
      <c r="S365" t="s">
        <v>6233</v>
      </c>
      <c r="T365">
        <v>5</v>
      </c>
      <c r="U365" s="8">
        <f>T365*D365*3</f>
        <v>54</v>
      </c>
      <c r="V365">
        <v>38.21</v>
      </c>
      <c r="W365">
        <v>8</v>
      </c>
      <c r="X365" s="5">
        <f>W365*D365*3</f>
        <v>86.4</v>
      </c>
      <c r="Y365">
        <v>12.34</v>
      </c>
      <c r="Z365">
        <v>7.5</v>
      </c>
      <c r="AA365">
        <f>Z365*D365*3</f>
        <v>81</v>
      </c>
      <c r="AC365">
        <v>122.53</v>
      </c>
      <c r="AD365">
        <v>8</v>
      </c>
      <c r="AE365" s="1">
        <f>AD365*3*D365</f>
        <v>86.4</v>
      </c>
      <c r="AF365">
        <v>11.82</v>
      </c>
      <c r="AG365" s="5">
        <v>7</v>
      </c>
      <c r="AH365" s="5">
        <f>AG365*D365*3</f>
        <v>75.599999999999994</v>
      </c>
      <c r="AI365" s="13"/>
      <c r="AJ365">
        <v>29</v>
      </c>
      <c r="AK365" s="8">
        <f>AJ365*D365*3</f>
        <v>313.20000000000005</v>
      </c>
      <c r="AL365" s="13"/>
      <c r="AM365">
        <v>30.44</v>
      </c>
      <c r="AN365">
        <v>7</v>
      </c>
      <c r="AO365" s="8">
        <f>AN365*D365*3</f>
        <v>75.599999999999994</v>
      </c>
      <c r="AP365">
        <v>13.24</v>
      </c>
      <c r="AQ365">
        <v>10</v>
      </c>
      <c r="AR365">
        <f>AQ365*D365*3</f>
        <v>108</v>
      </c>
      <c r="AT365">
        <v>9</v>
      </c>
      <c r="AU365">
        <f>AT365*D365*3</f>
        <v>97.199999999999989</v>
      </c>
      <c r="AX365">
        <v>9.3000000000000007</v>
      </c>
      <c r="AY365">
        <f>AX365*D365*3</f>
        <v>100.44000000000001</v>
      </c>
      <c r="BA365">
        <v>9</v>
      </c>
      <c r="BB365">
        <f>BA365*D365*3</f>
        <v>97.199999999999989</v>
      </c>
      <c r="BC365">
        <v>30.35</v>
      </c>
      <c r="BD365">
        <v>8.9</v>
      </c>
      <c r="BE365">
        <f>BD365*D365*3</f>
        <v>96.12</v>
      </c>
      <c r="BG365" s="10"/>
      <c r="BH365" s="1">
        <f>CHOOSE(MATCH(MIN(ABS(BP365-C365),ABS(BQ365-C365),ABS(BR365-C365)),CHOOSE({1;2;3},ABS(BP365-C365),ABS(BQ365-C365),ABS(BR365-C365)),0),BP365,BQ365,BR365)</f>
        <v>97.2</v>
      </c>
      <c r="BJ365" s="1" cm="1">
        <f t="array" ref="BJ365">(INDEX(_xlfn._xlws.SORT(CHOOSE({1;2;3;4;5;6},BQ365,BR365,L365,AE365,BO365,BP365)),3) + INDEX(_xlfn._xlws.SORT(CHOOSE({1;2;3;4;5;6},BQ365,BR365,L365,AE365,BO365,BP365)),4))/2</f>
        <v>86.4</v>
      </c>
      <c r="BK365">
        <v>8.9488028534538309</v>
      </c>
      <c r="BL365" t="s">
        <v>6117</v>
      </c>
      <c r="BM365" s="1">
        <f>BK365*3*D365</f>
        <v>96.647070817301369</v>
      </c>
      <c r="BN365" s="1">
        <f>BM365-C365</f>
        <v>-0.55292918269863378</v>
      </c>
      <c r="BO365" s="1">
        <f>GK365*3*D365</f>
        <v>63.72</v>
      </c>
      <c r="BP365" s="1">
        <f>DO365*3*D365</f>
        <v>97.2</v>
      </c>
      <c r="BQ365" s="1">
        <f>FJ365*3*D365</f>
        <v>86.4</v>
      </c>
      <c r="BR365" s="1">
        <f>GL365*3*D365</f>
        <v>70.2</v>
      </c>
      <c r="BT365">
        <v>37.659999999999997</v>
      </c>
      <c r="BU365">
        <v>8.1999999999999993</v>
      </c>
      <c r="BV365" t="s">
        <v>5293</v>
      </c>
      <c r="BW365" t="s">
        <v>6072</v>
      </c>
      <c r="BX365" t="s">
        <v>5057</v>
      </c>
      <c r="BY365" t="s">
        <v>6073</v>
      </c>
      <c r="BZ365" t="s">
        <v>6074</v>
      </c>
      <c r="CA365" t="s">
        <v>2550</v>
      </c>
      <c r="CC365" t="s">
        <v>2551</v>
      </c>
      <c r="CD365" t="s">
        <v>2552</v>
      </c>
      <c r="CE365" t="s">
        <v>2553</v>
      </c>
      <c r="CG365" t="s">
        <v>2424</v>
      </c>
      <c r="CH365" t="s">
        <v>2554</v>
      </c>
      <c r="CI365" t="s">
        <v>3226</v>
      </c>
      <c r="CK365" t="s">
        <v>2556</v>
      </c>
      <c r="CL365" t="s">
        <v>2557</v>
      </c>
      <c r="CM365" t="s">
        <v>3059</v>
      </c>
      <c r="CO365" t="s">
        <v>2431</v>
      </c>
      <c r="CP365" t="s">
        <v>2559</v>
      </c>
      <c r="CQ365" t="s">
        <v>3745</v>
      </c>
      <c r="CS365" t="s">
        <v>2435</v>
      </c>
      <c r="CT365" t="s">
        <v>2562</v>
      </c>
      <c r="CV365">
        <v>9</v>
      </c>
      <c r="CW365">
        <v>9</v>
      </c>
      <c r="CX365">
        <v>9</v>
      </c>
      <c r="CY365">
        <v>9</v>
      </c>
      <c r="CZ365">
        <v>9</v>
      </c>
      <c r="DA365">
        <v>0.1</v>
      </c>
      <c r="DB365">
        <v>0.1</v>
      </c>
      <c r="DC365">
        <v>0.2</v>
      </c>
      <c r="DD365">
        <v>0.3</v>
      </c>
      <c r="DE365">
        <v>0.3</v>
      </c>
      <c r="DF365">
        <v>0.9</v>
      </c>
      <c r="DG365">
        <v>0.9</v>
      </c>
      <c r="DH365">
        <v>1.8</v>
      </c>
      <c r="DI365">
        <v>2.7</v>
      </c>
      <c r="DJ365">
        <v>2.7</v>
      </c>
      <c r="DK365">
        <v>8.1999999999999993</v>
      </c>
      <c r="DL365">
        <v>0</v>
      </c>
      <c r="DM365">
        <v>8.1999999999999993</v>
      </c>
      <c r="DN365">
        <v>8.6999999999999993</v>
      </c>
      <c r="DO365">
        <f>AVERAGE(CV365:CZ365)</f>
        <v>9</v>
      </c>
      <c r="DQ365">
        <v>8</v>
      </c>
      <c r="DR365" t="s">
        <v>221</v>
      </c>
      <c r="DS365" t="s">
        <v>61</v>
      </c>
      <c r="DT365" t="s">
        <v>120</v>
      </c>
      <c r="DU365" t="s">
        <v>222</v>
      </c>
      <c r="DV365" t="s">
        <v>345</v>
      </c>
      <c r="DW365" t="s">
        <v>3836</v>
      </c>
      <c r="DX365" t="s">
        <v>3858</v>
      </c>
      <c r="DY365" t="s">
        <v>4233</v>
      </c>
      <c r="DZ365" t="s">
        <v>4253</v>
      </c>
      <c r="EA365" t="s">
        <v>3860</v>
      </c>
      <c r="EB365" t="s">
        <v>3840</v>
      </c>
      <c r="EC365" t="s">
        <v>4254</v>
      </c>
      <c r="ED365" t="s">
        <v>4254</v>
      </c>
      <c r="EE365" t="s">
        <v>3886</v>
      </c>
      <c r="EF365" t="s">
        <v>4245</v>
      </c>
      <c r="EG365" t="s">
        <v>4255</v>
      </c>
      <c r="EH365" t="s">
        <v>4255</v>
      </c>
      <c r="EI365" t="s">
        <v>3879</v>
      </c>
      <c r="EJ365" t="s">
        <v>4247</v>
      </c>
      <c r="EK365" t="s">
        <v>4257</v>
      </c>
      <c r="EL365" t="s">
        <v>4257</v>
      </c>
      <c r="EM365" t="s">
        <v>3989</v>
      </c>
      <c r="EN365" t="s">
        <v>4545</v>
      </c>
      <c r="EO365" t="s">
        <v>4258</v>
      </c>
      <c r="EP365" t="s">
        <v>4258</v>
      </c>
      <c r="EQ365">
        <v>8</v>
      </c>
      <c r="ER365">
        <v>8</v>
      </c>
      <c r="ES365">
        <v>8</v>
      </c>
      <c r="ET365">
        <v>8</v>
      </c>
      <c r="EU365">
        <v>8</v>
      </c>
      <c r="EV365">
        <v>0.1</v>
      </c>
      <c r="EW365">
        <v>0.1</v>
      </c>
      <c r="EX365">
        <v>0.2</v>
      </c>
      <c r="EY365">
        <v>0.3</v>
      </c>
      <c r="EZ365">
        <v>0.3</v>
      </c>
      <c r="FA365">
        <f>EV365*EQ365</f>
        <v>0.8</v>
      </c>
      <c r="FB365">
        <f>EW365*ER365</f>
        <v>0.8</v>
      </c>
      <c r="FC365">
        <f>EX365*ES365</f>
        <v>1.6</v>
      </c>
      <c r="FD365">
        <f>EY365*ET365</f>
        <v>2.4</v>
      </c>
      <c r="FE365">
        <f>EZ365*EU365</f>
        <v>2.4</v>
      </c>
      <c r="FF365">
        <v>18</v>
      </c>
      <c r="FG365">
        <v>0</v>
      </c>
      <c r="FH365">
        <v>8</v>
      </c>
      <c r="FI365">
        <f>FA365+FB365+FC365+FD365+FE365</f>
        <v>8</v>
      </c>
      <c r="FJ365">
        <f>MEDIAN(EQ365:EU365)</f>
        <v>8</v>
      </c>
      <c r="FL365">
        <v>39.549999999999997</v>
      </c>
      <c r="FM365">
        <v>5.7</v>
      </c>
      <c r="FN365" t="s">
        <v>2328</v>
      </c>
      <c r="FO365" t="s">
        <v>2329</v>
      </c>
      <c r="FP365" t="s">
        <v>2330</v>
      </c>
      <c r="FQ365" t="s">
        <v>2331</v>
      </c>
      <c r="FR365" t="s">
        <v>2332</v>
      </c>
      <c r="FS365">
        <v>6.5</v>
      </c>
      <c r="FT365">
        <v>7.5</v>
      </c>
      <c r="FU365">
        <v>6</v>
      </c>
      <c r="FV365">
        <v>6.5</v>
      </c>
      <c r="FW365">
        <v>4.5</v>
      </c>
      <c r="FX365">
        <v>0.1</v>
      </c>
      <c r="FY365">
        <v>0.1</v>
      </c>
      <c r="FZ365">
        <v>0.2</v>
      </c>
      <c r="GA365">
        <v>0.3</v>
      </c>
      <c r="GB365">
        <v>0.3</v>
      </c>
      <c r="GC365">
        <f>FS365*FX365</f>
        <v>0.65</v>
      </c>
      <c r="GD365">
        <f>FT365*FY365</f>
        <v>0.75</v>
      </c>
      <c r="GE365">
        <f>FU365*FZ365</f>
        <v>1.2000000000000002</v>
      </c>
      <c r="GF365">
        <f>FV365*GA365</f>
        <v>1.95</v>
      </c>
      <c r="GG365">
        <f>FW365*GB365</f>
        <v>1.3499999999999999</v>
      </c>
      <c r="GH365">
        <v>5.85</v>
      </c>
      <c r="GI365">
        <v>-0.15</v>
      </c>
      <c r="GJ365">
        <v>5.7</v>
      </c>
      <c r="GK365">
        <f>GC365+GD365+GE365+GF365+GG365</f>
        <v>5.8999999999999995</v>
      </c>
      <c r="GL365">
        <f>MEDIAN(FS365:FW365)</f>
        <v>6.5</v>
      </c>
    </row>
    <row r="366" spans="1:194" hidden="1" x14ac:dyDescent="0.25">
      <c r="A366">
        <v>365</v>
      </c>
      <c r="B366" t="s">
        <v>2</v>
      </c>
      <c r="C366" s="4">
        <v>81</v>
      </c>
      <c r="D366">
        <v>3.6</v>
      </c>
      <c r="E366" s="1">
        <f>C366/3/D366</f>
        <v>7.5</v>
      </c>
      <c r="G366">
        <v>37.08</v>
      </c>
      <c r="H366">
        <v>8.1999999999999993</v>
      </c>
      <c r="I366">
        <f>H366*D366*3</f>
        <v>88.56</v>
      </c>
      <c r="J366">
        <v>16.36</v>
      </c>
      <c r="K366">
        <v>9</v>
      </c>
      <c r="L366" s="3">
        <f>K366*3*D366</f>
        <v>97.2</v>
      </c>
      <c r="M366">
        <v>4.67</v>
      </c>
      <c r="N366">
        <v>5</v>
      </c>
      <c r="O366">
        <f>N366*D366*3</f>
        <v>54</v>
      </c>
      <c r="P366" s="5">
        <v>7.3</v>
      </c>
      <c r="Q366" s="5">
        <f>P366*D366*3</f>
        <v>78.84</v>
      </c>
      <c r="S366" t="s">
        <v>6484</v>
      </c>
      <c r="T366">
        <v>7.4</v>
      </c>
      <c r="U366" s="8">
        <f>T366*D366*3</f>
        <v>79.92</v>
      </c>
      <c r="V366">
        <v>30.34</v>
      </c>
      <c r="W366">
        <v>8.4</v>
      </c>
      <c r="X366" s="5">
        <f>W366*D366*3</f>
        <v>90.72</v>
      </c>
      <c r="Y366">
        <v>11.04</v>
      </c>
      <c r="Z366">
        <v>7.8</v>
      </c>
      <c r="AA366">
        <f>Z366*D366*3</f>
        <v>84.24</v>
      </c>
      <c r="AC366">
        <v>136.22999999999999</v>
      </c>
      <c r="AD366">
        <v>7.9</v>
      </c>
      <c r="AE366" s="1">
        <f>AD366*3*D366</f>
        <v>85.320000000000007</v>
      </c>
      <c r="AF366">
        <v>12.18</v>
      </c>
      <c r="AG366" s="5">
        <v>7</v>
      </c>
      <c r="AH366" s="5">
        <f>AG366*D366*3</f>
        <v>75.599999999999994</v>
      </c>
      <c r="AI366" s="13"/>
      <c r="AJ366">
        <v>29</v>
      </c>
      <c r="AK366" s="8">
        <f>AJ366*D366*3</f>
        <v>313.20000000000005</v>
      </c>
      <c r="AL366" s="13"/>
      <c r="AM366">
        <v>29.69</v>
      </c>
      <c r="AN366">
        <v>8.1</v>
      </c>
      <c r="AO366" s="8">
        <f>AN366*D366*3</f>
        <v>87.48</v>
      </c>
      <c r="AP366">
        <v>12.01</v>
      </c>
      <c r="AQ366">
        <v>10</v>
      </c>
      <c r="AR366">
        <f>AQ366*D366*3</f>
        <v>108</v>
      </c>
      <c r="AT366">
        <v>9</v>
      </c>
      <c r="AU366">
        <f>AT366*D366*3</f>
        <v>97.199999999999989</v>
      </c>
      <c r="AX366">
        <v>9.1999999999999993</v>
      </c>
      <c r="AY366">
        <f>AX366*D366*3</f>
        <v>99.359999999999985</v>
      </c>
      <c r="BA366">
        <v>9</v>
      </c>
      <c r="BB366">
        <f>BA366*D366*3</f>
        <v>97.199999999999989</v>
      </c>
      <c r="BC366">
        <v>26.23</v>
      </c>
      <c r="BD366">
        <v>8.1999999999999993</v>
      </c>
      <c r="BE366">
        <f>BD366*D366*3</f>
        <v>88.56</v>
      </c>
      <c r="BG366" s="10"/>
      <c r="BH366" s="1">
        <f>CHOOSE(MATCH(MIN(ABS(BP366-C366),ABS(BQ366-C366),ABS(BR366-C366)),CHOOSE({1;2;3},ABS(BP366-C366),ABS(BQ366-C366),ABS(BR366-C366)),0),BP366,BQ366,BR366)</f>
        <v>86.4</v>
      </c>
      <c r="BJ366" s="1" cm="1">
        <f t="array" ref="BJ366">(INDEX(_xlfn._xlws.SORT(CHOOSE({1;2;3;4;5;6},BQ366,BR366,L366,AE366,BO366,BP366)),3) + INDEX(_xlfn._xlws.SORT(CHOOSE({1;2;3;4;5;6},BQ366,BR366,L366,AE366,BO366,BP366)),4))/2</f>
        <v>85.860000000000014</v>
      </c>
      <c r="BK366">
        <v>7.5345341177931404</v>
      </c>
      <c r="BL366" t="s">
        <v>6117</v>
      </c>
      <c r="BM366" s="1">
        <f>BK366*3*D366</f>
        <v>81.372968472165923</v>
      </c>
      <c r="BN366" s="1">
        <f>BM366-C366</f>
        <v>0.37296847216592255</v>
      </c>
      <c r="BO366" s="1">
        <f>GK366*3*D366</f>
        <v>58.320000000000014</v>
      </c>
      <c r="BP366" s="1">
        <f>DO366*3*D366</f>
        <v>97.2</v>
      </c>
      <c r="BQ366" s="1">
        <f>FJ366*3*D366</f>
        <v>86.4</v>
      </c>
      <c r="BR366" s="1">
        <f>GL366*3*D366</f>
        <v>54</v>
      </c>
      <c r="BT366">
        <v>37.08</v>
      </c>
      <c r="BU366">
        <v>8.1999999999999993</v>
      </c>
      <c r="BV366" t="s">
        <v>6075</v>
      </c>
      <c r="BW366" t="s">
        <v>6076</v>
      </c>
      <c r="BX366" t="s">
        <v>6077</v>
      </c>
      <c r="BY366" t="s">
        <v>6078</v>
      </c>
      <c r="BZ366" t="s">
        <v>6079</v>
      </c>
      <c r="CA366" t="s">
        <v>2723</v>
      </c>
      <c r="CC366" t="s">
        <v>2842</v>
      </c>
      <c r="CD366" t="s">
        <v>2439</v>
      </c>
      <c r="CE366" t="s">
        <v>2440</v>
      </c>
      <c r="CG366" t="s">
        <v>3023</v>
      </c>
      <c r="CH366" t="s">
        <v>2648</v>
      </c>
      <c r="CI366" t="s">
        <v>2443</v>
      </c>
      <c r="CK366" t="s">
        <v>3024</v>
      </c>
      <c r="CL366" t="s">
        <v>3025</v>
      </c>
      <c r="CM366" t="s">
        <v>2446</v>
      </c>
      <c r="CO366" t="s">
        <v>3026</v>
      </c>
      <c r="CP366" t="s">
        <v>2652</v>
      </c>
      <c r="CQ366" t="s">
        <v>2449</v>
      </c>
      <c r="CS366" t="s">
        <v>3027</v>
      </c>
      <c r="CT366" t="s">
        <v>3028</v>
      </c>
      <c r="CV366">
        <v>9</v>
      </c>
      <c r="CW366">
        <v>9</v>
      </c>
      <c r="CX366">
        <v>9</v>
      </c>
      <c r="CY366">
        <v>9</v>
      </c>
      <c r="CZ366">
        <v>9</v>
      </c>
      <c r="DA366">
        <v>0.1</v>
      </c>
      <c r="DB366">
        <v>0.1</v>
      </c>
      <c r="DC366">
        <v>0.2</v>
      </c>
      <c r="DD366">
        <v>0.3</v>
      </c>
      <c r="DE366">
        <v>0.3</v>
      </c>
      <c r="DF366">
        <v>0.9</v>
      </c>
      <c r="DG366">
        <v>0.9</v>
      </c>
      <c r="DH366">
        <v>1.8</v>
      </c>
      <c r="DI366">
        <v>2.7</v>
      </c>
      <c r="DJ366">
        <v>2.7</v>
      </c>
      <c r="DK366">
        <v>8.1999999999999993</v>
      </c>
      <c r="DL366">
        <v>0</v>
      </c>
      <c r="DM366">
        <v>8.1999999999999993</v>
      </c>
      <c r="DN366">
        <v>9</v>
      </c>
      <c r="DO366">
        <f>AVERAGE(CV366:CZ366)</f>
        <v>9</v>
      </c>
      <c r="DQ366">
        <v>8</v>
      </c>
      <c r="DR366" t="s">
        <v>28</v>
      </c>
      <c r="DS366" t="s">
        <v>29</v>
      </c>
      <c r="DT366" t="s">
        <v>227</v>
      </c>
      <c r="DU366" t="s">
        <v>228</v>
      </c>
      <c r="DV366" t="s">
        <v>229</v>
      </c>
      <c r="DW366" t="s">
        <v>3769</v>
      </c>
      <c r="DX366" t="s">
        <v>3770</v>
      </c>
      <c r="DY366" t="s">
        <v>3771</v>
      </c>
      <c r="DZ366" t="s">
        <v>3772</v>
      </c>
      <c r="EA366" t="s">
        <v>3806</v>
      </c>
      <c r="EB366" t="s">
        <v>3807</v>
      </c>
      <c r="EC366" t="s">
        <v>3775</v>
      </c>
      <c r="ED366" t="s">
        <v>3776</v>
      </c>
      <c r="EE366" t="s">
        <v>4240</v>
      </c>
      <c r="EF366" t="s">
        <v>3809</v>
      </c>
      <c r="EG366" t="s">
        <v>3810</v>
      </c>
      <c r="EH366" t="s">
        <v>3811</v>
      </c>
      <c r="EI366" t="s">
        <v>4468</v>
      </c>
      <c r="EJ366" t="s">
        <v>3813</v>
      </c>
      <c r="EK366" t="s">
        <v>4469</v>
      </c>
      <c r="EL366" t="s">
        <v>3815</v>
      </c>
      <c r="EM366" t="s">
        <v>4470</v>
      </c>
      <c r="EN366" t="s">
        <v>3809</v>
      </c>
      <c r="EO366" t="s">
        <v>4589</v>
      </c>
      <c r="EP366" t="s">
        <v>3818</v>
      </c>
      <c r="EQ366">
        <v>7</v>
      </c>
      <c r="ER366">
        <v>8</v>
      </c>
      <c r="ES366">
        <v>8</v>
      </c>
      <c r="ET366">
        <v>8</v>
      </c>
      <c r="EU366">
        <v>8</v>
      </c>
      <c r="EV366">
        <v>0.1</v>
      </c>
      <c r="EW366">
        <v>0.1</v>
      </c>
      <c r="EX366">
        <v>0.2</v>
      </c>
      <c r="EY366">
        <v>0.3</v>
      </c>
      <c r="EZ366">
        <v>0.3</v>
      </c>
      <c r="FA366">
        <f>EV366*EQ366</f>
        <v>0.70000000000000007</v>
      </c>
      <c r="FB366">
        <f>EW366*ER366</f>
        <v>0.8</v>
      </c>
      <c r="FC366">
        <f>EX366*ES366</f>
        <v>1.6</v>
      </c>
      <c r="FD366">
        <f>EY366*ET366</f>
        <v>2.4</v>
      </c>
      <c r="FE366">
        <f>EZ366*EU366</f>
        <v>2.4</v>
      </c>
      <c r="FF366">
        <v>15</v>
      </c>
      <c r="FG366">
        <v>0</v>
      </c>
      <c r="FH366">
        <v>8</v>
      </c>
      <c r="FI366">
        <f>FA366+FB366+FC366+FD366+FE366</f>
        <v>7.9</v>
      </c>
      <c r="FJ366">
        <f>MEDIAN(EQ366:EU366)</f>
        <v>8</v>
      </c>
      <c r="FL366">
        <v>41.04</v>
      </c>
      <c r="FM366">
        <v>9</v>
      </c>
      <c r="FN366" t="s">
        <v>2333</v>
      </c>
      <c r="FO366" t="s">
        <v>2334</v>
      </c>
      <c r="FP366" t="s">
        <v>2335</v>
      </c>
      <c r="FQ366" t="s">
        <v>2336</v>
      </c>
      <c r="FR366" t="s">
        <v>2337</v>
      </c>
      <c r="FS366">
        <v>5</v>
      </c>
      <c r="FT366">
        <v>4</v>
      </c>
      <c r="FU366">
        <v>3</v>
      </c>
      <c r="FV366">
        <v>6</v>
      </c>
      <c r="FW366">
        <v>7</v>
      </c>
      <c r="FX366">
        <v>0.1</v>
      </c>
      <c r="FY366">
        <v>0.1</v>
      </c>
      <c r="FZ366">
        <v>0.2</v>
      </c>
      <c r="GA366">
        <v>0.3</v>
      </c>
      <c r="GB366">
        <v>0.3</v>
      </c>
      <c r="GC366">
        <f>FS366*FX366</f>
        <v>0.5</v>
      </c>
      <c r="GD366">
        <f>FT366*FY366</f>
        <v>0.4</v>
      </c>
      <c r="GE366">
        <f>FU366*FZ366</f>
        <v>0.60000000000000009</v>
      </c>
      <c r="GF366">
        <f>FV366*GA366</f>
        <v>1.7999999999999998</v>
      </c>
      <c r="GG366">
        <f>FW366*GB366</f>
        <v>2.1</v>
      </c>
      <c r="GH366">
        <v>9</v>
      </c>
      <c r="GI366">
        <v>0</v>
      </c>
      <c r="GJ366">
        <v>9</v>
      </c>
      <c r="GK366">
        <f>GC366+GD366+GE366+GF366+GG366</f>
        <v>5.4</v>
      </c>
      <c r="GL366">
        <f>MEDIAN(FS366:FW366)</f>
        <v>5</v>
      </c>
    </row>
    <row r="367" spans="1:194" x14ac:dyDescent="0.25">
      <c r="A367">
        <v>323</v>
      </c>
      <c r="B367" t="s">
        <v>2</v>
      </c>
      <c r="C367" s="4">
        <v>37.950000000000003</v>
      </c>
      <c r="D367">
        <v>3.3</v>
      </c>
      <c r="E367" s="1">
        <f>C367/3/D367</f>
        <v>3.8333333333333335</v>
      </c>
      <c r="G367">
        <v>85.77</v>
      </c>
      <c r="H367">
        <v>8.1999999999999993</v>
      </c>
      <c r="I367">
        <f>H367*D367*3</f>
        <v>81.179999999999978</v>
      </c>
      <c r="J367">
        <v>18.170000000000002</v>
      </c>
      <c r="K367">
        <v>9</v>
      </c>
      <c r="L367" s="3">
        <f>K367*3*D367</f>
        <v>89.1</v>
      </c>
      <c r="M367">
        <v>5.08</v>
      </c>
      <c r="N367">
        <v>5.5</v>
      </c>
      <c r="O367">
        <f>N367*D367*3</f>
        <v>54.449999999999996</v>
      </c>
      <c r="P367" s="5">
        <v>7.3</v>
      </c>
      <c r="Q367" s="5">
        <f>P367*D367*3</f>
        <v>72.27</v>
      </c>
      <c r="S367" t="s">
        <v>6448</v>
      </c>
      <c r="T367">
        <v>8.1999999999999993</v>
      </c>
      <c r="U367" s="8">
        <f>T367*D367*3</f>
        <v>81.179999999999978</v>
      </c>
      <c r="V367">
        <v>43.86</v>
      </c>
      <c r="W367">
        <v>6</v>
      </c>
      <c r="X367" s="5">
        <f>W367*D367*3</f>
        <v>59.399999999999991</v>
      </c>
      <c r="Y367">
        <v>9.36</v>
      </c>
      <c r="Z367">
        <v>7.8</v>
      </c>
      <c r="AA367">
        <f>Z367*D367*3</f>
        <v>77.22</v>
      </c>
      <c r="AC367">
        <v>154.22</v>
      </c>
      <c r="AD367">
        <v>5.8</v>
      </c>
      <c r="AE367" s="1">
        <f>AD367*3*D367</f>
        <v>57.419999999999995</v>
      </c>
      <c r="AF367">
        <v>11.91</v>
      </c>
      <c r="AG367" s="5">
        <v>7</v>
      </c>
      <c r="AH367" s="5">
        <f>AG367*D367*3</f>
        <v>69.3</v>
      </c>
      <c r="AI367" s="13"/>
      <c r="AJ367">
        <v>42.5</v>
      </c>
      <c r="AK367" s="8">
        <f>AJ367*D367*3</f>
        <v>420.75</v>
      </c>
      <c r="AL367" s="13"/>
      <c r="AM367">
        <v>30.91</v>
      </c>
      <c r="AN367">
        <v>7.4</v>
      </c>
      <c r="AO367" s="8">
        <f>AN367*D367*3</f>
        <v>73.259999999999991</v>
      </c>
      <c r="AP367">
        <v>12.58</v>
      </c>
      <c r="AQ367">
        <v>10</v>
      </c>
      <c r="AR367">
        <f>AQ367*D367*3</f>
        <v>99</v>
      </c>
      <c r="AT367">
        <v>8.1999999999999993</v>
      </c>
      <c r="AU367">
        <f>AT367*D367*3</f>
        <v>81.179999999999978</v>
      </c>
      <c r="AX367">
        <v>9.4</v>
      </c>
      <c r="AY367">
        <f>AX367*D367*3</f>
        <v>93.06</v>
      </c>
      <c r="BA367">
        <v>9</v>
      </c>
      <c r="BB367">
        <f>BA367*D367*3</f>
        <v>89.1</v>
      </c>
      <c r="BD367">
        <v>8.3000000000000007</v>
      </c>
      <c r="BE367">
        <f>BD367*D367*3</f>
        <v>82.17</v>
      </c>
      <c r="BG367" s="10"/>
      <c r="BH367" s="1">
        <f>CHOOSE(MATCH(MIN(ABS(BP367-C367),ABS(BQ367-C367),ABS(BR367-C367)),CHOOSE({1;2;3},ABS(BP367-C367),ABS(BQ367-C367),ABS(BR367-C367)),0),BP367,BQ367,BR367)</f>
        <v>59.4</v>
      </c>
      <c r="BJ367" s="1" cm="1">
        <f t="array" ref="BJ367">(INDEX(_xlfn._xlws.SORT(CHOOSE({1;2;3;4;5;6},BQ367,BR367,L367,AE367,BO367,BP367)),3) + INDEX(_xlfn._xlws.SORT(CHOOSE({1;2;3;4;5;6},BQ367,BR367,L367,AE367,BO367,BP367)),4))/2</f>
        <v>80.932500000000005</v>
      </c>
      <c r="BK367">
        <v>7.7389275592152398</v>
      </c>
      <c r="BL367" s="11" t="s">
        <v>6116</v>
      </c>
      <c r="BM367" s="1">
        <f>BK367*3*D367</f>
        <v>76.615382836230864</v>
      </c>
      <c r="BN367" s="1">
        <f>BM367-C367</f>
        <v>38.665382836230862</v>
      </c>
      <c r="BO367" s="1">
        <f>GK367*3*D367</f>
        <v>77.715000000000003</v>
      </c>
      <c r="BP367" s="1">
        <f>DO367*3*D367</f>
        <v>89.1</v>
      </c>
      <c r="BQ367" s="1">
        <f>FJ367*3*D367</f>
        <v>59.4</v>
      </c>
      <c r="BR367" s="1">
        <f>GL367*3*D367</f>
        <v>84.149999999999991</v>
      </c>
      <c r="BT367">
        <v>85.77</v>
      </c>
      <c r="BU367">
        <v>8.1999999999999993</v>
      </c>
      <c r="BV367" t="s">
        <v>5114</v>
      </c>
      <c r="BW367" t="s">
        <v>5983</v>
      </c>
      <c r="BX367" t="s">
        <v>5095</v>
      </c>
      <c r="BY367" t="s">
        <v>5984</v>
      </c>
      <c r="BZ367" t="s">
        <v>5985</v>
      </c>
      <c r="CA367" t="s">
        <v>2506</v>
      </c>
      <c r="CC367" t="s">
        <v>2758</v>
      </c>
      <c r="CD367" t="s">
        <v>2873</v>
      </c>
      <c r="CE367" t="s">
        <v>2440</v>
      </c>
      <c r="CG367" t="s">
        <v>2761</v>
      </c>
      <c r="CH367" t="s">
        <v>2874</v>
      </c>
      <c r="CI367" t="s">
        <v>2443</v>
      </c>
      <c r="CK367" t="s">
        <v>2795</v>
      </c>
      <c r="CL367" t="s">
        <v>2875</v>
      </c>
      <c r="CM367" t="s">
        <v>2446</v>
      </c>
      <c r="CO367" t="s">
        <v>2796</v>
      </c>
      <c r="CP367" t="s">
        <v>2876</v>
      </c>
      <c r="CQ367" t="s">
        <v>2449</v>
      </c>
      <c r="CS367" t="s">
        <v>2679</v>
      </c>
      <c r="CT367" t="s">
        <v>2877</v>
      </c>
      <c r="CV367">
        <v>9</v>
      </c>
      <c r="CW367">
        <v>9</v>
      </c>
      <c r="CX367">
        <v>9</v>
      </c>
      <c r="CY367">
        <v>9</v>
      </c>
      <c r="CZ367">
        <v>9</v>
      </c>
      <c r="DA367">
        <v>0.1</v>
      </c>
      <c r="DB367">
        <v>0.1</v>
      </c>
      <c r="DC367">
        <v>0.2</v>
      </c>
      <c r="DD367">
        <v>0.3</v>
      </c>
      <c r="DE367">
        <v>0.3</v>
      </c>
      <c r="DF367">
        <v>0.9</v>
      </c>
      <c r="DG367">
        <v>0.9</v>
      </c>
      <c r="DH367">
        <v>1.8</v>
      </c>
      <c r="DI367">
        <v>2.7</v>
      </c>
      <c r="DJ367">
        <v>2.7</v>
      </c>
      <c r="DK367">
        <v>8.1999999999999993</v>
      </c>
      <c r="DL367">
        <v>0</v>
      </c>
      <c r="DM367">
        <v>8.1999999999999993</v>
      </c>
      <c r="DN367">
        <v>9</v>
      </c>
      <c r="DO367">
        <f>AVERAGE(CV367:CZ367)</f>
        <v>9</v>
      </c>
      <c r="DQ367">
        <v>15</v>
      </c>
      <c r="DR367" t="s">
        <v>173</v>
      </c>
      <c r="DS367" t="s">
        <v>174</v>
      </c>
      <c r="DT367" t="s">
        <v>175</v>
      </c>
      <c r="DU367" t="s">
        <v>176</v>
      </c>
      <c r="DV367" t="s">
        <v>177</v>
      </c>
      <c r="DW367" t="s">
        <v>3911</v>
      </c>
      <c r="DX367" t="s">
        <v>4160</v>
      </c>
      <c r="DY367" t="s">
        <v>4161</v>
      </c>
      <c r="DZ367" t="s">
        <v>4419</v>
      </c>
      <c r="EA367" t="s">
        <v>4163</v>
      </c>
      <c r="EB367" t="s">
        <v>3931</v>
      </c>
      <c r="EC367" t="s">
        <v>4164</v>
      </c>
      <c r="ED367" t="s">
        <v>4420</v>
      </c>
      <c r="EE367" t="s">
        <v>4166</v>
      </c>
      <c r="EF367" t="s">
        <v>3813</v>
      </c>
      <c r="EG367" t="s">
        <v>4049</v>
      </c>
      <c r="EH367" t="s">
        <v>4421</v>
      </c>
      <c r="EI367" t="s">
        <v>4168</v>
      </c>
      <c r="EJ367" t="s">
        <v>4168</v>
      </c>
      <c r="EK367" t="s">
        <v>4169</v>
      </c>
      <c r="EL367" t="s">
        <v>4422</v>
      </c>
      <c r="EM367" t="s">
        <v>4171</v>
      </c>
      <c r="EN367" t="s">
        <v>4171</v>
      </c>
      <c r="EO367" t="s">
        <v>4172</v>
      </c>
      <c r="EP367" t="s">
        <v>4423</v>
      </c>
      <c r="EQ367">
        <v>4</v>
      </c>
      <c r="ER367">
        <v>6</v>
      </c>
      <c r="ES367">
        <v>6</v>
      </c>
      <c r="ET367">
        <v>6</v>
      </c>
      <c r="EU367">
        <v>6</v>
      </c>
      <c r="EV367">
        <v>0.1</v>
      </c>
      <c r="EW367">
        <v>0.1</v>
      </c>
      <c r="EX367">
        <v>0.2</v>
      </c>
      <c r="EY367">
        <v>0.3</v>
      </c>
      <c r="EZ367">
        <v>0.3</v>
      </c>
      <c r="FA367">
        <f>EV367*EQ367</f>
        <v>0.4</v>
      </c>
      <c r="FB367">
        <f>EW367*ER367</f>
        <v>0.60000000000000009</v>
      </c>
      <c r="FC367">
        <f>EX367*ES367</f>
        <v>1.2000000000000002</v>
      </c>
      <c r="FD367">
        <f>EY367*ET367</f>
        <v>1.7999999999999998</v>
      </c>
      <c r="FE367">
        <f>EZ367*EU367</f>
        <v>1.7999999999999998</v>
      </c>
      <c r="FF367">
        <v>15</v>
      </c>
      <c r="FG367">
        <v>0</v>
      </c>
      <c r="FH367">
        <v>15</v>
      </c>
      <c r="FI367">
        <f>FA367+FB367+FC367+FD367+FE367</f>
        <v>5.8</v>
      </c>
      <c r="FJ367">
        <f>MEDIAN(EQ367:EU367)</f>
        <v>6</v>
      </c>
      <c r="FL367">
        <v>66.84</v>
      </c>
      <c r="FM367">
        <v>7.2</v>
      </c>
      <c r="FN367" t="s">
        <v>2133</v>
      </c>
      <c r="FO367" t="s">
        <v>2134</v>
      </c>
      <c r="FP367" t="s">
        <v>2135</v>
      </c>
      <c r="FQ367" t="s">
        <v>2136</v>
      </c>
      <c r="FR367" t="s">
        <v>2137</v>
      </c>
      <c r="FS367">
        <v>10</v>
      </c>
      <c r="FT367">
        <v>9.5</v>
      </c>
      <c r="FU367">
        <v>8.5</v>
      </c>
      <c r="FV367">
        <v>7.5</v>
      </c>
      <c r="FW367">
        <v>6.5</v>
      </c>
      <c r="FX367">
        <v>0.1</v>
      </c>
      <c r="FY367">
        <v>0.1</v>
      </c>
      <c r="FZ367">
        <v>0.2</v>
      </c>
      <c r="GA367">
        <v>0.3</v>
      </c>
      <c r="GB367">
        <v>0.3</v>
      </c>
      <c r="GC367">
        <f>FS367*FX367</f>
        <v>1</v>
      </c>
      <c r="GD367">
        <f>FT367*FY367</f>
        <v>0.95000000000000007</v>
      </c>
      <c r="GE367">
        <f>FU367*FZ367</f>
        <v>1.7000000000000002</v>
      </c>
      <c r="GF367">
        <f>FV367*GA367</f>
        <v>2.25</v>
      </c>
      <c r="GG367">
        <f>FW367*GB367</f>
        <v>1.95</v>
      </c>
      <c r="GH367">
        <v>7.2</v>
      </c>
      <c r="GI367">
        <v>0</v>
      </c>
      <c r="GJ367">
        <v>7.2</v>
      </c>
      <c r="GK367">
        <f>GC367+GD367+GE367+GF367+GG367</f>
        <v>7.8500000000000005</v>
      </c>
      <c r="GL367">
        <f>MEDIAN(FS367:FW367)</f>
        <v>8.5</v>
      </c>
    </row>
    <row r="368" spans="1:194" hidden="1" x14ac:dyDescent="0.25">
      <c r="A368">
        <v>367</v>
      </c>
      <c r="B368" t="s">
        <v>2</v>
      </c>
      <c r="C368" s="4">
        <v>84.15</v>
      </c>
      <c r="D368">
        <v>3.3</v>
      </c>
      <c r="E368" s="1">
        <f>C368/3/D368</f>
        <v>8.5</v>
      </c>
      <c r="G368">
        <v>38.659999999999997</v>
      </c>
      <c r="H368">
        <v>8</v>
      </c>
      <c r="I368">
        <f>H368*D368*3</f>
        <v>79.199999999999989</v>
      </c>
      <c r="J368">
        <v>18.63</v>
      </c>
      <c r="K368">
        <v>9</v>
      </c>
      <c r="L368" s="3">
        <f>K368*3*D368</f>
        <v>89.1</v>
      </c>
      <c r="M368">
        <v>5.0999999999999996</v>
      </c>
      <c r="N368">
        <v>5</v>
      </c>
      <c r="O368">
        <f>N368*D368*3</f>
        <v>49.5</v>
      </c>
      <c r="P368" s="5">
        <v>7.5</v>
      </c>
      <c r="Q368" s="5">
        <f>P368*D368*3</f>
        <v>74.25</v>
      </c>
      <c r="S368" t="s">
        <v>6486</v>
      </c>
      <c r="T368">
        <v>5.6</v>
      </c>
      <c r="U368" s="8">
        <f>T368*D368*3</f>
        <v>55.439999999999991</v>
      </c>
      <c r="V368">
        <v>33.700000000000003</v>
      </c>
      <c r="W368">
        <v>8.4</v>
      </c>
      <c r="X368" s="5">
        <f>W368*D368*3</f>
        <v>83.16</v>
      </c>
      <c r="Y368">
        <v>10.74</v>
      </c>
      <c r="Z368">
        <v>6.8</v>
      </c>
      <c r="AA368">
        <f>Z368*D368*3</f>
        <v>67.319999999999993</v>
      </c>
      <c r="AC368">
        <v>138.01</v>
      </c>
      <c r="AD368">
        <v>7.1</v>
      </c>
      <c r="AE368" s="1">
        <f>AD368*3*D368</f>
        <v>70.289999999999992</v>
      </c>
      <c r="AF368">
        <v>11.9</v>
      </c>
      <c r="AG368" s="5">
        <v>7</v>
      </c>
      <c r="AH368" s="5">
        <f>AG368*D368*3</f>
        <v>69.3</v>
      </c>
      <c r="AI368" s="13"/>
      <c r="AJ368">
        <v>32.5</v>
      </c>
      <c r="AK368" s="8">
        <f>AJ368*D368*3</f>
        <v>321.75</v>
      </c>
      <c r="AL368" s="13"/>
      <c r="AM368">
        <v>30.77</v>
      </c>
      <c r="AN368">
        <v>7.6</v>
      </c>
      <c r="AO368" s="8">
        <f>AN368*D368*3</f>
        <v>75.239999999999995</v>
      </c>
      <c r="AP368">
        <v>12.5</v>
      </c>
      <c r="AQ368">
        <v>10</v>
      </c>
      <c r="AR368">
        <f>AQ368*D368*3</f>
        <v>99</v>
      </c>
      <c r="AT368">
        <v>8.5</v>
      </c>
      <c r="AU368">
        <f>AT368*D368*3</f>
        <v>84.149999999999991</v>
      </c>
      <c r="AX368">
        <v>9.3000000000000007</v>
      </c>
      <c r="AY368">
        <f>AX368*D368*3</f>
        <v>92.070000000000007</v>
      </c>
      <c r="BA368">
        <v>9.1999999999999993</v>
      </c>
      <c r="BB368">
        <f>BA368*D368*3</f>
        <v>91.079999999999984</v>
      </c>
      <c r="BC368">
        <v>25.27</v>
      </c>
      <c r="BD368">
        <v>8.9</v>
      </c>
      <c r="BE368">
        <f>BD368*D368*3</f>
        <v>88.11</v>
      </c>
      <c r="BG368" s="10"/>
      <c r="BH368" s="1">
        <f>CHOOSE(MATCH(MIN(ABS(BP368-C368),ABS(BQ368-C368),ABS(BR368-C368)),CHOOSE({1;2;3},ABS(BP368-C368),ABS(BQ368-C368),ABS(BR368-C368)),0),BP368,BQ368,BR368)</f>
        <v>89.1</v>
      </c>
      <c r="BJ368" s="1" cm="1">
        <f t="array" ref="BJ368">(INDEX(_xlfn._xlws.SORT(CHOOSE({1;2;3;4;5;6},BQ368,BR368,L368,AE368,BO368,BP368)),3) + INDEX(_xlfn._xlws.SORT(CHOOSE({1;2;3;4;5;6},BQ368,BR368,L368,AE368,BO368,BP368)),4))/2</f>
        <v>69.794999999999987</v>
      </c>
      <c r="BK368">
        <v>8.4544788374603197</v>
      </c>
      <c r="BL368" t="s">
        <v>6117</v>
      </c>
      <c r="BM368" s="1">
        <f>BK368*3*D368</f>
        <v>83.699340490857153</v>
      </c>
      <c r="BN368" s="1">
        <f>BM368-C368</f>
        <v>-0.45065950914285224</v>
      </c>
      <c r="BO368" s="1">
        <f>GK368*3*D368</f>
        <v>61.379999999999988</v>
      </c>
      <c r="BP368" s="1">
        <f>DO368*3*D368</f>
        <v>89.1</v>
      </c>
      <c r="BQ368" s="1">
        <f>FJ368*3*D368</f>
        <v>69.3</v>
      </c>
      <c r="BR368" s="1">
        <f>GL368*3*D368</f>
        <v>59.4</v>
      </c>
      <c r="BT368">
        <v>38.659999999999997</v>
      </c>
      <c r="BU368">
        <v>8</v>
      </c>
      <c r="BV368" t="s">
        <v>6082</v>
      </c>
      <c r="BW368" t="s">
        <v>6083</v>
      </c>
      <c r="BX368" t="s">
        <v>6084</v>
      </c>
      <c r="BY368" t="s">
        <v>6085</v>
      </c>
      <c r="BZ368" t="s">
        <v>6086</v>
      </c>
      <c r="CA368" t="s">
        <v>2452</v>
      </c>
      <c r="CC368" t="s">
        <v>2438</v>
      </c>
      <c r="CD368" t="s">
        <v>2453</v>
      </c>
      <c r="CE368" t="s">
        <v>2586</v>
      </c>
      <c r="CG368" t="s">
        <v>2791</v>
      </c>
      <c r="CH368" t="s">
        <v>2587</v>
      </c>
      <c r="CI368" t="s">
        <v>2567</v>
      </c>
      <c r="CK368" t="s">
        <v>2792</v>
      </c>
      <c r="CL368" t="s">
        <v>2588</v>
      </c>
      <c r="CM368" t="s">
        <v>2589</v>
      </c>
      <c r="CO368" t="s">
        <v>2793</v>
      </c>
      <c r="CP368" t="s">
        <v>2590</v>
      </c>
      <c r="CQ368" t="s">
        <v>2707</v>
      </c>
      <c r="CS368" t="s">
        <v>2794</v>
      </c>
      <c r="CT368" t="s">
        <v>2592</v>
      </c>
      <c r="CV368">
        <v>9</v>
      </c>
      <c r="CW368">
        <v>9</v>
      </c>
      <c r="CX368">
        <v>9</v>
      </c>
      <c r="CY368">
        <v>9</v>
      </c>
      <c r="CZ368">
        <v>9</v>
      </c>
      <c r="DA368">
        <v>0.1</v>
      </c>
      <c r="DB368">
        <v>0.1</v>
      </c>
      <c r="DC368">
        <v>0.2</v>
      </c>
      <c r="DD368">
        <v>0.3</v>
      </c>
      <c r="DE368">
        <v>0.3</v>
      </c>
      <c r="DF368">
        <v>0.9</v>
      </c>
      <c r="DG368">
        <v>0.9</v>
      </c>
      <c r="DH368">
        <v>1.8</v>
      </c>
      <c r="DI368">
        <v>2.7</v>
      </c>
      <c r="DJ368">
        <v>2.7</v>
      </c>
      <c r="DK368">
        <v>8</v>
      </c>
      <c r="DL368">
        <v>0</v>
      </c>
      <c r="DM368">
        <v>8</v>
      </c>
      <c r="DN368">
        <v>9</v>
      </c>
      <c r="DO368">
        <f>AVERAGE(CV368:CZ368)</f>
        <v>9</v>
      </c>
      <c r="DQ368">
        <v>17</v>
      </c>
      <c r="DR368" t="s">
        <v>28</v>
      </c>
      <c r="DS368" t="s">
        <v>108</v>
      </c>
      <c r="DT368" t="s">
        <v>109</v>
      </c>
      <c r="DU368" t="s">
        <v>110</v>
      </c>
      <c r="DV368" t="s">
        <v>111</v>
      </c>
      <c r="DW368" t="s">
        <v>3769</v>
      </c>
      <c r="DX368" t="s">
        <v>3770</v>
      </c>
      <c r="DY368" t="s">
        <v>3771</v>
      </c>
      <c r="DZ368" t="s">
        <v>3772</v>
      </c>
      <c r="EA368" t="s">
        <v>3773</v>
      </c>
      <c r="EB368" t="s">
        <v>3774</v>
      </c>
      <c r="EC368" t="s">
        <v>3775</v>
      </c>
      <c r="ED368" t="s">
        <v>3776</v>
      </c>
      <c r="EE368" t="s">
        <v>3777</v>
      </c>
      <c r="EF368" t="s">
        <v>3778</v>
      </c>
      <c r="EG368" t="s">
        <v>4014</v>
      </c>
      <c r="EH368" t="s">
        <v>4015</v>
      </c>
      <c r="EI368" t="s">
        <v>4016</v>
      </c>
      <c r="EJ368" t="s">
        <v>3782</v>
      </c>
      <c r="EK368" t="s">
        <v>4017</v>
      </c>
      <c r="EL368" t="s">
        <v>3815</v>
      </c>
      <c r="EM368" t="s">
        <v>3930</v>
      </c>
      <c r="EN368" t="s">
        <v>3823</v>
      </c>
      <c r="EO368" t="s">
        <v>4018</v>
      </c>
      <c r="EP368" t="s">
        <v>4019</v>
      </c>
      <c r="EQ368">
        <v>7</v>
      </c>
      <c r="ER368">
        <v>8</v>
      </c>
      <c r="ES368">
        <v>7</v>
      </c>
      <c r="ET368">
        <v>7</v>
      </c>
      <c r="EU368">
        <v>7</v>
      </c>
      <c r="EV368">
        <v>0.1</v>
      </c>
      <c r="EW368">
        <v>0.1</v>
      </c>
      <c r="EX368">
        <v>0.2</v>
      </c>
      <c r="EY368">
        <v>0.3</v>
      </c>
      <c r="EZ368">
        <v>0.3</v>
      </c>
      <c r="FA368">
        <f>EV368*EQ368</f>
        <v>0.70000000000000007</v>
      </c>
      <c r="FB368">
        <f>EW368*ER368</f>
        <v>0.8</v>
      </c>
      <c r="FC368">
        <f>EX368*ES368</f>
        <v>1.4000000000000001</v>
      </c>
      <c r="FD368">
        <f>EY368*ET368</f>
        <v>2.1</v>
      </c>
      <c r="FE368">
        <f>EZ368*EU368</f>
        <v>2.1</v>
      </c>
      <c r="FF368">
        <v>17</v>
      </c>
      <c r="FG368">
        <v>0</v>
      </c>
      <c r="FH368">
        <v>17</v>
      </c>
      <c r="FI368">
        <f>FA368+FB368+FC368+FD368+FE368</f>
        <v>7.1</v>
      </c>
      <c r="FJ368">
        <f>MEDIAN(EQ368:EU368)</f>
        <v>7</v>
      </c>
      <c r="FL368">
        <v>43.7</v>
      </c>
      <c r="FM368">
        <v>9</v>
      </c>
      <c r="FN368" t="s">
        <v>2343</v>
      </c>
      <c r="FO368" t="s">
        <v>2344</v>
      </c>
      <c r="FP368" t="s">
        <v>2345</v>
      </c>
      <c r="FQ368" t="s">
        <v>2346</v>
      </c>
      <c r="FR368" t="s">
        <v>2347</v>
      </c>
      <c r="FS368">
        <v>7</v>
      </c>
      <c r="FT368">
        <v>5</v>
      </c>
      <c r="FU368">
        <v>4</v>
      </c>
      <c r="FV368">
        <v>6</v>
      </c>
      <c r="FW368">
        <v>8</v>
      </c>
      <c r="FX368">
        <v>0.1</v>
      </c>
      <c r="FY368">
        <v>0.1</v>
      </c>
      <c r="FZ368">
        <v>0.2</v>
      </c>
      <c r="GA368">
        <v>0.3</v>
      </c>
      <c r="GB368">
        <v>0.3</v>
      </c>
      <c r="GC368">
        <f>FS368*FX368</f>
        <v>0.70000000000000007</v>
      </c>
      <c r="GD368">
        <f>FT368*FY368</f>
        <v>0.5</v>
      </c>
      <c r="GE368">
        <f>FU368*FZ368</f>
        <v>0.8</v>
      </c>
      <c r="GF368">
        <f>FV368*GA368</f>
        <v>1.7999999999999998</v>
      </c>
      <c r="GG368">
        <f>FW368*GB368</f>
        <v>2.4</v>
      </c>
      <c r="GH368">
        <v>9</v>
      </c>
      <c r="GI368">
        <v>0</v>
      </c>
      <c r="GJ368">
        <v>9</v>
      </c>
      <c r="GK368">
        <f>GC368+GD368+GE368+GF368+GG368</f>
        <v>6.1999999999999993</v>
      </c>
      <c r="GL368">
        <f>MEDIAN(FS368:FW368)</f>
        <v>6</v>
      </c>
    </row>
    <row r="369" spans="1:194" hidden="1" x14ac:dyDescent="0.25">
      <c r="A369">
        <v>368</v>
      </c>
      <c r="B369" t="s">
        <v>2</v>
      </c>
      <c r="C369" s="4">
        <v>75.2</v>
      </c>
      <c r="D369">
        <v>3.2</v>
      </c>
      <c r="E369" s="1">
        <f>C369/3/D369</f>
        <v>7.833333333333333</v>
      </c>
      <c r="G369">
        <v>89.54</v>
      </c>
      <c r="H369">
        <v>8</v>
      </c>
      <c r="I369">
        <f>H369*D369*3</f>
        <v>76.800000000000011</v>
      </c>
      <c r="J369">
        <v>16.739999999999998</v>
      </c>
      <c r="K369">
        <v>8.4</v>
      </c>
      <c r="L369" s="3">
        <f>K369*3*D369</f>
        <v>80.640000000000015</v>
      </c>
      <c r="M369">
        <v>4.1500000000000004</v>
      </c>
      <c r="N369">
        <v>9</v>
      </c>
      <c r="O369">
        <f>N369*D369*3</f>
        <v>86.4</v>
      </c>
      <c r="P369" s="5">
        <v>6.8</v>
      </c>
      <c r="Q369" s="5">
        <f>P369*D369*3</f>
        <v>65.28</v>
      </c>
      <c r="S369" t="s">
        <v>6487</v>
      </c>
      <c r="T369">
        <v>5.2</v>
      </c>
      <c r="U369" s="8">
        <f>T369*D369*3</f>
        <v>49.92</v>
      </c>
      <c r="V369">
        <v>31.42</v>
      </c>
      <c r="W369">
        <v>9</v>
      </c>
      <c r="X369" s="5">
        <f>W369*D369*3</f>
        <v>86.4</v>
      </c>
      <c r="Y369">
        <v>9.67</v>
      </c>
      <c r="Z369">
        <v>7.5</v>
      </c>
      <c r="AA369">
        <f>Z369*D369*3</f>
        <v>72</v>
      </c>
      <c r="AC369">
        <v>143.97</v>
      </c>
      <c r="AD369">
        <v>8</v>
      </c>
      <c r="AE369" s="1">
        <f>AD369*3*D369</f>
        <v>76.800000000000011</v>
      </c>
      <c r="AF369">
        <v>11.93</v>
      </c>
      <c r="AG369" s="5">
        <v>7</v>
      </c>
      <c r="AH369" s="5">
        <f>AG369*D369*3</f>
        <v>67.2</v>
      </c>
      <c r="AI369" s="13"/>
      <c r="AK369" s="8">
        <f>AJ369*D369*3</f>
        <v>0</v>
      </c>
      <c r="AL369" s="13"/>
      <c r="AM369">
        <v>29.69</v>
      </c>
      <c r="AN369">
        <v>7.4</v>
      </c>
      <c r="AO369" s="8">
        <f>AN369*D369*3</f>
        <v>71.040000000000006</v>
      </c>
      <c r="AP369">
        <v>13.84</v>
      </c>
      <c r="AQ369">
        <v>10</v>
      </c>
      <c r="AR369">
        <f>AQ369*D369*3</f>
        <v>96</v>
      </c>
      <c r="AT369">
        <v>8.5</v>
      </c>
      <c r="AU369">
        <f>AT369*D369*3</f>
        <v>81.600000000000009</v>
      </c>
      <c r="AX369">
        <v>9.1</v>
      </c>
      <c r="AY369">
        <f>AX369*D369*3</f>
        <v>87.36</v>
      </c>
      <c r="BA369">
        <v>9.1</v>
      </c>
      <c r="BB369">
        <f>BA369*D369*3</f>
        <v>87.36</v>
      </c>
      <c r="BC369">
        <v>27.07</v>
      </c>
      <c r="BD369">
        <v>8.6</v>
      </c>
      <c r="BE369">
        <f>BD369*D369*3</f>
        <v>82.56</v>
      </c>
      <c r="BG369" s="10"/>
      <c r="BH369" s="1">
        <f>CHOOSE(MATCH(MIN(ABS(BP369-C369),ABS(BQ369-C369),ABS(BR369-C369)),CHOOSE({1;2;3},ABS(BP369-C369),ABS(BQ369-C369),ABS(BR369-C369)),0),BP369,BQ369,BR369)</f>
        <v>76.800000000000011</v>
      </c>
      <c r="BJ369" s="1" cm="1">
        <f t="array" ref="BJ369">(INDEX(_xlfn._xlws.SORT(CHOOSE({1;2;3;4;5;6},BQ369,BR369,L369,AE369,BO369,BP369)),3) + INDEX(_xlfn._xlws.SORT(CHOOSE({1;2;3;4;5;6},BQ369,BR369,L369,AE369,BO369,BP369)),4))/2</f>
        <v>76.800000000000011</v>
      </c>
      <c r="BK369">
        <v>7.8086018221174802</v>
      </c>
      <c r="BL369" t="s">
        <v>6117</v>
      </c>
      <c r="BM369" s="1">
        <f>BK369*3*D369</f>
        <v>74.96257749232781</v>
      </c>
      <c r="BN369" s="1">
        <f>BM369-C369</f>
        <v>-0.23742250767219275</v>
      </c>
      <c r="BO369" s="1">
        <f>GK369*3*D369</f>
        <v>52.800000000000004</v>
      </c>
      <c r="BP369" s="1">
        <f>DO369*3*D369</f>
        <v>86.4</v>
      </c>
      <c r="BQ369" s="1">
        <f>FJ369*3*D369</f>
        <v>76.800000000000011</v>
      </c>
      <c r="BR369" s="1">
        <f>GL369*3*D369</f>
        <v>62.400000000000006</v>
      </c>
      <c r="BT369">
        <v>89.54</v>
      </c>
      <c r="BU369">
        <v>8</v>
      </c>
      <c r="BV369" t="s">
        <v>5055</v>
      </c>
      <c r="BW369" t="s">
        <v>4982</v>
      </c>
      <c r="BX369" t="s">
        <v>4983</v>
      </c>
      <c r="BY369" t="s">
        <v>4984</v>
      </c>
      <c r="BZ369" t="s">
        <v>4985</v>
      </c>
      <c r="CA369" t="s">
        <v>2437</v>
      </c>
      <c r="CC369" t="s">
        <v>2438</v>
      </c>
      <c r="CD369" t="s">
        <v>2533</v>
      </c>
      <c r="CE369" t="s">
        <v>2440</v>
      </c>
      <c r="CG369" t="s">
        <v>2441</v>
      </c>
      <c r="CH369" t="s">
        <v>2534</v>
      </c>
      <c r="CI369" t="s">
        <v>2535</v>
      </c>
      <c r="CK369" t="s">
        <v>2444</v>
      </c>
      <c r="CL369" t="s">
        <v>2536</v>
      </c>
      <c r="CM369" t="s">
        <v>2446</v>
      </c>
      <c r="CO369" t="s">
        <v>2447</v>
      </c>
      <c r="CP369" t="s">
        <v>2537</v>
      </c>
      <c r="CQ369" t="s">
        <v>2666</v>
      </c>
      <c r="CS369" t="s">
        <v>2450</v>
      </c>
      <c r="CT369" t="s">
        <v>2539</v>
      </c>
      <c r="CV369">
        <v>9</v>
      </c>
      <c r="CW369">
        <v>9</v>
      </c>
      <c r="CX369">
        <v>9</v>
      </c>
      <c r="CY369">
        <v>9</v>
      </c>
      <c r="CZ369">
        <v>9</v>
      </c>
      <c r="DA369">
        <v>0.1</v>
      </c>
      <c r="DB369">
        <v>0.1</v>
      </c>
      <c r="DC369">
        <v>0.2</v>
      </c>
      <c r="DD369">
        <v>0.3</v>
      </c>
      <c r="DE369">
        <v>0.3</v>
      </c>
      <c r="DF369">
        <v>0.9</v>
      </c>
      <c r="DG369">
        <v>0.9</v>
      </c>
      <c r="DH369">
        <v>1.8</v>
      </c>
      <c r="DI369">
        <v>2.7</v>
      </c>
      <c r="DJ369">
        <v>2.7</v>
      </c>
      <c r="DK369">
        <v>8</v>
      </c>
      <c r="DL369">
        <v>0</v>
      </c>
      <c r="DM369">
        <v>8</v>
      </c>
      <c r="DN369">
        <v>8.4</v>
      </c>
      <c r="DO369">
        <f>AVERAGE(CV369:CZ369)</f>
        <v>9</v>
      </c>
      <c r="DQ369">
        <v>8</v>
      </c>
      <c r="DR369" t="s">
        <v>33</v>
      </c>
      <c r="DS369" t="s">
        <v>223</v>
      </c>
      <c r="DT369" t="s">
        <v>35</v>
      </c>
      <c r="DU369" t="s">
        <v>36</v>
      </c>
      <c r="DV369" t="s">
        <v>200</v>
      </c>
      <c r="DW369" t="s">
        <v>3788</v>
      </c>
      <c r="DX369" t="s">
        <v>3789</v>
      </c>
      <c r="DY369" t="s">
        <v>3790</v>
      </c>
      <c r="DZ369" t="s">
        <v>3791</v>
      </c>
      <c r="EA369" t="s">
        <v>3792</v>
      </c>
      <c r="EB369" t="s">
        <v>3793</v>
      </c>
      <c r="EC369" t="s">
        <v>4261</v>
      </c>
      <c r="ED369" t="s">
        <v>3795</v>
      </c>
      <c r="EE369" t="s">
        <v>3796</v>
      </c>
      <c r="EF369" t="s">
        <v>3797</v>
      </c>
      <c r="EG369" t="s">
        <v>3798</v>
      </c>
      <c r="EH369" t="s">
        <v>3798</v>
      </c>
      <c r="EI369" t="s">
        <v>3799</v>
      </c>
      <c r="EJ369" t="s">
        <v>3800</v>
      </c>
      <c r="EK369" t="s">
        <v>3801</v>
      </c>
      <c r="EL369" t="s">
        <v>3801</v>
      </c>
      <c r="EM369" t="s">
        <v>4227</v>
      </c>
      <c r="EN369" t="s">
        <v>3803</v>
      </c>
      <c r="EO369" t="s">
        <v>4228</v>
      </c>
      <c r="EP369" t="s">
        <v>4262</v>
      </c>
      <c r="EQ369">
        <v>8</v>
      </c>
      <c r="ER369">
        <v>8</v>
      </c>
      <c r="ES369">
        <v>8</v>
      </c>
      <c r="ET369">
        <v>8</v>
      </c>
      <c r="EU369">
        <v>8</v>
      </c>
      <c r="EV369">
        <v>0.1</v>
      </c>
      <c r="EW369">
        <v>0.1</v>
      </c>
      <c r="EX369">
        <v>0.2</v>
      </c>
      <c r="EY369">
        <v>0.3</v>
      </c>
      <c r="EZ369">
        <v>0.3</v>
      </c>
      <c r="FA369">
        <f>EV369*EQ369</f>
        <v>0.8</v>
      </c>
      <c r="FB369">
        <f>EW369*ER369</f>
        <v>0.8</v>
      </c>
      <c r="FC369">
        <f>EX369*ES369</f>
        <v>1.6</v>
      </c>
      <c r="FD369">
        <f>EY369*ET369</f>
        <v>2.4</v>
      </c>
      <c r="FE369">
        <f>EZ369*EU369</f>
        <v>2.4</v>
      </c>
      <c r="FF369">
        <v>17</v>
      </c>
      <c r="FG369">
        <v>0</v>
      </c>
      <c r="FH369">
        <v>8</v>
      </c>
      <c r="FI369">
        <f>FA369+FB369+FC369+FD369+FE369</f>
        <v>8</v>
      </c>
      <c r="FJ369">
        <f>MEDIAN(EQ369:EU369)</f>
        <v>8</v>
      </c>
      <c r="FL369">
        <v>75.5</v>
      </c>
      <c r="FM369">
        <v>5.3</v>
      </c>
      <c r="FN369" t="s">
        <v>1751</v>
      </c>
      <c r="FO369" t="s">
        <v>2348</v>
      </c>
      <c r="FP369" t="s">
        <v>2349</v>
      </c>
      <c r="FQ369" t="s">
        <v>2350</v>
      </c>
      <c r="FR369" t="s">
        <v>1143</v>
      </c>
      <c r="FS369">
        <v>6.5</v>
      </c>
      <c r="FT369">
        <v>8</v>
      </c>
      <c r="FU369">
        <v>4.5</v>
      </c>
      <c r="FV369">
        <v>7</v>
      </c>
      <c r="FW369">
        <v>3.5</v>
      </c>
      <c r="FX369">
        <v>0.1</v>
      </c>
      <c r="FY369">
        <v>0.1</v>
      </c>
      <c r="FZ369">
        <v>0.2</v>
      </c>
      <c r="GA369">
        <v>0.3</v>
      </c>
      <c r="GB369">
        <v>0.3</v>
      </c>
      <c r="GC369">
        <f>FS369*FX369</f>
        <v>0.65</v>
      </c>
      <c r="GD369">
        <f>FT369*FY369</f>
        <v>0.8</v>
      </c>
      <c r="GE369">
        <f>FU369*FZ369</f>
        <v>0.9</v>
      </c>
      <c r="GF369">
        <f>FV369*GA369</f>
        <v>2.1</v>
      </c>
      <c r="GG369">
        <f>FW369*GB369</f>
        <v>1.05</v>
      </c>
      <c r="GH369">
        <v>5.55</v>
      </c>
      <c r="GI369">
        <v>-0.25</v>
      </c>
      <c r="GJ369">
        <v>5.3</v>
      </c>
      <c r="GK369">
        <f>GC369+GD369+GE369+GF369+GG369</f>
        <v>5.5</v>
      </c>
      <c r="GL369">
        <f>MEDIAN(FS369:FW369)</f>
        <v>6.5</v>
      </c>
    </row>
    <row r="370" spans="1:194" hidden="1" x14ac:dyDescent="0.25">
      <c r="A370">
        <v>369</v>
      </c>
      <c r="B370" t="s">
        <v>2</v>
      </c>
      <c r="C370" s="4">
        <v>46.8</v>
      </c>
      <c r="D370">
        <v>3.6</v>
      </c>
      <c r="E370" s="1">
        <f>C370/3/D370</f>
        <v>4.333333333333333</v>
      </c>
      <c r="G370">
        <v>86</v>
      </c>
      <c r="H370">
        <v>8</v>
      </c>
      <c r="I370">
        <f>H370*D370*3</f>
        <v>86.4</v>
      </c>
      <c r="J370">
        <v>17.34</v>
      </c>
      <c r="K370">
        <v>9</v>
      </c>
      <c r="L370" s="3">
        <f>K370*3*D370</f>
        <v>97.2</v>
      </c>
      <c r="M370">
        <v>5.26</v>
      </c>
      <c r="N370">
        <v>5.5</v>
      </c>
      <c r="O370">
        <f>N370*D370*3</f>
        <v>59.400000000000006</v>
      </c>
      <c r="P370" s="5">
        <v>8.5</v>
      </c>
      <c r="Q370" s="5">
        <f>P370*D370*3</f>
        <v>91.800000000000011</v>
      </c>
      <c r="S370" t="s">
        <v>6488</v>
      </c>
      <c r="T370">
        <v>8.1999999999999993</v>
      </c>
      <c r="U370" s="8">
        <f>T370*D370*3</f>
        <v>88.56</v>
      </c>
      <c r="V370">
        <v>30.73</v>
      </c>
      <c r="W370">
        <v>6</v>
      </c>
      <c r="X370" s="5">
        <f>W370*D370*3</f>
        <v>64.800000000000011</v>
      </c>
      <c r="Y370">
        <v>11.03</v>
      </c>
      <c r="Z370">
        <v>7.5</v>
      </c>
      <c r="AA370">
        <f>Z370*D370*3</f>
        <v>81</v>
      </c>
      <c r="AC370">
        <v>144.38999999999999</v>
      </c>
      <c r="AD370">
        <v>8</v>
      </c>
      <c r="AE370" s="1">
        <f>AD370*3*D370</f>
        <v>86.4</v>
      </c>
      <c r="AF370">
        <v>12.09</v>
      </c>
      <c r="AG370" s="5">
        <v>7</v>
      </c>
      <c r="AH370" s="5">
        <f>AG370*D370*3</f>
        <v>75.599999999999994</v>
      </c>
      <c r="AI370" s="13"/>
      <c r="AJ370">
        <v>8.5</v>
      </c>
      <c r="AK370" s="8">
        <f>AJ370*D370*3</f>
        <v>91.800000000000011</v>
      </c>
      <c r="AL370" s="13"/>
      <c r="AM370">
        <v>30.29</v>
      </c>
      <c r="AN370">
        <v>7.5</v>
      </c>
      <c r="AO370" s="8">
        <f>AN370*D370*3</f>
        <v>81</v>
      </c>
      <c r="AP370">
        <v>13.3</v>
      </c>
      <c r="AQ370">
        <v>10</v>
      </c>
      <c r="AR370">
        <f>AQ370*D370*3</f>
        <v>108</v>
      </c>
      <c r="AT370">
        <v>9</v>
      </c>
      <c r="AU370">
        <f>AT370*D370*3</f>
        <v>97.199999999999989</v>
      </c>
      <c r="AX370">
        <v>8.8000000000000007</v>
      </c>
      <c r="AY370">
        <f>AX370*D370*3</f>
        <v>95.04</v>
      </c>
      <c r="BA370">
        <v>9.1</v>
      </c>
      <c r="BB370">
        <f>BA370*D370*3</f>
        <v>98.28</v>
      </c>
      <c r="BC370">
        <v>29.83</v>
      </c>
      <c r="BD370">
        <v>8.6</v>
      </c>
      <c r="BE370">
        <f>BD370*D370*3</f>
        <v>92.88</v>
      </c>
      <c r="BG370" s="10"/>
      <c r="BH370" s="1">
        <f>CHOOSE(MATCH(MIN(ABS(BP370-C370),ABS(BQ370-C370),ABS(BR370-C370)),CHOOSE({1;2;3},ABS(BP370-C370),ABS(BQ370-C370),ABS(BR370-C370)),0),BP370,BQ370,BR370)</f>
        <v>21.6</v>
      </c>
      <c r="BJ370" s="1" cm="1">
        <f t="array" ref="BJ370">(INDEX(_xlfn._xlws.SORT(CHOOSE({1;2;3;4;5;6},BQ370,BR370,L370,AE370,BO370,BP370)),3) + INDEX(_xlfn._xlws.SORT(CHOOSE({1;2;3;4;5;6},BQ370,BR370,L370,AE370,BO370,BP370)),4))/2</f>
        <v>86.4</v>
      </c>
      <c r="BK370">
        <v>4.3280107703852098</v>
      </c>
      <c r="BL370" t="s">
        <v>6117</v>
      </c>
      <c r="BM370" s="1">
        <f>BK370*3*D370</f>
        <v>46.74251632016027</v>
      </c>
      <c r="BN370" s="1">
        <f>BM370-C370</f>
        <v>-5.7483679839727131E-2</v>
      </c>
      <c r="BO370" s="1">
        <f>GK370*3*D370</f>
        <v>22.680000000000003</v>
      </c>
      <c r="BP370" s="1">
        <f>DO370*3*D370</f>
        <v>97.2</v>
      </c>
      <c r="BQ370" s="1">
        <f>FJ370*3*D370</f>
        <v>86.4</v>
      </c>
      <c r="BR370" s="1">
        <f>GL370*3*D370</f>
        <v>21.6</v>
      </c>
      <c r="BT370">
        <v>86</v>
      </c>
      <c r="BU370">
        <v>8</v>
      </c>
      <c r="BV370" t="s">
        <v>5032</v>
      </c>
      <c r="BW370" t="s">
        <v>5321</v>
      </c>
      <c r="BX370" t="s">
        <v>5322</v>
      </c>
      <c r="BY370" t="s">
        <v>5809</v>
      </c>
      <c r="BZ370" t="s">
        <v>6087</v>
      </c>
      <c r="CA370" t="s">
        <v>2452</v>
      </c>
      <c r="CC370" t="s">
        <v>2438</v>
      </c>
      <c r="CD370" t="s">
        <v>2453</v>
      </c>
      <c r="CE370" t="s">
        <v>2586</v>
      </c>
      <c r="CG370" t="s">
        <v>3728</v>
      </c>
      <c r="CH370" t="s">
        <v>3729</v>
      </c>
      <c r="CI370" t="s">
        <v>2567</v>
      </c>
      <c r="CK370" t="s">
        <v>3746</v>
      </c>
      <c r="CL370" t="s">
        <v>3339</v>
      </c>
      <c r="CM370" t="s">
        <v>2589</v>
      </c>
      <c r="CO370" t="s">
        <v>3747</v>
      </c>
      <c r="CP370" t="s">
        <v>2863</v>
      </c>
      <c r="CQ370" t="s">
        <v>2591</v>
      </c>
      <c r="CS370" t="s">
        <v>3748</v>
      </c>
      <c r="CT370" t="s">
        <v>3342</v>
      </c>
      <c r="CV370">
        <v>9</v>
      </c>
      <c r="CW370">
        <v>9</v>
      </c>
      <c r="CX370">
        <v>9</v>
      </c>
      <c r="CY370">
        <v>9</v>
      </c>
      <c r="CZ370">
        <v>9</v>
      </c>
      <c r="DA370">
        <v>0.1</v>
      </c>
      <c r="DB370">
        <v>0.1</v>
      </c>
      <c r="DC370">
        <v>0.2</v>
      </c>
      <c r="DD370">
        <v>0.3</v>
      </c>
      <c r="DE370">
        <v>0.3</v>
      </c>
      <c r="DF370">
        <v>0.9</v>
      </c>
      <c r="DG370">
        <v>0.9</v>
      </c>
      <c r="DH370">
        <v>1.8</v>
      </c>
      <c r="DI370">
        <v>2.7</v>
      </c>
      <c r="DJ370">
        <v>2.7</v>
      </c>
      <c r="DK370">
        <v>8</v>
      </c>
      <c r="DL370">
        <v>0</v>
      </c>
      <c r="DM370">
        <v>8</v>
      </c>
      <c r="DN370">
        <v>9</v>
      </c>
      <c r="DO370">
        <f>AVERAGE(CV370:CZ370)</f>
        <v>9</v>
      </c>
      <c r="DQ370">
        <v>8</v>
      </c>
      <c r="DR370" t="s">
        <v>33</v>
      </c>
      <c r="DS370" t="s">
        <v>223</v>
      </c>
      <c r="DT370" t="s">
        <v>35</v>
      </c>
      <c r="DU370" t="s">
        <v>36</v>
      </c>
      <c r="DV370" t="s">
        <v>200</v>
      </c>
      <c r="DW370" t="s">
        <v>3788</v>
      </c>
      <c r="DX370" t="s">
        <v>3789</v>
      </c>
      <c r="DY370" t="s">
        <v>3790</v>
      </c>
      <c r="DZ370" t="s">
        <v>3791</v>
      </c>
      <c r="EA370" t="s">
        <v>3792</v>
      </c>
      <c r="EB370" t="s">
        <v>3793</v>
      </c>
      <c r="EC370" t="s">
        <v>4261</v>
      </c>
      <c r="ED370" t="s">
        <v>3795</v>
      </c>
      <c r="EE370" t="s">
        <v>3796</v>
      </c>
      <c r="EF370" t="s">
        <v>3797</v>
      </c>
      <c r="EG370" t="s">
        <v>3798</v>
      </c>
      <c r="EH370" t="s">
        <v>3798</v>
      </c>
      <c r="EI370" t="s">
        <v>3799</v>
      </c>
      <c r="EJ370" t="s">
        <v>3800</v>
      </c>
      <c r="EK370" t="s">
        <v>3801</v>
      </c>
      <c r="EL370" t="s">
        <v>3801</v>
      </c>
      <c r="EM370" t="s">
        <v>4227</v>
      </c>
      <c r="EN370" t="s">
        <v>3803</v>
      </c>
      <c r="EO370" t="s">
        <v>4228</v>
      </c>
      <c r="EP370" t="s">
        <v>4262</v>
      </c>
      <c r="EQ370">
        <v>8</v>
      </c>
      <c r="ER370">
        <v>8</v>
      </c>
      <c r="ES370">
        <v>8</v>
      </c>
      <c r="ET370">
        <v>8</v>
      </c>
      <c r="EU370">
        <v>8</v>
      </c>
      <c r="EV370">
        <v>0.1</v>
      </c>
      <c r="EW370">
        <v>0.1</v>
      </c>
      <c r="EX370">
        <v>0.2</v>
      </c>
      <c r="EY370">
        <v>0.3</v>
      </c>
      <c r="EZ370">
        <v>0.3</v>
      </c>
      <c r="FA370">
        <f>EV370*EQ370</f>
        <v>0.8</v>
      </c>
      <c r="FB370">
        <f>EW370*ER370</f>
        <v>0.8</v>
      </c>
      <c r="FC370">
        <f>EX370*ES370</f>
        <v>1.6</v>
      </c>
      <c r="FD370">
        <f>EY370*ET370</f>
        <v>2.4</v>
      </c>
      <c r="FE370">
        <f>EZ370*EU370</f>
        <v>2.4</v>
      </c>
      <c r="FF370">
        <v>16</v>
      </c>
      <c r="FG370">
        <v>0</v>
      </c>
      <c r="FH370">
        <v>8</v>
      </c>
      <c r="FI370">
        <f>FA370+FB370+FC370+FD370+FE370</f>
        <v>8</v>
      </c>
      <c r="FJ370">
        <f>MEDIAN(EQ370:EU370)</f>
        <v>8</v>
      </c>
      <c r="FL370">
        <v>93.71</v>
      </c>
      <c r="FM370">
        <v>8.5</v>
      </c>
      <c r="FN370" t="s">
        <v>2351</v>
      </c>
      <c r="FO370" t="s">
        <v>2352</v>
      </c>
      <c r="FQ370" t="s">
        <v>2353</v>
      </c>
      <c r="FR370" t="s">
        <v>2354</v>
      </c>
      <c r="FS370">
        <v>1</v>
      </c>
      <c r="FT370">
        <v>1</v>
      </c>
      <c r="FU370">
        <v>2</v>
      </c>
      <c r="FV370">
        <v>2.75</v>
      </c>
      <c r="FW370">
        <v>2.25</v>
      </c>
      <c r="FX370">
        <v>0.1</v>
      </c>
      <c r="FY370">
        <v>0.1</v>
      </c>
      <c r="FZ370">
        <v>0.2</v>
      </c>
      <c r="GA370">
        <v>0.3</v>
      </c>
      <c r="GB370">
        <v>0.3</v>
      </c>
      <c r="GC370">
        <f>FS370*FX370</f>
        <v>0.1</v>
      </c>
      <c r="GD370">
        <f>FT370*FY370</f>
        <v>0.1</v>
      </c>
      <c r="GE370">
        <f>FU370*FZ370</f>
        <v>0.4</v>
      </c>
      <c r="GF370">
        <f>FV370*GA370</f>
        <v>0.82499999999999996</v>
      </c>
      <c r="GG370">
        <f>FW370*GB370</f>
        <v>0.67499999999999993</v>
      </c>
      <c r="GH370">
        <v>8</v>
      </c>
      <c r="GI370">
        <v>0.5</v>
      </c>
      <c r="GJ370">
        <v>8.5</v>
      </c>
      <c r="GK370">
        <f>GC370+GD370+GE370+GF370+GG370</f>
        <v>2.1</v>
      </c>
      <c r="GL370">
        <f>MEDIAN(FS370:FW370)</f>
        <v>2</v>
      </c>
    </row>
    <row r="371" spans="1:194" x14ac:dyDescent="0.25">
      <c r="A371">
        <v>235</v>
      </c>
      <c r="B371" t="s">
        <v>2</v>
      </c>
      <c r="C371" s="4">
        <v>21.6</v>
      </c>
      <c r="D371">
        <v>3.6</v>
      </c>
      <c r="E371" s="1">
        <f>C371/3/D371</f>
        <v>2</v>
      </c>
      <c r="G371">
        <v>34.96</v>
      </c>
      <c r="H371">
        <v>8.1999999999999993</v>
      </c>
      <c r="I371">
        <f>H371*D371*3</f>
        <v>88.56</v>
      </c>
      <c r="J371">
        <v>18.55</v>
      </c>
      <c r="K371">
        <v>9</v>
      </c>
      <c r="L371" s="3">
        <f>K371*3*D371</f>
        <v>97.2</v>
      </c>
      <c r="M371">
        <v>4.84</v>
      </c>
      <c r="N371">
        <v>5.5</v>
      </c>
      <c r="O371">
        <f>N371*D371*3</f>
        <v>59.400000000000006</v>
      </c>
      <c r="P371" s="5">
        <v>8.5</v>
      </c>
      <c r="Q371" s="5">
        <f>P371*D371*3</f>
        <v>91.800000000000011</v>
      </c>
      <c r="S371" t="s">
        <v>6366</v>
      </c>
      <c r="T371">
        <v>10</v>
      </c>
      <c r="U371" s="8">
        <f>T371*D371*3</f>
        <v>108</v>
      </c>
      <c r="V371">
        <v>38.42</v>
      </c>
      <c r="W371">
        <v>6</v>
      </c>
      <c r="X371" s="5">
        <f>W371*D371*3</f>
        <v>64.800000000000011</v>
      </c>
      <c r="Y371">
        <v>10.87</v>
      </c>
      <c r="Z371">
        <v>7.5</v>
      </c>
      <c r="AA371">
        <f>Z371*D371*3</f>
        <v>81</v>
      </c>
      <c r="AC371">
        <v>50.32</v>
      </c>
      <c r="AD371">
        <v>7.9</v>
      </c>
      <c r="AE371" s="1">
        <f>AD371*3*D371</f>
        <v>85.320000000000007</v>
      </c>
      <c r="AF371">
        <v>11.87</v>
      </c>
      <c r="AG371" s="5">
        <v>7</v>
      </c>
      <c r="AH371" s="5">
        <f>AG371*D371*3</f>
        <v>75.599999999999994</v>
      </c>
      <c r="AI371" s="13"/>
      <c r="AJ371">
        <v>5.3</v>
      </c>
      <c r="AK371" s="8">
        <f>AJ371*D371*3</f>
        <v>57.239999999999995</v>
      </c>
      <c r="AL371" s="13"/>
      <c r="AM371">
        <v>30.79</v>
      </c>
      <c r="AN371">
        <v>7.9</v>
      </c>
      <c r="AO371" s="8">
        <f>AN371*D371*3</f>
        <v>85.320000000000007</v>
      </c>
      <c r="AP371">
        <v>12.41</v>
      </c>
      <c r="AQ371">
        <v>10</v>
      </c>
      <c r="AR371">
        <f>AQ371*D371*3</f>
        <v>108</v>
      </c>
      <c r="AT371">
        <v>9</v>
      </c>
      <c r="AU371">
        <f>AT371*D371*3</f>
        <v>97.199999999999989</v>
      </c>
      <c r="AW371">
        <v>24.51</v>
      </c>
      <c r="AX371">
        <v>9.9</v>
      </c>
      <c r="AY371">
        <f>AX371*D371*3</f>
        <v>106.92</v>
      </c>
      <c r="AZ371">
        <v>24.51</v>
      </c>
      <c r="BA371">
        <v>9.1</v>
      </c>
      <c r="BB371">
        <f>BA371*D371*3</f>
        <v>98.28</v>
      </c>
      <c r="BD371">
        <v>8.6</v>
      </c>
      <c r="BE371">
        <f>BD371*D371*3</f>
        <v>92.88</v>
      </c>
      <c r="BG371" s="10"/>
      <c r="BH371" s="1">
        <f>CHOOSE(MATCH(MIN(ABS(BP371-C371),ABS(BQ371-C371),ABS(BR371-C371)),CHOOSE({1;2;3},ABS(BP371-C371),ABS(BQ371-C371),ABS(BR371-C371)),0),BP371,BQ371,BR371)</f>
        <v>75.600000000000009</v>
      </c>
      <c r="BJ371" s="1" cm="1">
        <f t="array" ref="BJ371">(INDEX(_xlfn._xlws.SORT(CHOOSE({1;2;3;4;5;6},BQ371,BR371,L371,AE371,BO371,BP371)),3) + INDEX(_xlfn._xlws.SORT(CHOOSE({1;2;3;4;5;6},BQ371,BR371,L371,AE371,BO371,BP371)),4))/2</f>
        <v>85.860000000000014</v>
      </c>
      <c r="BK371">
        <v>6.9105820421916802</v>
      </c>
      <c r="BL371" s="11" t="s">
        <v>6116</v>
      </c>
      <c r="BM371" s="1">
        <f>BK371*3*D371</f>
        <v>74.634286055670145</v>
      </c>
      <c r="BN371" s="1">
        <f>BM371-C371</f>
        <v>53.034286055670144</v>
      </c>
      <c r="BO371" s="1">
        <f>GK371*3*D371</f>
        <v>71.279999999999987</v>
      </c>
      <c r="BP371" s="1">
        <f>DO371*3*D371</f>
        <v>97.2</v>
      </c>
      <c r="BQ371" s="1">
        <f>FJ371*3*D371</f>
        <v>86.4</v>
      </c>
      <c r="BR371" s="1">
        <f>GL371*3*D371</f>
        <v>75.600000000000009</v>
      </c>
      <c r="BT371">
        <v>34.96</v>
      </c>
      <c r="BU371">
        <v>8.1999999999999993</v>
      </c>
      <c r="BV371" t="s">
        <v>5503</v>
      </c>
      <c r="BW371" t="s">
        <v>5519</v>
      </c>
      <c r="BX371" t="s">
        <v>5762</v>
      </c>
      <c r="BY371" t="s">
        <v>5763</v>
      </c>
      <c r="BZ371" t="s">
        <v>5764</v>
      </c>
      <c r="CA371" t="s">
        <v>2437</v>
      </c>
      <c r="CC371" t="s">
        <v>2758</v>
      </c>
      <c r="CD371" t="s">
        <v>2508</v>
      </c>
      <c r="CE371" t="s">
        <v>2440</v>
      </c>
      <c r="CG371" t="s">
        <v>2761</v>
      </c>
      <c r="CH371" t="s">
        <v>2510</v>
      </c>
      <c r="CI371" t="s">
        <v>2443</v>
      </c>
      <c r="CK371" t="s">
        <v>2795</v>
      </c>
      <c r="CL371" t="s">
        <v>2512</v>
      </c>
      <c r="CM371" t="s">
        <v>2446</v>
      </c>
      <c r="CO371" t="s">
        <v>2796</v>
      </c>
      <c r="CP371" t="s">
        <v>2514</v>
      </c>
      <c r="CQ371" t="s">
        <v>2449</v>
      </c>
      <c r="CS371" t="s">
        <v>2679</v>
      </c>
      <c r="CT371" t="s">
        <v>2524</v>
      </c>
      <c r="CV371">
        <v>9</v>
      </c>
      <c r="CW371">
        <v>9</v>
      </c>
      <c r="CX371">
        <v>9</v>
      </c>
      <c r="CY371">
        <v>9</v>
      </c>
      <c r="CZ371">
        <v>9</v>
      </c>
      <c r="DA371">
        <v>0.1</v>
      </c>
      <c r="DB371">
        <v>0.1</v>
      </c>
      <c r="DC371">
        <v>0.2</v>
      </c>
      <c r="DD371">
        <v>0.3</v>
      </c>
      <c r="DE371">
        <v>0.3</v>
      </c>
      <c r="DF371">
        <v>0.9</v>
      </c>
      <c r="DG371">
        <v>0.9</v>
      </c>
      <c r="DH371">
        <v>1.8</v>
      </c>
      <c r="DI371">
        <v>2.7</v>
      </c>
      <c r="DJ371">
        <v>2.7</v>
      </c>
      <c r="DK371">
        <v>8.1999999999999993</v>
      </c>
      <c r="DL371">
        <v>0</v>
      </c>
      <c r="DM371">
        <v>8.1999999999999993</v>
      </c>
      <c r="DN371">
        <v>9</v>
      </c>
      <c r="DO371">
        <f>AVERAGE(CV371:CZ371)</f>
        <v>9</v>
      </c>
      <c r="DQ371">
        <v>8</v>
      </c>
      <c r="DR371" t="s">
        <v>428</v>
      </c>
      <c r="DS371" t="s">
        <v>429</v>
      </c>
      <c r="DT371" t="s">
        <v>430</v>
      </c>
      <c r="DU371" t="s">
        <v>431</v>
      </c>
      <c r="DV371" t="s">
        <v>432</v>
      </c>
      <c r="DW371" t="s">
        <v>4697</v>
      </c>
      <c r="DX371" t="s">
        <v>4698</v>
      </c>
      <c r="DY371" t="s">
        <v>4699</v>
      </c>
      <c r="DZ371" t="s">
        <v>4700</v>
      </c>
      <c r="EA371" t="s">
        <v>4701</v>
      </c>
      <c r="EB371" t="s">
        <v>4606</v>
      </c>
      <c r="EC371" t="s">
        <v>4702</v>
      </c>
      <c r="ED371" t="s">
        <v>4703</v>
      </c>
      <c r="EE371" t="s">
        <v>4704</v>
      </c>
      <c r="EF371" t="s">
        <v>4705</v>
      </c>
      <c r="EG371" t="s">
        <v>4706</v>
      </c>
      <c r="EH371" t="s">
        <v>4707</v>
      </c>
      <c r="EI371" t="s">
        <v>4708</v>
      </c>
      <c r="EJ371" t="s">
        <v>4709</v>
      </c>
      <c r="EK371" t="s">
        <v>4710</v>
      </c>
      <c r="EL371" t="s">
        <v>4711</v>
      </c>
      <c r="EM371" t="s">
        <v>4712</v>
      </c>
      <c r="EN371" t="s">
        <v>4713</v>
      </c>
      <c r="EO371" t="s">
        <v>4714</v>
      </c>
      <c r="EP371" t="s">
        <v>4715</v>
      </c>
      <c r="EQ371">
        <v>7</v>
      </c>
      <c r="ER371">
        <v>8</v>
      </c>
      <c r="ES371">
        <v>8</v>
      </c>
      <c r="ET371">
        <v>8</v>
      </c>
      <c r="EU371">
        <v>8</v>
      </c>
      <c r="EV371">
        <v>0.1</v>
      </c>
      <c r="EW371">
        <v>0.1</v>
      </c>
      <c r="EX371">
        <v>0.2</v>
      </c>
      <c r="EY371">
        <v>0.3</v>
      </c>
      <c r="EZ371">
        <v>0.3</v>
      </c>
      <c r="FA371">
        <f>EV371*EQ371</f>
        <v>0.70000000000000007</v>
      </c>
      <c r="FB371">
        <f>EW371*ER371</f>
        <v>0.8</v>
      </c>
      <c r="FC371">
        <f>EX371*ES371</f>
        <v>1.6</v>
      </c>
      <c r="FD371">
        <f>EY371*ET371</f>
        <v>2.4</v>
      </c>
      <c r="FE371">
        <f>EZ371*EU371</f>
        <v>2.4</v>
      </c>
      <c r="FF371">
        <v>15</v>
      </c>
      <c r="FG371">
        <v>0</v>
      </c>
      <c r="FH371">
        <v>8</v>
      </c>
      <c r="FI371">
        <f>FA371+FB371+FC371+FD371+FE371</f>
        <v>7.9</v>
      </c>
      <c r="FJ371">
        <f>MEDIAN(EQ371:EU371)</f>
        <v>8</v>
      </c>
      <c r="FL371">
        <v>40.96</v>
      </c>
      <c r="FM371">
        <v>6</v>
      </c>
      <c r="FN371" t="s">
        <v>1719</v>
      </c>
      <c r="FO371" t="s">
        <v>1720</v>
      </c>
      <c r="FP371" t="s">
        <v>1721</v>
      </c>
      <c r="FQ371" t="s">
        <v>1722</v>
      </c>
      <c r="FR371" t="s">
        <v>1723</v>
      </c>
      <c r="FS371">
        <v>10</v>
      </c>
      <c r="FT371">
        <v>9</v>
      </c>
      <c r="FU371">
        <v>7</v>
      </c>
      <c r="FV371">
        <v>6</v>
      </c>
      <c r="FW371">
        <v>5</v>
      </c>
      <c r="FX371">
        <v>0.1</v>
      </c>
      <c r="FY371">
        <v>0.1</v>
      </c>
      <c r="FZ371">
        <v>0.2</v>
      </c>
      <c r="GA371">
        <v>0.3</v>
      </c>
      <c r="GB371">
        <v>0.3</v>
      </c>
      <c r="GC371">
        <f>FS371*FX371</f>
        <v>1</v>
      </c>
      <c r="GD371">
        <f>FT371*FY371</f>
        <v>0.9</v>
      </c>
      <c r="GE371">
        <f>FU371*FZ371</f>
        <v>1.4000000000000001</v>
      </c>
      <c r="GF371">
        <f>FV371*GA371</f>
        <v>1.7999999999999998</v>
      </c>
      <c r="GG371">
        <f>FW371*GB371</f>
        <v>1.5</v>
      </c>
      <c r="GH371">
        <v>6</v>
      </c>
      <c r="GI371">
        <v>0</v>
      </c>
      <c r="GJ371">
        <v>6</v>
      </c>
      <c r="GK371">
        <f>GC371+GD371+GE371+GF371+GG371</f>
        <v>6.6</v>
      </c>
      <c r="GL371">
        <f>MEDIAN(FS371:FW371)</f>
        <v>7</v>
      </c>
    </row>
  </sheetData>
  <autoFilter ref="A1:GL371" xr:uid="{00000000-0001-0000-0000-000000000000}">
    <filterColumn colId="63">
      <filters>
        <filter val="test"/>
      </filters>
    </filterColumn>
    <sortState xmlns:xlrd2="http://schemas.microsoft.com/office/spreadsheetml/2017/richdata2" ref="A2:GL371">
      <sortCondition ref="BN1:BN3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evaluaciones_todos_videos_all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Oswaldo Velesaca Lara</cp:lastModifiedBy>
  <dcterms:created xsi:type="dcterms:W3CDTF">2026-05-08T15:06:13Z</dcterms:created>
  <dcterms:modified xsi:type="dcterms:W3CDTF">2026-06-23T13:15:04Z</dcterms:modified>
</cp:coreProperties>
</file>